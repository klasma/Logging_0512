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46241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46241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46241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46241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46241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46241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46241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46241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46241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46241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46241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46241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46241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46241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46241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46241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46241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46241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46241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46241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46241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46241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46241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46241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46241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45354-2023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45192</v>
      </c>
      <c r="E28" s="1" t="n">
        <v>46241</v>
      </c>
      <c r="F28" t="inlineStr">
        <is>
          <t>ÖSTERGÖTLANDS LÄN</t>
        </is>
      </c>
      <c r="G28" t="inlineStr">
        <is>
          <t>YDRE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45354-2023 artfynd.xlsx", "A 45354-2023")</f>
        <v/>
      </c>
      <c r="X28">
        <f>HYPERLINK("https://klasma.github.io/Logging_0512/kartor/A 45354-2023 karta.png", "A 45354-2023")</f>
        <v/>
      </c>
      <c r="Y28">
        <f>HYPERLINK("https://klasma.github.io/Logging_0512/kartor_geotiff/A 45354-2023 georefererad karta.tif", "A 45354-2023")</f>
        <v/>
      </c>
      <c r="AA28">
        <f>HYPERLINK("https://klasma.github.io/Logging_0512/klagomål/A 45354-2023 FSC-klagomål.docx", "A 45354-2023")</f>
        <v/>
      </c>
      <c r="AB28">
        <f>HYPERLINK("https://klasma.github.io/Logging_0512/klagomålsmail/A 45354-2023 FSC-klagomål mail.docx", "A 45354-2023")</f>
        <v/>
      </c>
      <c r="AC28">
        <f>HYPERLINK("https://klasma.github.io/Logging_0512/tillsyn/A 45354-2023 tillsynsbegäran.docx", "A 45354-2023")</f>
        <v/>
      </c>
      <c r="AD28">
        <f>HYPERLINK("https://klasma.github.io/Logging_0512/tillsynsmail/A 45354-2023 tillsynsbegäran mail.docx", "A 45354-2023")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46241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Smal guldkornsfibbla</t>
        </is>
      </c>
      <c r="W29">
        <f>HYPERLINK("https://klasma.github.io/Logging_0512/artfynd/A 19370-2025 artfynd.xlsx", "A 19370-2025")</f>
        <v/>
      </c>
      <c r="X29">
        <f>HYPERLINK("https://klasma.github.io/Logging_0512/kartor/A 19370-2025 karta.png", "A 19370-2025")</f>
        <v/>
      </c>
      <c r="Y29">
        <f>HYPERLINK("https://klasma.github.io/Logging_0512/kartor_geotiff/A 19370-2025 georefererad karta.tif", "A 19370-2025")</f>
        <v/>
      </c>
      <c r="AA29">
        <f>HYPERLINK("https://klasma.github.io/Logging_0512/klagomål/A 19370-2025 FSC-klagomål.docx", "A 19370-2025")</f>
        <v/>
      </c>
      <c r="AB29">
        <f>HYPERLINK("https://klasma.github.io/Logging_0512/klagomålsmail/A 19370-2025 FSC-klagomål mail.docx", "A 19370-2025")</f>
        <v/>
      </c>
      <c r="AC29">
        <f>HYPERLINK("https://klasma.github.io/Logging_0512/tillsyn/A 19370-2025 tillsynsbegäran.docx", "A 19370-2025")</f>
        <v/>
      </c>
      <c r="AD29">
        <f>HYPERLINK("https://klasma.github.io/Logging_0512/tillsynsmail/A 19370-2025 tillsynsbegäran mail.docx", "A 19370-2025")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46241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46241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45765-2025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46241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Sommarfibbla</t>
        </is>
      </c>
      <c r="W32">
        <f>HYPERLINK("https://klasma.github.io/Logging_0512/artfynd/A 45765-2025 artfynd.xlsx", "A 45765-2025")</f>
        <v/>
      </c>
      <c r="X32">
        <f>HYPERLINK("https://klasma.github.io/Logging_0512/kartor/A 45765-2025 karta.png", "A 45765-2025")</f>
        <v/>
      </c>
      <c r="Y32">
        <f>HYPERLINK("https://klasma.github.io/Logging_0512/kartor_geotiff/A 45765-2025 georefererad karta.tif", "A 45765-2025")</f>
        <v/>
      </c>
      <c r="AA32">
        <f>HYPERLINK("https://klasma.github.io/Logging_0512/klagomål/A 45765-2025 FSC-klagomål.docx", "A 45765-2025")</f>
        <v/>
      </c>
      <c r="AB32">
        <f>HYPERLINK("https://klasma.github.io/Logging_0512/klagomålsmail/A 45765-2025 FSC-klagomål mail.docx", "A 45765-2025")</f>
        <v/>
      </c>
      <c r="AC32">
        <f>HYPERLINK("https://klasma.github.io/Logging_0512/tillsyn/A 45765-2025 tillsynsbegäran.docx", "A 45765-2025")</f>
        <v/>
      </c>
      <c r="AD32">
        <f>HYPERLINK("https://klasma.github.io/Logging_0512/tillsynsmail/A 45765-2025 tillsynsbegäran mail.docx", "A 45765-2025")</f>
        <v/>
      </c>
    </row>
    <row r="33" ht="15" customHeight="1">
      <c r="A33" t="inlineStr">
        <is>
          <t>A 11716-2025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45727</v>
      </c>
      <c r="E33" s="1" t="n">
        <v>46241</v>
      </c>
      <c r="F33" t="inlineStr">
        <is>
          <t>ÖSTERGÖTLANDS LÄN</t>
        </is>
      </c>
      <c r="G33" t="inlineStr">
        <is>
          <t>YDRE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Kryddspindling</t>
        </is>
      </c>
      <c r="W33">
        <f>HYPERLINK("https://klasma.github.io/Logging_0512/artfynd/A 11716-2025 artfynd.xlsx", "A 11716-2025")</f>
        <v/>
      </c>
      <c r="X33">
        <f>HYPERLINK("https://klasma.github.io/Logging_0512/kartor/A 11716-2025 karta.png", "A 11716-2025")</f>
        <v/>
      </c>
      <c r="Y33">
        <f>HYPERLINK("https://klasma.github.io/Logging_0512/kartor_geotiff/A 11716-2025 georefererad karta.tif", "A 11716-2025")</f>
        <v/>
      </c>
      <c r="AA33">
        <f>HYPERLINK("https://klasma.github.io/Logging_0512/klagomål/A 11716-2025 FSC-klagomål.docx", "A 11716-2025")</f>
        <v/>
      </c>
      <c r="AB33">
        <f>HYPERLINK("https://klasma.github.io/Logging_0512/klagomålsmail/A 11716-2025 FSC-klagomål mail.docx", "A 11716-2025")</f>
        <v/>
      </c>
      <c r="AC33">
        <f>HYPERLINK("https://klasma.github.io/Logging_0512/tillsyn/A 11716-2025 tillsynsbegäran.docx", "A 11716-2025")</f>
        <v/>
      </c>
      <c r="AD33">
        <f>HYPERLINK("https://klasma.github.io/Logging_0512/tillsynsmail/A 11716-2025 tillsynsbegäran mail.docx", "A 11716-2025")</f>
        <v/>
      </c>
    </row>
    <row r="34" ht="15" customHeight="1">
      <c r="A34" t="inlineStr">
        <is>
          <t>A 16704-2025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45754</v>
      </c>
      <c r="E34" s="1" t="n">
        <v>46241</v>
      </c>
      <c r="F34" t="inlineStr">
        <is>
          <t>ÖSTERGÖTLANDS LÄN</t>
        </is>
      </c>
      <c r="G34" t="inlineStr">
        <is>
          <t>YDRE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HYPERLINK("https://klasma.github.io/Logging_0512/artfynd/A 16704-2025 artfynd.xlsx", "A 16704-2025")</f>
        <v/>
      </c>
      <c r="X34">
        <f>HYPERLINK("https://klasma.github.io/Logging_0512/kartor/A 16704-2025 karta.png", "A 16704-2025")</f>
        <v/>
      </c>
      <c r="Y34">
        <f>HYPERLINK("https://klasma.github.io/Logging_0512/kartor_geotiff/A 16704-2025 georefererad karta.tif", "A 16704-2025")</f>
        <v/>
      </c>
      <c r="AA34">
        <f>HYPERLINK("https://klasma.github.io/Logging_0512/klagomål/A 16704-2025 FSC-klagomål.docx", "A 16704-2025")</f>
        <v/>
      </c>
      <c r="AB34">
        <f>HYPERLINK("https://klasma.github.io/Logging_0512/klagomålsmail/A 16704-2025 FSC-klagomål mail.docx", "A 16704-2025")</f>
        <v/>
      </c>
      <c r="AC34">
        <f>HYPERLINK("https://klasma.github.io/Logging_0512/tillsyn/A 16704-2025 tillsynsbegäran.docx", "A 16704-2025")</f>
        <v/>
      </c>
      <c r="AD34">
        <f>HYPERLINK("https://klasma.github.io/Logging_0512/tillsynsmail/A 16704-2025 tillsynsbegäran mail.docx", "A 16704-2025")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46241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54520-2025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45965</v>
      </c>
      <c r="E36" s="1" t="n">
        <v>46241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Talltita</t>
        </is>
      </c>
      <c r="W36">
        <f>HYPERLINK("https://klasma.github.io/Logging_0512/artfynd/A 54520-2025 artfynd.xlsx", "A 54520-2025")</f>
        <v/>
      </c>
      <c r="X36">
        <f>HYPERLINK("https://klasma.github.io/Logging_0512/kartor/A 54520-2025 karta.png", "A 54520-2025")</f>
        <v/>
      </c>
      <c r="Y36">
        <f>HYPERLINK("https://klasma.github.io/Logging_0512/kartor_geotiff/A 54520-2025 georefererad karta.tif", "A 54520-2025")</f>
        <v/>
      </c>
      <c r="AA36">
        <f>HYPERLINK("https://klasma.github.io/Logging_0512/klagomål/A 54520-2025 FSC-klagomål.docx", "A 54520-2025")</f>
        <v/>
      </c>
      <c r="AB36">
        <f>HYPERLINK("https://klasma.github.io/Logging_0512/klagomålsmail/A 54520-2025 FSC-klagomål mail.docx", "A 54520-2025")</f>
        <v/>
      </c>
      <c r="AC36">
        <f>HYPERLINK("https://klasma.github.io/Logging_0512/tillsyn/A 54520-2025 tillsynsbegäran.docx", "A 54520-2025")</f>
        <v/>
      </c>
      <c r="AD36">
        <f>HYPERLINK("https://klasma.github.io/Logging_0512/tillsynsmail/A 54520-2025 tillsynsbegäran mail.docx", "A 54520-2025")</f>
        <v/>
      </c>
      <c r="AE36">
        <f>HYPERLINK("https://klasma.github.io/Logging_0512/fåglar/A 54520-2025 prioriterade fågelarter.docx", "A 54520-2025")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46241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29200-2026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46241</v>
      </c>
      <c r="F38" t="inlineStr">
        <is>
          <t>ÖSTERGÖTLANDS LÄN</t>
        </is>
      </c>
      <c r="G38" t="inlineStr">
        <is>
          <t>YDRE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HYPERLINK("https://klasma.github.io/Logging_0512/artfynd/A 29200-2026 artfynd.xlsx", "A 29200-2026")</f>
        <v/>
      </c>
      <c r="X38">
        <f>HYPERLINK("https://klasma.github.io/Logging_0512/kartor/A 29200-2026 karta.png", "A 29200-2026")</f>
        <v/>
      </c>
      <c r="Y38">
        <f>HYPERLINK("https://klasma.github.io/Logging_0512/kartor_geotiff/A 29200-2026 georefererad karta.tif", "A 29200-2026")</f>
        <v/>
      </c>
      <c r="AA38">
        <f>HYPERLINK("https://klasma.github.io/Logging_0512/klagomål/A 29200-2026 FSC-klagomål.docx", "A 29200-2026")</f>
        <v/>
      </c>
      <c r="AB38">
        <f>HYPERLINK("https://klasma.github.io/Logging_0512/klagomålsmail/A 29200-2026 FSC-klagomål mail.docx", "A 29200-2026")</f>
        <v/>
      </c>
      <c r="AC38">
        <f>HYPERLINK("https://klasma.github.io/Logging_0512/tillsyn/A 29200-2026 tillsynsbegäran.docx", "A 29200-2026")</f>
        <v/>
      </c>
      <c r="AD38">
        <f>HYPERLINK("https://klasma.github.io/Logging_0512/tillsynsmail/A 29200-2026 tillsynsbegäran mail.docx", "A 29200-2026")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46241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46241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46241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47467-2021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44447</v>
      </c>
      <c r="E42" s="1" t="n">
        <v>46241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HYPERLINK("https://klasma.github.io/Logging_0512/artfynd/A 47467-2021 artfynd.xlsx", "A 47467-2021")</f>
        <v/>
      </c>
      <c r="X42">
        <f>HYPERLINK("https://klasma.github.io/Logging_0512/kartor/A 47467-2021 karta.png", "A 47467-2021")</f>
        <v/>
      </c>
      <c r="Y42">
        <f>HYPERLINK("https://klasma.github.io/Logging_0512/kartor_geotiff/A 47467-2021 georefererad karta.tif", "A 47467-2021")</f>
        <v/>
      </c>
      <c r="AA42">
        <f>HYPERLINK("https://klasma.github.io/Logging_0512/klagomål/A 47467-2021 FSC-klagomål.docx", "A 47467-2021")</f>
        <v/>
      </c>
      <c r="AB42">
        <f>HYPERLINK("https://klasma.github.io/Logging_0512/klagomålsmail/A 47467-2021 FSC-klagomål mail.docx", "A 47467-2021")</f>
        <v/>
      </c>
      <c r="AC42">
        <f>HYPERLINK("https://klasma.github.io/Logging_0512/tillsyn/A 47467-2021 tillsynsbegäran.docx", "A 47467-2021")</f>
        <v/>
      </c>
      <c r="AD42">
        <f>HYPERLINK("https://klasma.github.io/Logging_0512/tillsynsmail/A 47467-2021 tillsynsbegäran mail.docx", "A 47467-2021")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46241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A 53049-2024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46241</v>
      </c>
      <c r="F44" t="inlineStr">
        <is>
          <t>ÖSTERGÖTLANDS LÄN</t>
        </is>
      </c>
      <c r="G44" t="inlineStr">
        <is>
          <t>YDRE</t>
        </is>
      </c>
      <c r="H44" t="inlineStr">
        <is>
          <t>Övriga Aktiebolag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Mosippa</t>
        </is>
      </c>
      <c r="W44">
        <f>HYPERLINK("https://klasma.github.io/Logging_0512/artfynd/A 53049-2024 artfynd.xlsx", "A 53049-2024")</f>
        <v/>
      </c>
      <c r="X44">
        <f>HYPERLINK("https://klasma.github.io/Logging_0512/kartor/A 53049-2024 karta.png", "A 53049-2024")</f>
        <v/>
      </c>
      <c r="Y44">
        <f>HYPERLINK("https://klasma.github.io/Logging_0512/kartor_geotiff/A 53049-2024 georefererad karta.tif", "A 53049-2024")</f>
        <v/>
      </c>
      <c r="AA44">
        <f>HYPERLINK("https://klasma.github.io/Logging_0512/klagomål/A 53049-2024 FSC-klagomål.docx", "A 53049-2024")</f>
        <v/>
      </c>
      <c r="AB44">
        <f>HYPERLINK("https://klasma.github.io/Logging_0512/klagomålsmail/A 53049-2024 FSC-klagomål mail.docx", "A 53049-2024")</f>
        <v/>
      </c>
      <c r="AC44">
        <f>HYPERLINK("https://klasma.github.io/Logging_0512/tillsyn/A 53049-2024 tillsynsbegäran.docx", "A 53049-2024")</f>
        <v/>
      </c>
      <c r="AD44">
        <f>HYPERLINK("https://klasma.github.io/Logging_0512/tillsynsmail/A 53049-2024 tillsynsbegäran mail.docx", "A 53049-2024")</f>
        <v/>
      </c>
    </row>
    <row r="45" ht="15" customHeight="1">
      <c r="A45" t="inlineStr">
        <is>
          <t>A 41907-2024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45561</v>
      </c>
      <c r="E45" s="1" t="n">
        <v>46241</v>
      </c>
      <c r="F45" t="inlineStr">
        <is>
          <t>ÖSTERGÖTLANDS LÄN</t>
        </is>
      </c>
      <c r="G45" t="inlineStr">
        <is>
          <t>YDRE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Grovticka</t>
        </is>
      </c>
      <c r="W45">
        <f>HYPERLINK("https://klasma.github.io/Logging_0512/artfynd/A 41907-2024 artfynd.xlsx", "A 41907-2024")</f>
        <v/>
      </c>
      <c r="X45">
        <f>HYPERLINK("https://klasma.github.io/Logging_0512/kartor/A 41907-2024 karta.png", "A 41907-2024")</f>
        <v/>
      </c>
      <c r="Y45">
        <f>HYPERLINK("https://klasma.github.io/Logging_0512/kartor_geotiff/A 41907-2024 georefererad karta.tif", "A 41907-2024")</f>
        <v/>
      </c>
      <c r="AA45">
        <f>HYPERLINK("https://klasma.github.io/Logging_0512/klagomål/A 41907-2024 FSC-klagomål.docx", "A 41907-2024")</f>
        <v/>
      </c>
      <c r="AB45">
        <f>HYPERLINK("https://klasma.github.io/Logging_0512/klagomålsmail/A 41907-2024 FSC-klagomål mail.docx", "A 41907-2024")</f>
        <v/>
      </c>
      <c r="AC45">
        <f>HYPERLINK("https://klasma.github.io/Logging_0512/tillsyn/A 41907-2024 tillsynsbegäran.docx", "A 41907-2024")</f>
        <v/>
      </c>
      <c r="AD45">
        <f>HYPERLINK("https://klasma.github.io/Logging_0512/tillsynsmail/A 41907-2024 tillsynsbegäran mail.docx", "A 41907-2024")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46241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46241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46241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46241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46241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46241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46241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46241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46241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46241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46241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46241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46241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46241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46241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46241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46241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46241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46241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46241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46241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46241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46241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46241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46241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46241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46241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46241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46241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44418</v>
      </c>
      <c r="E75" s="1" t="n">
        <v>46241</v>
      </c>
      <c r="F75" t="inlineStr">
        <is>
          <t>ÖSTERGÖTLANDS LÄN</t>
        </is>
      </c>
      <c r="G75" t="inlineStr">
        <is>
          <t>YDRE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46241</v>
      </c>
      <c r="F76" t="inlineStr">
        <is>
          <t>ÖSTERGÖTLANDS LÄN</t>
        </is>
      </c>
      <c r="G76" t="inlineStr">
        <is>
          <t>YDRE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46241</v>
      </c>
      <c r="F77" t="inlineStr">
        <is>
          <t>ÖSTERGÖTLANDS LÄN</t>
        </is>
      </c>
      <c r="G77" t="inlineStr">
        <is>
          <t>YDRE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46241</v>
      </c>
      <c r="F78" t="inlineStr">
        <is>
          <t>ÖSTERGÖTLANDS LÄN</t>
        </is>
      </c>
      <c r="G78" t="inlineStr">
        <is>
          <t>YDRE</t>
        </is>
      </c>
      <c r="H78" t="inlineStr">
        <is>
          <t>Övriga Aktiebolag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46241</v>
      </c>
      <c r="F79" t="inlineStr">
        <is>
          <t>ÖSTERGÖTLANDS LÄN</t>
        </is>
      </c>
      <c r="G79" t="inlineStr">
        <is>
          <t>YDRE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44650</v>
      </c>
      <c r="E80" s="1" t="n">
        <v>46241</v>
      </c>
      <c r="F80" t="inlineStr">
        <is>
          <t>ÖSTERGÖTLANDS LÄN</t>
        </is>
      </c>
      <c r="G80" t="inlineStr">
        <is>
          <t>YDRE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44827</v>
      </c>
      <c r="E81" s="1" t="n">
        <v>46241</v>
      </c>
      <c r="F81" t="inlineStr">
        <is>
          <t>ÖSTERGÖTLANDS LÄN</t>
        </is>
      </c>
      <c r="G81" t="inlineStr">
        <is>
          <t>YDRE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27744-2022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46241</v>
      </c>
      <c r="F82" t="inlineStr">
        <is>
          <t>ÖSTERGÖTLANDS LÄN</t>
        </is>
      </c>
      <c r="G82" t="inlineStr">
        <is>
          <t>YDRE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71041-2021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46241</v>
      </c>
      <c r="F83" t="inlineStr">
        <is>
          <t>ÖSTERGÖTLANDS LÄN</t>
        </is>
      </c>
      <c r="G83" t="inlineStr">
        <is>
          <t>YDRE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46241</v>
      </c>
      <c r="F84" t="inlineStr">
        <is>
          <t>ÖSTERGÖTLANDS LÄN</t>
        </is>
      </c>
      <c r="G84" t="inlineStr">
        <is>
          <t>YDRE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69307-2021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44531</v>
      </c>
      <c r="E85" s="1" t="n">
        <v>46241</v>
      </c>
      <c r="F85" t="inlineStr">
        <is>
          <t>ÖSTERGÖTLANDS LÄN</t>
        </is>
      </c>
      <c r="G85" t="inlineStr">
        <is>
          <t>YDRE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42103-2021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46241</v>
      </c>
      <c r="F86" t="inlineStr">
        <is>
          <t>ÖSTERGÖTLANDS LÄN</t>
        </is>
      </c>
      <c r="G86" t="inlineStr">
        <is>
          <t>YDRE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46241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45414</v>
      </c>
      <c r="E88" s="1" t="n">
        <v>46241</v>
      </c>
      <c r="F88" t="inlineStr">
        <is>
          <t>ÖSTERGÖTLANDS LÄN</t>
        </is>
      </c>
      <c r="G88" t="inlineStr">
        <is>
          <t>YDRE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44447</v>
      </c>
      <c r="E89" s="1" t="n">
        <v>46241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44874</v>
      </c>
      <c r="E90" s="1" t="n">
        <v>46241</v>
      </c>
      <c r="F90" t="inlineStr">
        <is>
          <t>ÖSTERGÖTLANDS LÄN</t>
        </is>
      </c>
      <c r="G90" t="inlineStr">
        <is>
          <t>YDRE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45371</v>
      </c>
      <c r="E91" s="1" t="n">
        <v>46241</v>
      </c>
      <c r="F91" t="inlineStr">
        <is>
          <t>ÖSTERGÖTLANDS LÄN</t>
        </is>
      </c>
      <c r="G91" t="inlineStr">
        <is>
          <t>YDRE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17968-2024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46241</v>
      </c>
      <c r="F92" t="inlineStr">
        <is>
          <t>ÖSTERGÖTLANDS LÄN</t>
        </is>
      </c>
      <c r="G92" t="inlineStr">
        <is>
          <t>YDRE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46241</v>
      </c>
      <c r="F93" t="inlineStr">
        <is>
          <t>ÖSTERGÖTLANDS LÄN</t>
        </is>
      </c>
      <c r="G93" t="inlineStr">
        <is>
          <t>YDRE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46241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46241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44439</v>
      </c>
      <c r="E96" s="1" t="n">
        <v>46241</v>
      </c>
      <c r="F96" t="inlineStr">
        <is>
          <t>ÖSTERGÖTLANDS LÄN</t>
        </is>
      </c>
      <c r="G96" t="inlineStr">
        <is>
          <t>YDRE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46241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45273</v>
      </c>
      <c r="E98" s="1" t="n">
        <v>46241</v>
      </c>
      <c r="F98" t="inlineStr">
        <is>
          <t>ÖSTERGÖTLANDS LÄN</t>
        </is>
      </c>
      <c r="G98" t="inlineStr">
        <is>
          <t>YDRE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55844-2021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44476</v>
      </c>
      <c r="E99" s="1" t="n">
        <v>46241</v>
      </c>
      <c r="F99" t="inlineStr">
        <is>
          <t>ÖSTERGÖTLANDS LÄN</t>
        </is>
      </c>
      <c r="G99" t="inlineStr">
        <is>
          <t>YDRE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46241</v>
      </c>
      <c r="F100" t="inlineStr">
        <is>
          <t>ÖSTERGÖTLANDS LÄN</t>
        </is>
      </c>
      <c r="G100" t="inlineStr">
        <is>
          <t>YDRE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46241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46241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45647</v>
      </c>
      <c r="E103" s="1" t="n">
        <v>46241</v>
      </c>
      <c r="F103" t="inlineStr">
        <is>
          <t>ÖSTERGÖTLANDS LÄN</t>
        </is>
      </c>
      <c r="G103" t="inlineStr">
        <is>
          <t>YDRE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45649</v>
      </c>
      <c r="E104" s="1" t="n">
        <v>46241</v>
      </c>
      <c r="F104" t="inlineStr">
        <is>
          <t>ÖSTERGÖTLANDS LÄN</t>
        </is>
      </c>
      <c r="G104" t="inlineStr">
        <is>
          <t>YDRE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45475</v>
      </c>
      <c r="E105" s="1" t="n">
        <v>46241</v>
      </c>
      <c r="F105" t="inlineStr">
        <is>
          <t>ÖSTERGÖTLANDS LÄN</t>
        </is>
      </c>
      <c r="G105" t="inlineStr">
        <is>
          <t>YDRE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45218</v>
      </c>
      <c r="E106" s="1" t="n">
        <v>46241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46241</v>
      </c>
      <c r="F107" t="inlineStr">
        <is>
          <t>ÖSTERGÖTLANDS LÄN</t>
        </is>
      </c>
      <c r="G107" t="inlineStr">
        <is>
          <t>YDRE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40988-2024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45558</v>
      </c>
      <c r="E108" s="1" t="n">
        <v>46241</v>
      </c>
      <c r="F108" t="inlineStr">
        <is>
          <t>ÖSTERGÖTLANDS LÄN</t>
        </is>
      </c>
      <c r="G108" t="inlineStr">
        <is>
          <t>YDRE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59811-2022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46241</v>
      </c>
      <c r="F109" t="inlineStr">
        <is>
          <t>ÖSTERGÖTLANDS LÄN</t>
        </is>
      </c>
      <c r="G109" t="inlineStr">
        <is>
          <t>YDRE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46241</v>
      </c>
      <c r="F110" t="inlineStr">
        <is>
          <t>ÖSTERGÖTLANDS LÄN</t>
        </is>
      </c>
      <c r="G110" t="inlineStr">
        <is>
          <t>YDRE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46241</v>
      </c>
      <c r="F111" t="inlineStr">
        <is>
          <t>ÖSTERGÖTLANDS LÄN</t>
        </is>
      </c>
      <c r="G111" t="inlineStr">
        <is>
          <t>YDRE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44966</v>
      </c>
      <c r="E112" s="1" t="n">
        <v>46241</v>
      </c>
      <c r="F112" t="inlineStr">
        <is>
          <t>ÖSTERGÖTLANDS LÄN</t>
        </is>
      </c>
      <c r="G112" t="inlineStr">
        <is>
          <t>YDRE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45355</v>
      </c>
      <c r="E113" s="1" t="n">
        <v>46241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44283-2021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44435</v>
      </c>
      <c r="E114" s="1" t="n">
        <v>46241</v>
      </c>
      <c r="F114" t="inlineStr">
        <is>
          <t>ÖSTERGÖTLANDS LÄN</t>
        </is>
      </c>
      <c r="G114" t="inlineStr">
        <is>
          <t>YDRE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45099</v>
      </c>
      <c r="E115" s="1" t="n">
        <v>46241</v>
      </c>
      <c r="F115" t="inlineStr">
        <is>
          <t>ÖSTERGÖTLANDS LÄN</t>
        </is>
      </c>
      <c r="G115" t="inlineStr">
        <is>
          <t>YDRE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46241</v>
      </c>
      <c r="F116" t="inlineStr">
        <is>
          <t>ÖSTERGÖTLANDS LÄN</t>
        </is>
      </c>
      <c r="G116" t="inlineStr">
        <is>
          <t>YDRE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46241</v>
      </c>
      <c r="F117" t="inlineStr">
        <is>
          <t>ÖSTERGÖTLANDS LÄN</t>
        </is>
      </c>
      <c r="G117" t="inlineStr">
        <is>
          <t>YDRE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44490</v>
      </c>
      <c r="E118" s="1" t="n">
        <v>46241</v>
      </c>
      <c r="F118" t="inlineStr">
        <is>
          <t>ÖSTERGÖTLANDS LÄN</t>
        </is>
      </c>
      <c r="G118" t="inlineStr">
        <is>
          <t>YDRE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46241</v>
      </c>
      <c r="F119" t="inlineStr">
        <is>
          <t>ÖSTERGÖTLANDS LÄN</t>
        </is>
      </c>
      <c r="G119" t="inlineStr">
        <is>
          <t>YDRE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14101-2022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44651</v>
      </c>
      <c r="E120" s="1" t="n">
        <v>46241</v>
      </c>
      <c r="F120" t="inlineStr">
        <is>
          <t>ÖSTERGÖTLANDS LÄN</t>
        </is>
      </c>
      <c r="G120" t="inlineStr">
        <is>
          <t>YDRE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46241</v>
      </c>
      <c r="F121" t="inlineStr">
        <is>
          <t>ÖSTERGÖTLANDS LÄN</t>
        </is>
      </c>
      <c r="G121" t="inlineStr">
        <is>
          <t>YDRE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46241</v>
      </c>
      <c r="F122" t="inlineStr">
        <is>
          <t>ÖSTERGÖTLANDS LÄN</t>
        </is>
      </c>
      <c r="G122" t="inlineStr">
        <is>
          <t>YDRE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46241</v>
      </c>
      <c r="F123" t="inlineStr">
        <is>
          <t>ÖSTERGÖTLANDS LÄN</t>
        </is>
      </c>
      <c r="G123" t="inlineStr">
        <is>
          <t>YDRE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45575</v>
      </c>
      <c r="E124" s="1" t="n">
        <v>46241</v>
      </c>
      <c r="F124" t="inlineStr">
        <is>
          <t>ÖSTERGÖTLANDS LÄN</t>
        </is>
      </c>
      <c r="G124" t="inlineStr">
        <is>
          <t>YDRE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46241</v>
      </c>
      <c r="F125" t="inlineStr">
        <is>
          <t>ÖSTERGÖTLANDS LÄN</t>
        </is>
      </c>
      <c r="G125" t="inlineStr">
        <is>
          <t>YDRE</t>
        </is>
      </c>
      <c r="H125" t="inlineStr">
        <is>
          <t>Kyrkan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17184-2026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46116</v>
      </c>
      <c r="E126" s="1" t="n">
        <v>46241</v>
      </c>
      <c r="F126" t="inlineStr">
        <is>
          <t>ÖSTERGÖTLANDS LÄN</t>
        </is>
      </c>
      <c r="G126" t="inlineStr">
        <is>
          <t>YDRE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46241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46241</v>
      </c>
      <c r="F128" t="inlineStr">
        <is>
          <t>ÖSTERGÖTLANDS LÄN</t>
        </is>
      </c>
      <c r="G128" t="inlineStr">
        <is>
          <t>YDRE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46241</v>
      </c>
      <c r="F129" t="inlineStr">
        <is>
          <t>ÖSTERGÖTLANDS LÄN</t>
        </is>
      </c>
      <c r="G129" t="inlineStr">
        <is>
          <t>YDRE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46121</v>
      </c>
      <c r="E130" s="1" t="n">
        <v>46241</v>
      </c>
      <c r="F130" t="inlineStr">
        <is>
          <t>ÖSTERGÖTLANDS LÄN</t>
        </is>
      </c>
      <c r="G130" t="inlineStr">
        <is>
          <t>YDRE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46241</v>
      </c>
      <c r="F131" t="inlineStr">
        <is>
          <t>ÖSTERGÖTLANDS LÄN</t>
        </is>
      </c>
      <c r="G131" t="inlineStr">
        <is>
          <t>YDRE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46241</v>
      </c>
      <c r="F132" t="inlineStr">
        <is>
          <t>ÖSTERGÖTLANDS LÄN</t>
        </is>
      </c>
      <c r="G132" t="inlineStr">
        <is>
          <t>YDRE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18181-2026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46125</v>
      </c>
      <c r="E133" s="1" t="n">
        <v>46241</v>
      </c>
      <c r="F133" t="inlineStr">
        <is>
          <t>ÖSTERGÖTLANDS LÄN</t>
        </is>
      </c>
      <c r="G133" t="inlineStr">
        <is>
          <t>YDRE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46241</v>
      </c>
      <c r="F134" t="inlineStr">
        <is>
          <t>ÖSTERGÖTLANDS LÄN</t>
        </is>
      </c>
      <c r="G134" t="inlineStr">
        <is>
          <t>YDRE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44417</v>
      </c>
      <c r="E135" s="1" t="n">
        <v>46241</v>
      </c>
      <c r="F135" t="inlineStr">
        <is>
          <t>ÖSTERGÖTLANDS LÄN</t>
        </is>
      </c>
      <c r="G135" t="inlineStr">
        <is>
          <t>YDRE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39906-2021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44417</v>
      </c>
      <c r="E136" s="1" t="n">
        <v>46241</v>
      </c>
      <c r="F136" t="inlineStr">
        <is>
          <t>ÖSTERGÖTLANDS LÄN</t>
        </is>
      </c>
      <c r="G136" t="inlineStr">
        <is>
          <t>YDRE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46125</v>
      </c>
      <c r="E137" s="1" t="n">
        <v>46241</v>
      </c>
      <c r="F137" t="inlineStr">
        <is>
          <t>ÖSTERGÖTLANDS LÄN</t>
        </is>
      </c>
      <c r="G137" t="inlineStr">
        <is>
          <t>YDRE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46241</v>
      </c>
      <c r="F138" t="inlineStr">
        <is>
          <t>ÖSTERGÖTLANDS LÄN</t>
        </is>
      </c>
      <c r="G138" t="inlineStr">
        <is>
          <t>YDRE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46241</v>
      </c>
      <c r="F139" t="inlineStr">
        <is>
          <t>ÖSTERGÖTLANDS LÄN</t>
        </is>
      </c>
      <c r="G139" t="inlineStr">
        <is>
          <t>YDRE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46241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46126</v>
      </c>
      <c r="E141" s="1" t="n">
        <v>46241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46241</v>
      </c>
      <c r="F142" t="inlineStr">
        <is>
          <t>ÖSTERGÖTLANDS LÄN</t>
        </is>
      </c>
      <c r="G142" t="inlineStr">
        <is>
          <t>YDRE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46241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12.4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46241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46241</v>
      </c>
      <c r="F145" t="inlineStr">
        <is>
          <t>ÖSTERGÖTLANDS LÄN</t>
        </is>
      </c>
      <c r="G145" t="inlineStr">
        <is>
          <t>YDRE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46241</v>
      </c>
      <c r="F146" t="inlineStr">
        <is>
          <t>ÖSTERGÖTLANDS LÄN</t>
        </is>
      </c>
      <c r="G146" t="inlineStr">
        <is>
          <t>YDRE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46241</v>
      </c>
      <c r="F147" t="inlineStr">
        <is>
          <t>ÖSTERGÖTLANDS LÄN</t>
        </is>
      </c>
      <c r="G147" t="inlineStr">
        <is>
          <t>YDRE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44966</v>
      </c>
      <c r="E148" s="1" t="n">
        <v>46241</v>
      </c>
      <c r="F148" t="inlineStr">
        <is>
          <t>ÖSTERGÖTLANDS LÄN</t>
        </is>
      </c>
      <c r="G148" t="inlineStr">
        <is>
          <t>YDRE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46241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46241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45575</v>
      </c>
      <c r="E151" s="1" t="n">
        <v>46241</v>
      </c>
      <c r="F151" t="inlineStr">
        <is>
          <t>ÖSTERGÖTLANDS LÄN</t>
        </is>
      </c>
      <c r="G151" t="inlineStr">
        <is>
          <t>YDRE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46241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46241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46241</v>
      </c>
      <c r="F154" t="inlineStr">
        <is>
          <t>ÖSTERGÖTLANDS LÄN</t>
        </is>
      </c>
      <c r="G154" t="inlineStr">
        <is>
          <t>YDRE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46241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45016</v>
      </c>
      <c r="E156" s="1" t="n">
        <v>46241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45922</v>
      </c>
      <c r="E157" s="1" t="n">
        <v>46241</v>
      </c>
      <c r="F157" t="inlineStr">
        <is>
          <t>ÖSTERGÖTLANDS LÄN</t>
        </is>
      </c>
      <c r="G157" t="inlineStr">
        <is>
          <t>YDRE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45634</v>
      </c>
      <c r="E158" s="1" t="n">
        <v>46241</v>
      </c>
      <c r="F158" t="inlineStr">
        <is>
          <t>ÖSTERGÖTLANDS LÄN</t>
        </is>
      </c>
      <c r="G158" t="inlineStr">
        <is>
          <t>YDRE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45649</v>
      </c>
      <c r="E159" s="1" t="n">
        <v>46241</v>
      </c>
      <c r="F159" t="inlineStr">
        <is>
          <t>ÖSTERGÖTLANDS LÄN</t>
        </is>
      </c>
      <c r="G159" t="inlineStr">
        <is>
          <t>YDRE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46086-2025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45924</v>
      </c>
      <c r="E160" s="1" t="n">
        <v>46241</v>
      </c>
      <c r="F160" t="inlineStr">
        <is>
          <t>ÖSTERGÖTLANDS LÄN</t>
        </is>
      </c>
      <c r="G160" t="inlineStr">
        <is>
          <t>YDRE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45924</v>
      </c>
      <c r="E161" s="1" t="n">
        <v>46241</v>
      </c>
      <c r="F161" t="inlineStr">
        <is>
          <t>ÖSTERGÖTLANDS LÄN</t>
        </is>
      </c>
      <c r="G161" t="inlineStr">
        <is>
          <t>YDRE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45736</v>
      </c>
      <c r="E162" s="1" t="n">
        <v>46241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45666</v>
      </c>
      <c r="E163" s="1" t="n">
        <v>46241</v>
      </c>
      <c r="F163" t="inlineStr">
        <is>
          <t>ÖSTERGÖTLANDS LÄN</t>
        </is>
      </c>
      <c r="G163" t="inlineStr">
        <is>
          <t>YDRE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45246</v>
      </c>
      <c r="E164" s="1" t="n">
        <v>46241</v>
      </c>
      <c r="F164" t="inlineStr">
        <is>
          <t>ÖSTERGÖTLANDS LÄN</t>
        </is>
      </c>
      <c r="G164" t="inlineStr">
        <is>
          <t>YDRE</t>
        </is>
      </c>
      <c r="H164" t="inlineStr">
        <is>
          <t>Sveaskog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38928-2022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44816</v>
      </c>
      <c r="E165" s="1" t="n">
        <v>46241</v>
      </c>
      <c r="F165" t="inlineStr">
        <is>
          <t>ÖSTERGÖTLANDS LÄN</t>
        </is>
      </c>
      <c r="G165" t="inlineStr">
        <is>
          <t>YDRE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46241</v>
      </c>
      <c r="F166" t="inlineStr">
        <is>
          <t>ÖSTERGÖTLANDS LÄN</t>
        </is>
      </c>
      <c r="G166" t="inlineStr">
        <is>
          <t>YDRE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46241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46241</v>
      </c>
      <c r="F168" t="inlineStr">
        <is>
          <t>ÖSTERGÖTLANDS LÄN</t>
        </is>
      </c>
      <c r="G168" t="inlineStr">
        <is>
          <t>YDRE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44562</v>
      </c>
      <c r="E169" s="1" t="n">
        <v>46241</v>
      </c>
      <c r="F169" t="inlineStr">
        <is>
          <t>ÖSTERGÖTLANDS LÄN</t>
        </is>
      </c>
      <c r="G169" t="inlineStr">
        <is>
          <t>YDRE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46241</v>
      </c>
      <c r="F170" t="inlineStr">
        <is>
          <t>ÖSTERGÖTLANDS LÄN</t>
        </is>
      </c>
      <c r="G170" t="inlineStr">
        <is>
          <t>YDRE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46241</v>
      </c>
      <c r="F171" t="inlineStr">
        <is>
          <t>ÖSTERGÖTLANDS LÄN</t>
        </is>
      </c>
      <c r="G171" t="inlineStr">
        <is>
          <t>YDRE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46241</v>
      </c>
      <c r="F172" t="inlineStr">
        <is>
          <t>ÖSTERGÖTLANDS LÄN</t>
        </is>
      </c>
      <c r="G172" t="inlineStr">
        <is>
          <t>YDRE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48026-2025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46241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46241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61942-2021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46241</v>
      </c>
      <c r="F175" t="inlineStr">
        <is>
          <t>ÖSTERGÖTLANDS LÄN</t>
        </is>
      </c>
      <c r="G175" t="inlineStr">
        <is>
          <t>YDRE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45871</v>
      </c>
      <c r="E176" s="1" t="n">
        <v>46241</v>
      </c>
      <c r="F176" t="inlineStr">
        <is>
          <t>ÖSTERGÖTLANDS LÄN</t>
        </is>
      </c>
      <c r="G176" t="inlineStr">
        <is>
          <t>YDRE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46241</v>
      </c>
      <c r="F177" t="inlineStr">
        <is>
          <t>ÖSTERGÖTLANDS LÄN</t>
        </is>
      </c>
      <c r="G177" t="inlineStr">
        <is>
          <t>YDRE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45707</v>
      </c>
      <c r="E178" s="1" t="n">
        <v>46241</v>
      </c>
      <c r="F178" t="inlineStr">
        <is>
          <t>ÖSTERGÖTLANDS LÄN</t>
        </is>
      </c>
      <c r="G178" t="inlineStr">
        <is>
          <t>YDRE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46241</v>
      </c>
      <c r="F179" t="inlineStr">
        <is>
          <t>ÖSTERGÖTLANDS LÄN</t>
        </is>
      </c>
      <c r="G179" t="inlineStr">
        <is>
          <t>YDRE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46241</v>
      </c>
      <c r="F180" t="inlineStr">
        <is>
          <t>ÖSTERGÖTLANDS LÄN</t>
        </is>
      </c>
      <c r="G180" t="inlineStr">
        <is>
          <t>YDRE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46241</v>
      </c>
      <c r="F181" t="inlineStr">
        <is>
          <t>ÖSTERGÖTLANDS LÄN</t>
        </is>
      </c>
      <c r="G181" t="inlineStr">
        <is>
          <t>YDRE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30535-2025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46241</v>
      </c>
      <c r="F182" t="inlineStr">
        <is>
          <t>ÖSTERGÖTLANDS LÄN</t>
        </is>
      </c>
      <c r="G182" t="inlineStr">
        <is>
          <t>YDRE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46241</v>
      </c>
      <c r="F183" t="inlineStr">
        <is>
          <t>ÖSTERGÖTLANDS LÄN</t>
        </is>
      </c>
      <c r="G183" t="inlineStr">
        <is>
          <t>YDRE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9160-2023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44980</v>
      </c>
      <c r="E184" s="1" t="n">
        <v>46241</v>
      </c>
      <c r="F184" t="inlineStr">
        <is>
          <t>ÖSTERGÖTLANDS LÄN</t>
        </is>
      </c>
      <c r="G184" t="inlineStr">
        <is>
          <t>YDRE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46241</v>
      </c>
      <c r="F185" t="inlineStr">
        <is>
          <t>ÖSTERGÖTLANDS LÄN</t>
        </is>
      </c>
      <c r="G185" t="inlineStr">
        <is>
          <t>YDRE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46241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46241</v>
      </c>
      <c r="F187" t="inlineStr">
        <is>
          <t>ÖSTERGÖTLANDS LÄN</t>
        </is>
      </c>
      <c r="G187" t="inlineStr">
        <is>
          <t>YDRE</t>
        </is>
      </c>
      <c r="H187" t="inlineStr">
        <is>
          <t>Övriga Aktiebolag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46241</v>
      </c>
      <c r="F188" t="inlineStr">
        <is>
          <t>ÖSTERGÖTLANDS LÄN</t>
        </is>
      </c>
      <c r="G188" t="inlineStr">
        <is>
          <t>YDRE</t>
        </is>
      </c>
      <c r="H188" t="inlineStr">
        <is>
          <t>Övriga Aktiebolag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46241</v>
      </c>
      <c r="F189" t="inlineStr">
        <is>
          <t>ÖSTERGÖTLANDS LÄN</t>
        </is>
      </c>
      <c r="G189" t="inlineStr">
        <is>
          <t>YDRE</t>
        </is>
      </c>
      <c r="H189" t="inlineStr">
        <is>
          <t>Kyrkan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45334</v>
      </c>
      <c r="E190" s="1" t="n">
        <v>46241</v>
      </c>
      <c r="F190" t="inlineStr">
        <is>
          <t>ÖSTERGÖTLANDS LÄN</t>
        </is>
      </c>
      <c r="G190" t="inlineStr">
        <is>
          <t>YDRE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46241</v>
      </c>
      <c r="F191" t="inlineStr">
        <is>
          <t>ÖSTERGÖTLANDS LÄN</t>
        </is>
      </c>
      <c r="G191" t="inlineStr">
        <is>
          <t>YDRE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46241</v>
      </c>
      <c r="F192" t="inlineStr">
        <is>
          <t>ÖSTERGÖTLANDS LÄN</t>
        </is>
      </c>
      <c r="G192" t="inlineStr">
        <is>
          <t>YDRE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46241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44908</v>
      </c>
      <c r="E194" s="1" t="n">
        <v>46241</v>
      </c>
      <c r="F194" t="inlineStr">
        <is>
          <t>ÖSTERGÖTLANDS LÄN</t>
        </is>
      </c>
      <c r="G194" t="inlineStr">
        <is>
          <t>YDRE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46241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44480</v>
      </c>
      <c r="E196" s="1" t="n">
        <v>46241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51153-2022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44868</v>
      </c>
      <c r="E197" s="1" t="n">
        <v>46241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61205-2023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45264</v>
      </c>
      <c r="E198" s="1" t="n">
        <v>46241</v>
      </c>
      <c r="F198" t="inlineStr">
        <is>
          <t>ÖSTERGÖTLANDS LÄN</t>
        </is>
      </c>
      <c r="G198" t="inlineStr">
        <is>
          <t>YDRE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46241</v>
      </c>
      <c r="F199" t="inlineStr">
        <is>
          <t>ÖSTERGÖTLANDS LÄN</t>
        </is>
      </c>
      <c r="G199" t="inlineStr">
        <is>
          <t>YDRE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46241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45616</v>
      </c>
      <c r="E201" s="1" t="n">
        <v>46241</v>
      </c>
      <c r="F201" t="inlineStr">
        <is>
          <t>ÖSTERGÖTLANDS LÄN</t>
        </is>
      </c>
      <c r="G201" t="inlineStr">
        <is>
          <t>YDRE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46241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54063-2025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46241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62859-2023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45272</v>
      </c>
      <c r="E204" s="1" t="n">
        <v>46241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46241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46241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45737</v>
      </c>
      <c r="E207" s="1" t="n">
        <v>46241</v>
      </c>
      <c r="F207" t="inlineStr">
        <is>
          <t>ÖSTERGÖTLANDS LÄN</t>
        </is>
      </c>
      <c r="G207" t="inlineStr">
        <is>
          <t>YDRE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46241</v>
      </c>
      <c r="F208" t="inlineStr">
        <is>
          <t>ÖSTERGÖTLANDS LÄN</t>
        </is>
      </c>
      <c r="G208" t="inlineStr">
        <is>
          <t>YDRE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46241</v>
      </c>
      <c r="F209" t="inlineStr">
        <is>
          <t>ÖSTERGÖTLANDS LÄN</t>
        </is>
      </c>
      <c r="G209" t="inlineStr">
        <is>
          <t>YDRE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46241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46241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46241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46241</v>
      </c>
      <c r="F213" t="inlineStr">
        <is>
          <t>ÖSTERGÖTLANDS LÄN</t>
        </is>
      </c>
      <c r="G213" t="inlineStr">
        <is>
          <t>YDRE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46241</v>
      </c>
      <c r="F214" t="inlineStr">
        <is>
          <t>ÖSTERGÖTLANDS LÄN</t>
        </is>
      </c>
      <c r="G214" t="inlineStr">
        <is>
          <t>YDRE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46241</v>
      </c>
      <c r="F215" t="inlineStr">
        <is>
          <t>ÖSTERGÖTLANDS LÄN</t>
        </is>
      </c>
      <c r="G215" t="inlineStr">
        <is>
          <t>YDRE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46241</v>
      </c>
      <c r="F216" t="inlineStr">
        <is>
          <t>ÖSTERGÖTLANDS LÄN</t>
        </is>
      </c>
      <c r="G216" t="inlineStr">
        <is>
          <t>YDRE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45090</v>
      </c>
      <c r="E217" s="1" t="n">
        <v>46241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46241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57290-2021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44483</v>
      </c>
      <c r="E219" s="1" t="n">
        <v>46241</v>
      </c>
      <c r="F219" t="inlineStr">
        <is>
          <t>ÖSTERGÖTLANDS LÄN</t>
        </is>
      </c>
      <c r="G219" t="inlineStr">
        <is>
          <t>YDRE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45701</v>
      </c>
      <c r="E220" s="1" t="n">
        <v>46241</v>
      </c>
      <c r="F220" t="inlineStr">
        <is>
          <t>ÖSTERGÖTLANDS LÄN</t>
        </is>
      </c>
      <c r="G220" t="inlineStr">
        <is>
          <t>YDRE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46241</v>
      </c>
      <c r="F221" t="inlineStr">
        <is>
          <t>ÖSTERGÖTLANDS LÄN</t>
        </is>
      </c>
      <c r="G221" t="inlineStr">
        <is>
          <t>YDRE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46146</v>
      </c>
      <c r="E222" s="1" t="n">
        <v>46241</v>
      </c>
      <c r="F222" t="inlineStr">
        <is>
          <t>ÖSTERGÖTLANDS LÄN</t>
        </is>
      </c>
      <c r="G222" t="inlineStr">
        <is>
          <t>YDRE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44572</v>
      </c>
      <c r="E223" s="1" t="n">
        <v>46241</v>
      </c>
      <c r="F223" t="inlineStr">
        <is>
          <t>ÖSTERGÖTLANDS LÄN</t>
        </is>
      </c>
      <c r="G223" t="inlineStr">
        <is>
          <t>YDRE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46146</v>
      </c>
      <c r="E224" s="1" t="n">
        <v>46241</v>
      </c>
      <c r="F224" t="inlineStr">
        <is>
          <t>ÖSTERGÖTLANDS LÄN</t>
        </is>
      </c>
      <c r="G224" t="inlineStr">
        <is>
          <t>YDRE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46241</v>
      </c>
      <c r="F225" t="inlineStr">
        <is>
          <t>ÖSTERGÖTLANDS LÄN</t>
        </is>
      </c>
      <c r="G225" t="inlineStr">
        <is>
          <t>YDRE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21070-2026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46146</v>
      </c>
      <c r="E226" s="1" t="n">
        <v>46241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46241</v>
      </c>
      <c r="F227" t="inlineStr">
        <is>
          <t>ÖSTERGÖTLANDS LÄN</t>
        </is>
      </c>
      <c r="G227" t="inlineStr">
        <is>
          <t>YDRE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46241</v>
      </c>
      <c r="F228" t="inlineStr">
        <is>
          <t>ÖSTERGÖTLANDS LÄN</t>
        </is>
      </c>
      <c r="G228" t="inlineStr">
        <is>
          <t>YDRE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46241</v>
      </c>
      <c r="F229" t="inlineStr">
        <is>
          <t>ÖSTERGÖTLANDS LÄN</t>
        </is>
      </c>
      <c r="G229" t="inlineStr">
        <is>
          <t>YDRE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44831</v>
      </c>
      <c r="E230" s="1" t="n">
        <v>46241</v>
      </c>
      <c r="F230" t="inlineStr">
        <is>
          <t>ÖSTERGÖTLANDS LÄN</t>
        </is>
      </c>
      <c r="G230" t="inlineStr">
        <is>
          <t>YDRE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45587</v>
      </c>
      <c r="E231" s="1" t="n">
        <v>46241</v>
      </c>
      <c r="F231" t="inlineStr">
        <is>
          <t>ÖSTERGÖTLANDS LÄN</t>
        </is>
      </c>
      <c r="G231" t="inlineStr">
        <is>
          <t>YDRE</t>
        </is>
      </c>
      <c r="H231" t="inlineStr">
        <is>
          <t>Kyrkan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46241</v>
      </c>
      <c r="F232" t="inlineStr">
        <is>
          <t>ÖSTERGÖTLANDS LÄN</t>
        </is>
      </c>
      <c r="G232" t="inlineStr">
        <is>
          <t>YDRE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68983-2021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44530</v>
      </c>
      <c r="E233" s="1" t="n">
        <v>46241</v>
      </c>
      <c r="F233" t="inlineStr">
        <is>
          <t>ÖSTERGÖTLANDS LÄN</t>
        </is>
      </c>
      <c r="G233" t="inlineStr">
        <is>
          <t>YDRE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45335</v>
      </c>
      <c r="E234" s="1" t="n">
        <v>46241</v>
      </c>
      <c r="F234" t="inlineStr">
        <is>
          <t>ÖSTERGÖTLANDS LÄN</t>
        </is>
      </c>
      <c r="G234" t="inlineStr">
        <is>
          <t>YDRE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46241</v>
      </c>
      <c r="F235" t="inlineStr">
        <is>
          <t>ÖSTERGÖTLANDS LÄN</t>
        </is>
      </c>
      <c r="G235" t="inlineStr">
        <is>
          <t>YDRE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46241</v>
      </c>
      <c r="F236" t="inlineStr">
        <is>
          <t>ÖSTERGÖTLANDS LÄN</t>
        </is>
      </c>
      <c r="G236" t="inlineStr">
        <is>
          <t>YDRE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46241</v>
      </c>
      <c r="F237" t="inlineStr">
        <is>
          <t>ÖSTERGÖTLANDS LÄN</t>
        </is>
      </c>
      <c r="G237" t="inlineStr">
        <is>
          <t>YDRE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22312-2026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46154</v>
      </c>
      <c r="E238" s="1" t="n">
        <v>46241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46241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46241</v>
      </c>
      <c r="F240" t="inlineStr">
        <is>
          <t>ÖSTERGÖTLANDS LÄN</t>
        </is>
      </c>
      <c r="G240" t="inlineStr">
        <is>
          <t>YDRE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46241</v>
      </c>
      <c r="F241" t="inlineStr">
        <is>
          <t>ÖSTERGÖTLANDS LÄN</t>
        </is>
      </c>
      <c r="G241" t="inlineStr">
        <is>
          <t>YDRE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46241</v>
      </c>
      <c r="F242" t="inlineStr">
        <is>
          <t>ÖSTERGÖTLANDS LÄN</t>
        </is>
      </c>
      <c r="G242" t="inlineStr">
        <is>
          <t>YDRE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46241</v>
      </c>
      <c r="F243" t="inlineStr">
        <is>
          <t>ÖSTERGÖTLANDS LÄN</t>
        </is>
      </c>
      <c r="G243" t="inlineStr">
        <is>
          <t>YDRE</t>
        </is>
      </c>
      <c r="H243" t="inlineStr">
        <is>
          <t>Övriga Aktiebolag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46241</v>
      </c>
      <c r="F244" t="inlineStr">
        <is>
          <t>ÖSTERGÖTLANDS LÄN</t>
        </is>
      </c>
      <c r="G244" t="inlineStr">
        <is>
          <t>YDRE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46241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46241</v>
      </c>
      <c r="F246" t="inlineStr">
        <is>
          <t>ÖSTERGÖTLANDS LÄN</t>
        </is>
      </c>
      <c r="G246" t="inlineStr">
        <is>
          <t>YDRE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46241</v>
      </c>
      <c r="F247" t="inlineStr">
        <is>
          <t>ÖSTERGÖTLANDS LÄN</t>
        </is>
      </c>
      <c r="G247" t="inlineStr">
        <is>
          <t>YDRE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45138</v>
      </c>
      <c r="E248" s="1" t="n">
        <v>46241</v>
      </c>
      <c r="F248" t="inlineStr">
        <is>
          <t>ÖSTERGÖTLANDS LÄN</t>
        </is>
      </c>
      <c r="G248" t="inlineStr">
        <is>
          <t>YDRE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46241</v>
      </c>
      <c r="F249" t="inlineStr">
        <is>
          <t>ÖSTERGÖTLANDS LÄN</t>
        </is>
      </c>
      <c r="G249" t="inlineStr">
        <is>
          <t>YDRE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46241</v>
      </c>
      <c r="F250" t="inlineStr">
        <is>
          <t>ÖSTERGÖTLANDS LÄN</t>
        </is>
      </c>
      <c r="G250" t="inlineStr">
        <is>
          <t>YDRE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46241</v>
      </c>
      <c r="F251" t="inlineStr">
        <is>
          <t>ÖSTERGÖTLANDS LÄN</t>
        </is>
      </c>
      <c r="G251" t="inlineStr">
        <is>
          <t>YDRE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62815-2021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44504</v>
      </c>
      <c r="E252" s="1" t="n">
        <v>46241</v>
      </c>
      <c r="F252" t="inlineStr">
        <is>
          <t>ÖSTERGÖTLANDS LÄN</t>
        </is>
      </c>
      <c r="G252" t="inlineStr">
        <is>
          <t>YDRE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62446-2025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46241</v>
      </c>
      <c r="F253" t="inlineStr">
        <is>
          <t>ÖSTERGÖTLANDS LÄN</t>
        </is>
      </c>
      <c r="G253" t="inlineStr">
        <is>
          <t>YDRE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46241</v>
      </c>
      <c r="F254" t="inlineStr">
        <is>
          <t>ÖSTERGÖTLANDS LÄN</t>
        </is>
      </c>
      <c r="G254" t="inlineStr">
        <is>
          <t>YDRE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46241</v>
      </c>
      <c r="F255" t="inlineStr">
        <is>
          <t>ÖSTERGÖTLANDS LÄN</t>
        </is>
      </c>
      <c r="G255" t="inlineStr">
        <is>
          <t>YDRE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46241</v>
      </c>
      <c r="F256" t="inlineStr">
        <is>
          <t>ÖSTERGÖTLANDS LÄN</t>
        </is>
      </c>
      <c r="G256" t="inlineStr">
        <is>
          <t>YDRE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63232-2025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46241</v>
      </c>
      <c r="F257" t="inlineStr">
        <is>
          <t>ÖSTERGÖTLANDS LÄN</t>
        </is>
      </c>
      <c r="G257" t="inlineStr">
        <is>
          <t>YDRE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46241</v>
      </c>
      <c r="F258" t="inlineStr">
        <is>
          <t>ÖSTERGÖTLANDS LÄN</t>
        </is>
      </c>
      <c r="G258" t="inlineStr">
        <is>
          <t>YDRE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29304-2026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46202</v>
      </c>
      <c r="E259" s="1" t="n">
        <v>46241</v>
      </c>
      <c r="F259" t="inlineStr">
        <is>
          <t>ÖSTERGÖTLANDS LÄN</t>
        </is>
      </c>
      <c r="G259" t="inlineStr">
        <is>
          <t>YDRE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63237-2025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46241</v>
      </c>
      <c r="F260" t="inlineStr">
        <is>
          <t>ÖSTERGÖTLANDS LÄN</t>
        </is>
      </c>
      <c r="G260" t="inlineStr">
        <is>
          <t>YDRE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14184-2022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44651</v>
      </c>
      <c r="E261" s="1" t="n">
        <v>46241</v>
      </c>
      <c r="F261" t="inlineStr">
        <is>
          <t>ÖSTERGÖTLANDS LÄN</t>
        </is>
      </c>
      <c r="G261" t="inlineStr">
        <is>
          <t>YDRE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62485-2021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44503</v>
      </c>
      <c r="E262" s="1" t="n">
        <v>46241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46241</v>
      </c>
      <c r="F263" t="inlineStr">
        <is>
          <t>ÖSTERGÖTLANDS LÄN</t>
        </is>
      </c>
      <c r="G263" t="inlineStr">
        <is>
          <t>YDRE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46241</v>
      </c>
      <c r="F264" t="inlineStr">
        <is>
          <t>ÖSTERGÖTLANDS LÄN</t>
        </is>
      </c>
      <c r="G264" t="inlineStr">
        <is>
          <t>YDRE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46241</v>
      </c>
      <c r="F265" t="inlineStr">
        <is>
          <t>ÖSTERGÖTLANDS LÄN</t>
        </is>
      </c>
      <c r="G265" t="inlineStr">
        <is>
          <t>YDRE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46241</v>
      </c>
      <c r="F266" t="inlineStr">
        <is>
          <t>ÖSTERGÖTLANDS LÄN</t>
        </is>
      </c>
      <c r="G266" t="inlineStr">
        <is>
          <t>YDRE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63998-2025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46021</v>
      </c>
      <c r="E267" s="1" t="n">
        <v>46241</v>
      </c>
      <c r="F267" t="inlineStr">
        <is>
          <t>ÖSTERGÖTLANDS LÄN</t>
        </is>
      </c>
      <c r="G267" t="inlineStr">
        <is>
          <t>YDRE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46241</v>
      </c>
      <c r="F268" t="inlineStr">
        <is>
          <t>ÖSTERGÖTLANDS LÄN</t>
        </is>
      </c>
      <c r="G268" t="inlineStr">
        <is>
          <t>YDRE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44606</v>
      </c>
      <c r="E269" s="1" t="n">
        <v>46241</v>
      </c>
      <c r="F269" t="inlineStr">
        <is>
          <t>ÖSTERGÖTLANDS LÄN</t>
        </is>
      </c>
      <c r="G269" t="inlineStr">
        <is>
          <t>YDRE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46241</v>
      </c>
      <c r="F270" t="inlineStr">
        <is>
          <t>ÖSTERGÖTLANDS LÄN</t>
        </is>
      </c>
      <c r="G270" t="inlineStr">
        <is>
          <t>YDRE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46241</v>
      </c>
      <c r="F271" t="inlineStr">
        <is>
          <t>ÖSTERGÖTLANDS LÄN</t>
        </is>
      </c>
      <c r="G271" t="inlineStr">
        <is>
          <t>YDRE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45104</v>
      </c>
      <c r="E272" s="1" t="n">
        <v>46241</v>
      </c>
      <c r="F272" t="inlineStr">
        <is>
          <t>ÖSTERGÖTLANDS LÄN</t>
        </is>
      </c>
      <c r="G272" t="inlineStr">
        <is>
          <t>YDRE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45054</v>
      </c>
      <c r="E273" s="1" t="n">
        <v>46241</v>
      </c>
      <c r="F273" t="inlineStr">
        <is>
          <t>ÖSTERGÖTLANDS LÄN</t>
        </is>
      </c>
      <c r="G273" t="inlineStr">
        <is>
          <t>YDRE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46241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46241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46241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45105</v>
      </c>
      <c r="E277" s="1" t="n">
        <v>46241</v>
      </c>
      <c r="F277" t="inlineStr">
        <is>
          <t>ÖSTERGÖTLANDS LÄN</t>
        </is>
      </c>
      <c r="G277" t="inlineStr">
        <is>
          <t>YDRE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6293-2026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46055</v>
      </c>
      <c r="E278" s="1" t="n">
        <v>46241</v>
      </c>
      <c r="F278" t="inlineStr">
        <is>
          <t>ÖSTERGÖTLANDS LÄN</t>
        </is>
      </c>
      <c r="G278" t="inlineStr">
        <is>
          <t>YDRE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45449-2023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45194</v>
      </c>
      <c r="E279" s="1" t="n">
        <v>46241</v>
      </c>
      <c r="F279" t="inlineStr">
        <is>
          <t>ÖSTERGÖTLANDS LÄN</t>
        </is>
      </c>
      <c r="G279" t="inlineStr">
        <is>
          <t>YDRE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7276-2026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46241</v>
      </c>
      <c r="F280" t="inlineStr">
        <is>
          <t>ÖSTERGÖTLANDS LÄN</t>
        </is>
      </c>
      <c r="G280" t="inlineStr">
        <is>
          <t>YDRE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2745-2026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46038</v>
      </c>
      <c r="E281" s="1" t="n">
        <v>46241</v>
      </c>
      <c r="F281" t="inlineStr">
        <is>
          <t>ÖSTERGÖTLANDS LÄN</t>
        </is>
      </c>
      <c r="G281" t="inlineStr">
        <is>
          <t>YDRE</t>
        </is>
      </c>
      <c r="H281" t="inlineStr">
        <is>
          <t>Övriga Aktiebolag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14645-2022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44655</v>
      </c>
      <c r="E282" s="1" t="n">
        <v>46241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46241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46241</v>
      </c>
      <c r="F284" t="inlineStr">
        <is>
          <t>ÖSTERGÖTLANDS LÄN</t>
        </is>
      </c>
      <c r="G284" t="inlineStr">
        <is>
          <t>YDRE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46241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46241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44789</v>
      </c>
      <c r="E287" s="1" t="n">
        <v>46241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44576</v>
      </c>
      <c r="E288" s="1" t="n">
        <v>46241</v>
      </c>
      <c r="F288" t="inlineStr">
        <is>
          <t>ÖSTERGÖTLANDS LÄN</t>
        </is>
      </c>
      <c r="G288" t="inlineStr">
        <is>
          <t>YDRE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46241</v>
      </c>
      <c r="F289" t="inlineStr">
        <is>
          <t>ÖSTERGÖTLANDS LÄN</t>
        </is>
      </c>
      <c r="G289" t="inlineStr">
        <is>
          <t>YDRE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46241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45434</v>
      </c>
      <c r="E291" s="1" t="n">
        <v>46241</v>
      </c>
      <c r="F291" t="inlineStr">
        <is>
          <t>ÖSTERGÖTLANDS LÄN</t>
        </is>
      </c>
      <c r="G291" t="inlineStr">
        <is>
          <t>YDRE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46241</v>
      </c>
      <c r="F292" t="inlineStr">
        <is>
          <t>ÖSTERGÖTLANDS LÄN</t>
        </is>
      </c>
      <c r="G292" t="inlineStr">
        <is>
          <t>YDRE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46241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9409-2026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46241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46077</v>
      </c>
      <c r="E295" s="1" t="n">
        <v>46241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46241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46241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46241</v>
      </c>
      <c r="F298" t="inlineStr">
        <is>
          <t>ÖSTERGÖTLANDS LÄN</t>
        </is>
      </c>
      <c r="G298" t="inlineStr">
        <is>
          <t>YDRE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46241</v>
      </c>
      <c r="F299" t="inlineStr">
        <is>
          <t>ÖSTERGÖTLANDS LÄN</t>
        </is>
      </c>
      <c r="G299" t="inlineStr">
        <is>
          <t>YDRE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46241</v>
      </c>
      <c r="F300" t="inlineStr">
        <is>
          <t>ÖSTERGÖTLANDS LÄN</t>
        </is>
      </c>
      <c r="G300" t="inlineStr">
        <is>
          <t>YDRE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24780-2026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46171</v>
      </c>
      <c r="E301" s="1" t="n">
        <v>46241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27737-2022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44743</v>
      </c>
      <c r="E302" s="1" t="n">
        <v>46241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46241</v>
      </c>
      <c r="F303" t="inlineStr">
        <is>
          <t>ÖSTERGÖTLANDS LÄN</t>
        </is>
      </c>
      <c r="G303" t="inlineStr">
        <is>
          <t>YDRE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44749</v>
      </c>
      <c r="E304" s="1" t="n">
        <v>46241</v>
      </c>
      <c r="F304" t="inlineStr">
        <is>
          <t>ÖSTERGÖTLANDS LÄN</t>
        </is>
      </c>
      <c r="G304" t="inlineStr">
        <is>
          <t>YDRE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17309-2024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45414</v>
      </c>
      <c r="E305" s="1" t="n">
        <v>46241</v>
      </c>
      <c r="F305" t="inlineStr">
        <is>
          <t>ÖSTERGÖTLANDS LÄN</t>
        </is>
      </c>
      <c r="G305" t="inlineStr">
        <is>
          <t>YDRE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45714</v>
      </c>
      <c r="E306" s="1" t="n">
        <v>46241</v>
      </c>
      <c r="F306" t="inlineStr">
        <is>
          <t>ÖSTERGÖTLANDS LÄN</t>
        </is>
      </c>
      <c r="G306" t="inlineStr">
        <is>
          <t>YDRE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46241</v>
      </c>
      <c r="F307" t="inlineStr">
        <is>
          <t>ÖSTERGÖTLANDS LÄN</t>
        </is>
      </c>
      <c r="G307" t="inlineStr">
        <is>
          <t>YDRE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46097</v>
      </c>
      <c r="E308" s="1" t="n">
        <v>46241</v>
      </c>
      <c r="F308" t="inlineStr">
        <is>
          <t>ÖSTERGÖTLANDS LÄN</t>
        </is>
      </c>
      <c r="G308" t="inlineStr">
        <is>
          <t>YDRE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63830-2023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45278</v>
      </c>
      <c r="E309" s="1" t="n">
        <v>46241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46241</v>
      </c>
      <c r="F310" t="inlineStr">
        <is>
          <t>ÖSTERGÖTLANDS LÄN</t>
        </is>
      </c>
      <c r="G310" t="inlineStr">
        <is>
          <t>YDRE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46241</v>
      </c>
      <c r="F311" t="inlineStr">
        <is>
          <t>ÖSTERGÖTLANDS LÄN</t>
        </is>
      </c>
      <c r="G311" t="inlineStr">
        <is>
          <t>YDRE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46241</v>
      </c>
      <c r="F312" t="inlineStr">
        <is>
          <t>ÖSTERGÖTLANDS LÄN</t>
        </is>
      </c>
      <c r="G312" t="inlineStr">
        <is>
          <t>YDRE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46241</v>
      </c>
      <c r="F313" t="inlineStr">
        <is>
          <t>ÖSTERGÖTLANDS LÄN</t>
        </is>
      </c>
      <c r="G313" t="inlineStr">
        <is>
          <t>YDRE</t>
        </is>
      </c>
      <c r="H313" t="inlineStr">
        <is>
          <t>Sveaskog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21982-2022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46241</v>
      </c>
      <c r="F314" t="inlineStr">
        <is>
          <t>ÖSTERGÖTLANDS LÄN</t>
        </is>
      </c>
      <c r="G314" t="inlineStr">
        <is>
          <t>YDRE</t>
        </is>
      </c>
      <c r="H314" t="inlineStr">
        <is>
          <t>Övriga Aktiebolag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16289-2022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44670</v>
      </c>
      <c r="E315" s="1" t="n">
        <v>46241</v>
      </c>
      <c r="F315" t="inlineStr">
        <is>
          <t>ÖSTERGÖTLANDS LÄN</t>
        </is>
      </c>
      <c r="G315" t="inlineStr">
        <is>
          <t>YDRE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46241</v>
      </c>
      <c r="F316" t="inlineStr">
        <is>
          <t>ÖSTERGÖTLANDS LÄN</t>
        </is>
      </c>
      <c r="G316" t="inlineStr">
        <is>
          <t>YDRE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46241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45310</v>
      </c>
      <c r="E318" s="1" t="n">
        <v>46241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55395-2023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45231</v>
      </c>
      <c r="E319" s="1" t="n">
        <v>46241</v>
      </c>
      <c r="F319" t="inlineStr">
        <is>
          <t>ÖSTERGÖTLANDS LÄN</t>
        </is>
      </c>
      <c r="G319" t="inlineStr">
        <is>
          <t>YDRE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45261</v>
      </c>
      <c r="E320" s="1" t="n">
        <v>46241</v>
      </c>
      <c r="F320" t="inlineStr">
        <is>
          <t>ÖSTERGÖTLANDS LÄN</t>
        </is>
      </c>
      <c r="G320" t="inlineStr">
        <is>
          <t>YDRE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46241</v>
      </c>
      <c r="F321" t="inlineStr">
        <is>
          <t>ÖSTERGÖTLANDS LÄN</t>
        </is>
      </c>
      <c r="G321" t="inlineStr">
        <is>
          <t>YDRE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44939</v>
      </c>
      <c r="E322" s="1" t="n">
        <v>46241</v>
      </c>
      <c r="F322" t="inlineStr">
        <is>
          <t>ÖSTERGÖTLANDS LÄN</t>
        </is>
      </c>
      <c r="G322" t="inlineStr">
        <is>
          <t>YDRE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46241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36616-2024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46241</v>
      </c>
      <c r="F324" t="inlineStr">
        <is>
          <t>ÖSTERGÖTLANDS LÄN</t>
        </is>
      </c>
      <c r="G324" t="inlineStr">
        <is>
          <t>YDRE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46241</v>
      </c>
      <c r="F325" t="inlineStr">
        <is>
          <t>ÖSTERGÖTLANDS LÄN</t>
        </is>
      </c>
      <c r="G325" t="inlineStr">
        <is>
          <t>YDRE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71524-2021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44538</v>
      </c>
      <c r="E326" s="1" t="n">
        <v>46241</v>
      </c>
      <c r="F326" t="inlineStr">
        <is>
          <t>ÖSTERGÖTLANDS LÄN</t>
        </is>
      </c>
      <c r="G326" t="inlineStr">
        <is>
          <t>YDRE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44987</v>
      </c>
      <c r="E327" s="1" t="n">
        <v>46241</v>
      </c>
      <c r="F327" t="inlineStr">
        <is>
          <t>ÖSTERGÖTLANDS LÄN</t>
        </is>
      </c>
      <c r="G327" t="inlineStr">
        <is>
          <t>YDRE</t>
        </is>
      </c>
      <c r="I327" t="n">
        <v>10.2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45634</v>
      </c>
      <c r="E328" s="1" t="n">
        <v>46241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45671</v>
      </c>
      <c r="E329" s="1" t="n">
        <v>46241</v>
      </c>
      <c r="F329" t="inlineStr">
        <is>
          <t>ÖSTERGÖTLANDS LÄN</t>
        </is>
      </c>
      <c r="G329" t="inlineStr">
        <is>
          <t>YDRE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44980</v>
      </c>
      <c r="E330" s="1" t="n">
        <v>46241</v>
      </c>
      <c r="F330" t="inlineStr">
        <is>
          <t>ÖSTERGÖTLANDS LÄN</t>
        </is>
      </c>
      <c r="G330" t="inlineStr">
        <is>
          <t>YDRE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45406</v>
      </c>
      <c r="E331" s="1" t="n">
        <v>46241</v>
      </c>
      <c r="F331" t="inlineStr">
        <is>
          <t>ÖSTERGÖTLANDS LÄN</t>
        </is>
      </c>
      <c r="G331" t="inlineStr">
        <is>
          <t>YDRE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46241</v>
      </c>
      <c r="F332" t="inlineStr">
        <is>
          <t>ÖSTERGÖTLANDS LÄN</t>
        </is>
      </c>
      <c r="G332" t="inlineStr">
        <is>
          <t>YDRE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59805-2022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44908</v>
      </c>
      <c r="E333" s="1" t="n">
        <v>46241</v>
      </c>
      <c r="F333" t="inlineStr">
        <is>
          <t>ÖSTERGÖTLANDS LÄN</t>
        </is>
      </c>
      <c r="G333" t="inlineStr">
        <is>
          <t>YDRE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46241</v>
      </c>
      <c r="F334" t="inlineStr">
        <is>
          <t>ÖSTERGÖTLANDS LÄN</t>
        </is>
      </c>
      <c r="G334" t="inlineStr">
        <is>
          <t>YDRE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27700-2026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46190</v>
      </c>
      <c r="E335" s="1" t="n">
        <v>46241</v>
      </c>
      <c r="F335" t="inlineStr">
        <is>
          <t>ÖSTERGÖTLANDS LÄN</t>
        </is>
      </c>
      <c r="G335" t="inlineStr">
        <is>
          <t>YDRE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46241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5840-2024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45335</v>
      </c>
      <c r="E337" s="1" t="n">
        <v>46241</v>
      </c>
      <c r="F337" t="inlineStr">
        <is>
          <t>ÖSTERGÖTLANDS LÄN</t>
        </is>
      </c>
      <c r="G337" t="inlineStr">
        <is>
          <t>YDRE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60244-2023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46241</v>
      </c>
      <c r="F338" t="inlineStr">
        <is>
          <t>ÖSTERGÖTLANDS LÄN</t>
        </is>
      </c>
      <c r="G338" t="inlineStr">
        <is>
          <t>YDRE</t>
        </is>
      </c>
      <c r="I338" t="n">
        <v>17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4624-2022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44592</v>
      </c>
      <c r="E339" s="1" t="n">
        <v>46241</v>
      </c>
      <c r="F339" t="inlineStr">
        <is>
          <t>ÖSTERGÖTLANDS LÄN</t>
        </is>
      </c>
      <c r="G339" t="inlineStr">
        <is>
          <t>YDRE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44953</v>
      </c>
      <c r="E340" s="1" t="n">
        <v>46241</v>
      </c>
      <c r="F340" t="inlineStr">
        <is>
          <t>ÖSTERGÖTLANDS LÄN</t>
        </is>
      </c>
      <c r="G340" t="inlineStr">
        <is>
          <t>YDRE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44903</v>
      </c>
      <c r="E341" s="1" t="n">
        <v>46241</v>
      </c>
      <c r="F341" t="inlineStr">
        <is>
          <t>ÖSTERGÖTLANDS LÄN</t>
        </is>
      </c>
      <c r="G341" t="inlineStr">
        <is>
          <t>YDRE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44741-2021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44438</v>
      </c>
      <c r="E342" s="1" t="n">
        <v>46241</v>
      </c>
      <c r="F342" t="inlineStr">
        <is>
          <t>ÖSTERGÖTLANDS LÄN</t>
        </is>
      </c>
      <c r="G342" t="inlineStr">
        <is>
          <t>YDRE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45348</v>
      </c>
      <c r="E343" s="1" t="n">
        <v>46241</v>
      </c>
      <c r="F343" t="inlineStr">
        <is>
          <t>ÖSTERGÖTLANDS LÄN</t>
        </is>
      </c>
      <c r="G343" t="inlineStr">
        <is>
          <t>YDRE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44600</v>
      </c>
      <c r="E344" s="1" t="n">
        <v>46241</v>
      </c>
      <c r="F344" t="inlineStr">
        <is>
          <t>ÖSTERGÖTLANDS LÄN</t>
        </is>
      </c>
      <c r="G344" t="inlineStr">
        <is>
          <t>YDRE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46241</v>
      </c>
      <c r="F345" t="inlineStr">
        <is>
          <t>ÖSTERGÖTLANDS LÄN</t>
        </is>
      </c>
      <c r="G345" t="inlineStr">
        <is>
          <t>YDRE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42781-2021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44428</v>
      </c>
      <c r="E346" s="1" t="n">
        <v>46241</v>
      </c>
      <c r="F346" t="inlineStr">
        <is>
          <t>ÖSTERGÖTLANDS LÄN</t>
        </is>
      </c>
      <c r="G346" t="inlineStr">
        <is>
          <t>YDRE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46240</v>
      </c>
      <c r="E347" s="1" t="n">
        <v>46241</v>
      </c>
      <c r="F347" t="inlineStr">
        <is>
          <t>ÖSTERGÖTLANDS LÄN</t>
        </is>
      </c>
      <c r="G347" t="inlineStr">
        <is>
          <t>YDRE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56323-2021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44480</v>
      </c>
      <c r="E348" s="1" t="n">
        <v>46241</v>
      </c>
      <c r="F348" t="inlineStr">
        <is>
          <t>ÖSTERGÖTLANDS LÄN</t>
        </is>
      </c>
      <c r="G348" t="inlineStr">
        <is>
          <t>YDRE</t>
        </is>
      </c>
      <c r="H348" t="inlineStr">
        <is>
          <t>Sveaskog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  <c r="Z348">
        <f>HYPERLINK("https://klasma.github.io/Logging_0512/knärot/A 56323-2021 karta knärot.png", "A 56323-2021")</f>
        <v/>
      </c>
      <c r="AA348">
        <f>HYPERLINK("https://klasma.github.io/Logging_0512/klagomål/A 56323-2021 FSC-klagomål.docx", "A 56323-2021")</f>
        <v/>
      </c>
      <c r="AB348">
        <f>HYPERLINK("https://klasma.github.io/Logging_0512/klagomålsmail/A 56323-2021 FSC-klagomål mail.docx", "A 56323-2021")</f>
        <v/>
      </c>
      <c r="AC348">
        <f>HYPERLINK("https://klasma.github.io/Logging_0512/tillsyn/A 56323-2021 tillsynsbegäran.docx", "A 56323-2021")</f>
        <v/>
      </c>
      <c r="AD348">
        <f>HYPERLINK("https://klasma.github.io/Logging_0512/tillsynsmail/A 56323-2021 tillsynsbegäran mail.docx", "A 56323-2021")</f>
        <v/>
      </c>
    </row>
    <row r="349" ht="15" customHeight="1">
      <c r="A349" t="inlineStr">
        <is>
          <t>A 32676-2026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46240</v>
      </c>
      <c r="E349" s="1" t="n">
        <v>46241</v>
      </c>
      <c r="F349" t="inlineStr">
        <is>
          <t>ÖSTERGÖTLANDS LÄN</t>
        </is>
      </c>
      <c r="G349" t="inlineStr">
        <is>
          <t>YDRE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61636-2021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44501</v>
      </c>
      <c r="E350" s="1" t="n">
        <v>46241</v>
      </c>
      <c r="F350" t="inlineStr">
        <is>
          <t>ÖSTERGÖTLANDS LÄN</t>
        </is>
      </c>
      <c r="G350" t="inlineStr">
        <is>
          <t>YDRE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70448-2021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44536</v>
      </c>
      <c r="E351" s="1" t="n">
        <v>46241</v>
      </c>
      <c r="F351" t="inlineStr">
        <is>
          <t>ÖSTERGÖTLANDS LÄN</t>
        </is>
      </c>
      <c r="G351" t="inlineStr">
        <is>
          <t>YDRE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27164-2023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46241</v>
      </c>
      <c r="F352" t="inlineStr">
        <is>
          <t>ÖSTERGÖTLANDS LÄN</t>
        </is>
      </c>
      <c r="G352" t="inlineStr">
        <is>
          <t>YDRE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44953</v>
      </c>
      <c r="E353" s="1" t="n">
        <v>46241</v>
      </c>
      <c r="F353" t="inlineStr">
        <is>
          <t>ÖSTERGÖTLANDS LÄN</t>
        </is>
      </c>
      <c r="G353" t="inlineStr">
        <is>
          <t>YDRE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46241</v>
      </c>
      <c r="F354" t="inlineStr">
        <is>
          <t>ÖSTERGÖTLANDS LÄN</t>
        </is>
      </c>
      <c r="G354" t="inlineStr">
        <is>
          <t>YDRE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45145</v>
      </c>
      <c r="E355" s="1" t="n">
        <v>46241</v>
      </c>
      <c r="F355" t="inlineStr">
        <is>
          <t>ÖSTERGÖTLANDS LÄN</t>
        </is>
      </c>
      <c r="G355" t="inlineStr">
        <is>
          <t>YDRE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45077</v>
      </c>
      <c r="E356" s="1" t="n">
        <v>46241</v>
      </c>
      <c r="F356" t="inlineStr">
        <is>
          <t>ÖSTERGÖTLANDS LÄN</t>
        </is>
      </c>
      <c r="G356" t="inlineStr">
        <is>
          <t>YDRE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45665</v>
      </c>
      <c r="E357" s="1" t="n">
        <v>46241</v>
      </c>
      <c r="F357" t="inlineStr">
        <is>
          <t>ÖSTERGÖTLANDS LÄN</t>
        </is>
      </c>
      <c r="G357" t="inlineStr">
        <is>
          <t>YDRE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46241</v>
      </c>
      <c r="F358" t="inlineStr">
        <is>
          <t>ÖSTERGÖTLANDS LÄN</t>
        </is>
      </c>
      <c r="G358" t="inlineStr">
        <is>
          <t>YDRE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46241</v>
      </c>
      <c r="F359" t="inlineStr">
        <is>
          <t>ÖSTERGÖTLANDS LÄN</t>
        </is>
      </c>
      <c r="G359" t="inlineStr">
        <is>
          <t>YDRE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45595</v>
      </c>
      <c r="E360" s="1" t="n">
        <v>46241</v>
      </c>
      <c r="F360" t="inlineStr">
        <is>
          <t>ÖSTERGÖTLANDS LÄN</t>
        </is>
      </c>
      <c r="G360" t="inlineStr">
        <is>
          <t>YDRE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45698</v>
      </c>
      <c r="E361" s="1" t="n">
        <v>46241</v>
      </c>
      <c r="F361" t="inlineStr">
        <is>
          <t>ÖSTERGÖTLANDS LÄN</t>
        </is>
      </c>
      <c r="G361" t="inlineStr">
        <is>
          <t>YDRE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8616-2024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45355</v>
      </c>
      <c r="E362" s="1" t="n">
        <v>46241</v>
      </c>
      <c r="F362" t="inlineStr">
        <is>
          <t>ÖSTERGÖTLANDS LÄN</t>
        </is>
      </c>
      <c r="G362" t="inlineStr">
        <is>
          <t>YDRE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56606-2021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44480</v>
      </c>
      <c r="E363" s="1" t="n">
        <v>46241</v>
      </c>
      <c r="F363" t="inlineStr">
        <is>
          <t>ÖSTERGÖTLANDS LÄN</t>
        </is>
      </c>
      <c r="G363" t="inlineStr">
        <is>
          <t>YDRE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45664</v>
      </c>
      <c r="E364" s="1" t="n">
        <v>46241</v>
      </c>
      <c r="F364" t="inlineStr">
        <is>
          <t>ÖSTERGÖTLANDS LÄN</t>
        </is>
      </c>
      <c r="G364" t="inlineStr">
        <is>
          <t>YDRE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45596</v>
      </c>
      <c r="E365" s="1" t="n">
        <v>46241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24983-2023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45085</v>
      </c>
      <c r="E366" s="1" t="n">
        <v>46241</v>
      </c>
      <c r="F366" t="inlineStr">
        <is>
          <t>ÖSTERGÖTLANDS LÄN</t>
        </is>
      </c>
      <c r="G366" t="inlineStr">
        <is>
          <t>YDRE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46241</v>
      </c>
      <c r="F367" t="inlineStr">
        <is>
          <t>ÖSTERGÖTLANDS LÄN</t>
        </is>
      </c>
      <c r="G367" t="inlineStr">
        <is>
          <t>YDRE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46241</v>
      </c>
      <c r="F368" t="inlineStr">
        <is>
          <t>ÖSTERGÖTLANDS LÄN</t>
        </is>
      </c>
      <c r="G368" t="inlineStr">
        <is>
          <t>YDRE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45666</v>
      </c>
      <c r="E369" s="1" t="n">
        <v>46241</v>
      </c>
      <c r="F369" t="inlineStr">
        <is>
          <t>ÖSTERGÖTLANDS LÄN</t>
        </is>
      </c>
      <c r="G369" t="inlineStr">
        <is>
          <t>YDRE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46241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44635</v>
      </c>
      <c r="E371" s="1" t="n">
        <v>46241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45665</v>
      </c>
      <c r="E372" s="1" t="n">
        <v>46241</v>
      </c>
      <c r="F372" t="inlineStr">
        <is>
          <t>ÖSTERGÖTLANDS LÄN</t>
        </is>
      </c>
      <c r="G372" t="inlineStr">
        <is>
          <t>YDRE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46241</v>
      </c>
      <c r="F373" t="inlineStr">
        <is>
          <t>ÖSTERGÖTLANDS LÄN</t>
        </is>
      </c>
      <c r="G373" t="inlineStr">
        <is>
          <t>YDRE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50977-2023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45218</v>
      </c>
      <c r="E374" s="1" t="n">
        <v>46241</v>
      </c>
      <c r="F374" t="inlineStr">
        <is>
          <t>ÖSTERGÖTLANDS LÄN</t>
        </is>
      </c>
      <c r="G374" t="inlineStr">
        <is>
          <t>YDRE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45236</v>
      </c>
      <c r="E375" s="1" t="n">
        <v>46241</v>
      </c>
      <c r="F375" t="inlineStr">
        <is>
          <t>ÖSTERGÖTLANDS LÄN</t>
        </is>
      </c>
      <c r="G375" t="inlineStr">
        <is>
          <t>YDRE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46241</v>
      </c>
      <c r="F376" t="inlineStr">
        <is>
          <t>ÖSTERGÖTLANDS LÄN</t>
        </is>
      </c>
      <c r="G376" t="inlineStr">
        <is>
          <t>YDRE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45597</v>
      </c>
      <c r="E377" s="1" t="n">
        <v>46241</v>
      </c>
      <c r="F377" t="inlineStr">
        <is>
          <t>ÖSTERGÖTLANDS LÄN</t>
        </is>
      </c>
      <c r="G377" t="inlineStr">
        <is>
          <t>YDRE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46241</v>
      </c>
      <c r="F378" t="inlineStr">
        <is>
          <t>ÖSTERGÖTLANDS LÄN</t>
        </is>
      </c>
      <c r="G378" t="inlineStr">
        <is>
          <t>YDRE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45755</v>
      </c>
      <c r="E379" s="1" t="n">
        <v>46241</v>
      </c>
      <c r="F379" t="inlineStr">
        <is>
          <t>ÖSTERGÖTLANDS LÄN</t>
        </is>
      </c>
      <c r="G379" t="inlineStr">
        <is>
          <t>YDRE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46241</v>
      </c>
      <c r="F380" t="inlineStr">
        <is>
          <t>ÖSTERGÖTLANDS LÄN</t>
        </is>
      </c>
      <c r="G380" t="inlineStr">
        <is>
          <t>YDRE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45677</v>
      </c>
      <c r="E381" s="1" t="n">
        <v>46241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8073-2025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45707</v>
      </c>
      <c r="E382" s="1" t="n">
        <v>46241</v>
      </c>
      <c r="F382" t="inlineStr">
        <is>
          <t>ÖSTERGÖTLANDS LÄN</t>
        </is>
      </c>
      <c r="G382" t="inlineStr">
        <is>
          <t>YDRE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19769-2024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45432</v>
      </c>
      <c r="E383" s="1" t="n">
        <v>46241</v>
      </c>
      <c r="F383" t="inlineStr">
        <is>
          <t>ÖSTERGÖTLANDS LÄN</t>
        </is>
      </c>
      <c r="G383" t="inlineStr">
        <is>
          <t>YDRE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59589-2024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45638</v>
      </c>
      <c r="E384" s="1" t="n">
        <v>46241</v>
      </c>
      <c r="F384" t="inlineStr">
        <is>
          <t>ÖSTERGÖTLANDS LÄN</t>
        </is>
      </c>
      <c r="G384" t="inlineStr">
        <is>
          <t>YDRE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17277-2024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46241</v>
      </c>
      <c r="F385" t="inlineStr">
        <is>
          <t>ÖSTERGÖTLANDS LÄN</t>
        </is>
      </c>
      <c r="G385" t="inlineStr">
        <is>
          <t>YDRE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45414</v>
      </c>
      <c r="E386" s="1" t="n">
        <v>46241</v>
      </c>
      <c r="F386" t="inlineStr">
        <is>
          <t>ÖSTERGÖTLANDS LÄN</t>
        </is>
      </c>
      <c r="G386" t="inlineStr">
        <is>
          <t>YDRE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46241</v>
      </c>
      <c r="F387" t="inlineStr">
        <is>
          <t>ÖSTERGÖTLANDS LÄN</t>
        </is>
      </c>
      <c r="G387" t="inlineStr">
        <is>
          <t>YDRE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45468</v>
      </c>
      <c r="E388" s="1" t="n">
        <v>46241</v>
      </c>
      <c r="F388" t="inlineStr">
        <is>
          <t>ÖSTERGÖTLANDS LÄN</t>
        </is>
      </c>
      <c r="G388" t="inlineStr">
        <is>
          <t>YDRE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45492</v>
      </c>
      <c r="E389" s="1" t="n">
        <v>46241</v>
      </c>
      <c r="F389" t="inlineStr">
        <is>
          <t>ÖSTERGÖTLANDS LÄN</t>
        </is>
      </c>
      <c r="G389" t="inlineStr">
        <is>
          <t>YDRE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45666</v>
      </c>
      <c r="E390" s="1" t="n">
        <v>46241</v>
      </c>
      <c r="F390" t="inlineStr">
        <is>
          <t>ÖSTERGÖTLANDS LÄN</t>
        </is>
      </c>
      <c r="G390" t="inlineStr">
        <is>
          <t>YDRE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45475</v>
      </c>
      <c r="E391" s="1" t="n">
        <v>46241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46241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45544</v>
      </c>
      <c r="E393" s="1" t="n">
        <v>46241</v>
      </c>
      <c r="F393" t="inlineStr">
        <is>
          <t>ÖSTERGÖTLANDS LÄN</t>
        </is>
      </c>
      <c r="G393" t="inlineStr">
        <is>
          <t>YDRE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46241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10414-2024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45365</v>
      </c>
      <c r="E395" s="1" t="n">
        <v>46241</v>
      </c>
      <c r="F395" t="inlineStr">
        <is>
          <t>ÖSTERGÖTLANDS LÄN</t>
        </is>
      </c>
      <c r="G395" t="inlineStr">
        <is>
          <t>YDRE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46241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45796</v>
      </c>
      <c r="E397" s="1" t="n">
        <v>46241</v>
      </c>
      <c r="F397" t="inlineStr">
        <is>
          <t>ÖSTERGÖTLANDS LÄN</t>
        </is>
      </c>
      <c r="G397" t="inlineStr">
        <is>
          <t>YDRE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11493-2025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45726</v>
      </c>
      <c r="E398" s="1" t="n">
        <v>46241</v>
      </c>
      <c r="F398" t="inlineStr">
        <is>
          <t>ÖSTERGÖTLANDS LÄN</t>
        </is>
      </c>
      <c r="G398" t="inlineStr">
        <is>
          <t>YDRE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46241</v>
      </c>
      <c r="F399" t="inlineStr">
        <is>
          <t>ÖSTERGÖTLANDS LÄN</t>
        </is>
      </c>
      <c r="G399" t="inlineStr">
        <is>
          <t>YDRE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45821</v>
      </c>
      <c r="E400" s="1" t="n">
        <v>46241</v>
      </c>
      <c r="F400" t="inlineStr">
        <is>
          <t>ÖSTERGÖTLANDS LÄN</t>
        </is>
      </c>
      <c r="G400" t="inlineStr">
        <is>
          <t>YDRE</t>
        </is>
      </c>
      <c r="H400" t="inlineStr">
        <is>
          <t>Kyrkan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46241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46241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46241</v>
      </c>
      <c r="F403" t="inlineStr">
        <is>
          <t>ÖSTERGÖTLANDS LÄN</t>
        </is>
      </c>
      <c r="G403" t="inlineStr">
        <is>
          <t>YDRE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46241</v>
      </c>
      <c r="F404" t="inlineStr">
        <is>
          <t>ÖSTERGÖTLANDS LÄN</t>
        </is>
      </c>
      <c r="G404" t="inlineStr">
        <is>
          <t>YDRE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46241</v>
      </c>
      <c r="F405" t="inlineStr">
        <is>
          <t>ÖSTERGÖTLANDS LÄN</t>
        </is>
      </c>
      <c r="G405" t="inlineStr">
        <is>
          <t>YDRE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46241</v>
      </c>
      <c r="F406" t="inlineStr">
        <is>
          <t>ÖSTERGÖTLANDS LÄN</t>
        </is>
      </c>
      <c r="G406" t="inlineStr">
        <is>
          <t>YDRE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46241</v>
      </c>
      <c r="F407" t="inlineStr">
        <is>
          <t>ÖSTERGÖTLANDS LÄN</t>
        </is>
      </c>
      <c r="G407" t="inlineStr">
        <is>
          <t>YDRE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46241</v>
      </c>
      <c r="F408" t="inlineStr">
        <is>
          <t>ÖSTERGÖTLANDS LÄN</t>
        </is>
      </c>
      <c r="G408" t="inlineStr">
        <is>
          <t>YDRE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46241</v>
      </c>
      <c r="F409" t="inlineStr">
        <is>
          <t>ÖSTERGÖTLANDS LÄN</t>
        </is>
      </c>
      <c r="G409" t="inlineStr">
        <is>
          <t>YDRE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32635-2025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45838</v>
      </c>
      <c r="E410" s="1" t="n">
        <v>46241</v>
      </c>
      <c r="F410" t="inlineStr">
        <is>
          <t>ÖSTERGÖTLANDS LÄN</t>
        </is>
      </c>
      <c r="G410" t="inlineStr">
        <is>
          <t>YDRE</t>
        </is>
      </c>
      <c r="H410" t="inlineStr">
        <is>
          <t>Övriga Aktiebolag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45790</v>
      </c>
      <c r="E411" s="1" t="n">
        <v>46241</v>
      </c>
      <c r="F411" t="inlineStr">
        <is>
          <t>ÖSTERGÖTLANDS LÄN</t>
        </is>
      </c>
      <c r="G411" t="inlineStr">
        <is>
          <t>YDRE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26784-2025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45810</v>
      </c>
      <c r="E412" s="1" t="n">
        <v>46241</v>
      </c>
      <c r="F412" t="inlineStr">
        <is>
          <t>ÖSTERGÖTLANDS LÄN</t>
        </is>
      </c>
      <c r="G412" t="inlineStr">
        <is>
          <t>YDRE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46241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46241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46241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2604-2025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45916</v>
      </c>
      <c r="E416" s="1" t="n">
        <v>46241</v>
      </c>
      <c r="F416" t="inlineStr">
        <is>
          <t>ÖSTERGÖTLANDS LÄN</t>
        </is>
      </c>
      <c r="G416" t="inlineStr">
        <is>
          <t>YDRE</t>
        </is>
      </c>
      <c r="H416" t="inlineStr">
        <is>
          <t>Sveaskog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3063-2025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45964</v>
      </c>
      <c r="E417" s="1" t="n">
        <v>46241</v>
      </c>
      <c r="F417" t="inlineStr">
        <is>
          <t>ÖSTERGÖTLANDS LÄN</t>
        </is>
      </c>
      <c r="G417" t="inlineStr">
        <is>
          <t>YDRE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384-2026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46066</v>
      </c>
      <c r="E418" s="1" t="n">
        <v>46241</v>
      </c>
      <c r="F418" t="inlineStr">
        <is>
          <t>ÖSTERGÖTLANDS LÄN</t>
        </is>
      </c>
      <c r="G418" t="inlineStr">
        <is>
          <t>YDRE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2026-08-07T01:53:56Z</dcterms:created>
  <dcterms:modified xmlns:dcterms="http://purl.org/dc/terms/" xmlns:xsi="http://www.w3.org/2001/XMLSchema-instance" xsi:type="dcterms:W3CDTF">2026-08-07T01:53:56Z</dcterms:modified>
</cp:coreProperties>
</file>