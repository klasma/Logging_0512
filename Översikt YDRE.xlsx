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46217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46217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46217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46217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s="2" t="inlineStr">
        <is>
          <t>Dunmossa
Skogshakmossa
Revlummer</t>
        </is>
      </c>
      <c r="V7">
        <f>HYPERLINK("https://klasma.github.io/Logging_0512/artfynd/A 8451-2025 artfynd.xlsx", "A 8451-2025")</f>
        <v/>
      </c>
      <c r="W7">
        <f>HYPERLINK("https://klasma.github.io/Logging_0512/kartor/A 8451-2025 karta.png", "A 8451-2025")</f>
        <v/>
      </c>
      <c r="Y7">
        <f>HYPERLINK("https://klasma.github.io/Logging_0512/klagomål/A 8451-2025 FSC-klagomål.docx", "A 8451-2025")</f>
        <v/>
      </c>
      <c r="Z7">
        <f>HYPERLINK("https://klasma.github.io/Logging_0512/klagomålsmail/A 8451-2025 FSC-klagomål mail.docx", "A 8451-2025")</f>
        <v/>
      </c>
      <c r="AA7">
        <f>HYPERLINK("https://klasma.github.io/Logging_0512/tillsyn/A 8451-2025 tillsynsbegäran.docx", "A 8451-2025")</f>
        <v/>
      </c>
      <c r="AB7">
        <f>HYPERLINK("https://klasma.github.io/Logging_0512/tillsynsmail/A 8451-2025 tillsynsbegäran mail.docx", "A 8451-2025")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46217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Slåttergubbe
Svinrot
Gullviva</t>
        </is>
      </c>
      <c r="V8">
        <f>HYPERLINK("https://klasma.github.io/Logging_0512/artfynd/A 27469-2026 artfynd.xlsx", "A 27469-2026")</f>
        <v/>
      </c>
      <c r="W8">
        <f>HYPERLINK("https://klasma.github.io/Logging_0512/kartor/A 27469-2026 karta.png", "A 27469-2026")</f>
        <v/>
      </c>
      <c r="Y8">
        <f>HYPERLINK("https://klasma.github.io/Logging_0512/klagomål/A 27469-2026 FSC-klagomål.docx", "A 27469-2026")</f>
        <v/>
      </c>
      <c r="Z8">
        <f>HYPERLINK("https://klasma.github.io/Logging_0512/klagomålsmail/A 27469-2026 FSC-klagomål mail.docx", "A 27469-2026")</f>
        <v/>
      </c>
      <c r="AA8">
        <f>HYPERLINK("https://klasma.github.io/Logging_0512/tillsyn/A 27469-2026 tillsynsbegäran.docx", "A 27469-2026")</f>
        <v/>
      </c>
      <c r="AB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46217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s="2" t="inlineStr">
        <is>
          <t>Knärot
Vedtrappmossa
Kornig nållav</t>
        </is>
      </c>
      <c r="V9">
        <f>HYPERLINK("https://klasma.github.io/Logging_0512/artfynd/A 46582-2023 artfynd.xlsx", "A 46582-2023")</f>
        <v/>
      </c>
      <c r="W9">
        <f>HYPERLINK("https://klasma.github.io/Logging_0512/kartor/A 46582-2023 karta.png", "A 46582-2023")</f>
        <v/>
      </c>
      <c r="X9">
        <f>HYPERLINK("https://klasma.github.io/Logging_0512/knärot/A 46582-2023 karta knärot.png", "A 46582-2023")</f>
        <v/>
      </c>
      <c r="Y9">
        <f>HYPERLINK("https://klasma.github.io/Logging_0512/klagomål/A 46582-2023 FSC-klagomål.docx", "A 46582-2023")</f>
        <v/>
      </c>
      <c r="Z9">
        <f>HYPERLINK("https://klasma.github.io/Logging_0512/klagomålsmail/A 46582-2023 FSC-klagomål mail.docx", "A 46582-2023")</f>
        <v/>
      </c>
      <c r="AA9">
        <f>HYPERLINK("https://klasma.github.io/Logging_0512/tillsyn/A 46582-2023 tillsynsbegäran.docx", "A 46582-2023")</f>
        <v/>
      </c>
      <c r="AB9">
        <f>HYPERLINK("https://klasma.github.io/Logging_0512/tillsynsmail/A 46582-2023 tillsynsbegäran mail.docx", "A 46582-2023")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46217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46217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1.8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Svinrot
Mattlummer</t>
        </is>
      </c>
      <c r="V11">
        <f>HYPERLINK("https://klasma.github.io/Logging_0512/artfynd/A 33676-2022 artfynd.xlsx", "A 33676-2022")</f>
        <v/>
      </c>
      <c r="W11">
        <f>HYPERLINK("https://klasma.github.io/Logging_0512/kartor/A 33676-2022 karta.png", "A 33676-2022")</f>
        <v/>
      </c>
      <c r="Y11">
        <f>HYPERLINK("https://klasma.github.io/Logging_0512/klagomål/A 33676-2022 FSC-klagomål.docx", "A 33676-2022")</f>
        <v/>
      </c>
      <c r="Z11">
        <f>HYPERLINK("https://klasma.github.io/Logging_0512/klagomålsmail/A 33676-2022 FSC-klagomål mail.docx", "A 33676-2022")</f>
        <v/>
      </c>
      <c r="AA11">
        <f>HYPERLINK("https://klasma.github.io/Logging_0512/tillsyn/A 33676-2022 tillsynsbegäran.docx", "A 33676-2022")</f>
        <v/>
      </c>
      <c r="AB11">
        <f>HYPERLINK("https://klasma.github.io/Logging_0512/tillsynsmail/A 33676-2022 tillsynsbegäran mail.docx", "A 33676-2022")</f>
        <v/>
      </c>
    </row>
    <row r="12" ht="15" customHeight="1">
      <c r="A12" t="inlineStr">
        <is>
          <t>A 52667-2022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44874</v>
      </c>
      <c r="E12" s="1" t="n">
        <v>46217</v>
      </c>
      <c r="F12" t="inlineStr">
        <is>
          <t>ÖSTERGÖTLANDS LÄN</t>
        </is>
      </c>
      <c r="G12" t="inlineStr">
        <is>
          <t>YDRE</t>
        </is>
      </c>
      <c r="I12" t="n">
        <v>1.2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Solvända
Mattlummer</t>
        </is>
      </c>
      <c r="V12">
        <f>HYPERLINK("https://klasma.github.io/Logging_0512/artfynd/A 52667-2022 artfynd.xlsx", "A 52667-2022")</f>
        <v/>
      </c>
      <c r="W12">
        <f>HYPERLINK("https://klasma.github.io/Logging_0512/kartor/A 52667-2022 karta.png", "A 52667-2022")</f>
        <v/>
      </c>
      <c r="Y12">
        <f>HYPERLINK("https://klasma.github.io/Logging_0512/klagomål/A 52667-2022 FSC-klagomål.docx", "A 52667-2022")</f>
        <v/>
      </c>
      <c r="Z12">
        <f>HYPERLINK("https://klasma.github.io/Logging_0512/klagomålsmail/A 52667-2022 FSC-klagomål mail.docx", "A 52667-2022")</f>
        <v/>
      </c>
      <c r="AA12">
        <f>HYPERLINK("https://klasma.github.io/Logging_0512/tillsyn/A 52667-2022 tillsynsbegäran.docx", "A 52667-2022")</f>
        <v/>
      </c>
      <c r="AB12">
        <f>HYPERLINK("https://klasma.github.io/Logging_0512/tillsynsmail/A 52667-2022 tillsynsbegäran mail.docx", "A 52667-2022")</f>
        <v/>
      </c>
    </row>
    <row r="13" ht="15" customHeight="1">
      <c r="A13" t="inlineStr">
        <is>
          <t>A 58691-2023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45251</v>
      </c>
      <c r="E13" s="1" t="n">
        <v>46217</v>
      </c>
      <c r="F13" t="inlineStr">
        <is>
          <t>ÖSTERGÖTLANDS LÄN</t>
        </is>
      </c>
      <c r="G13" t="inlineStr">
        <is>
          <t>YDRE</t>
        </is>
      </c>
      <c r="I13" t="n">
        <v>1.7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Gulsparv
Grönsiska</t>
        </is>
      </c>
      <c r="V13">
        <f>HYPERLINK("https://klasma.github.io/Logging_0512/artfynd/A 58691-2023 artfynd.xlsx", "A 58691-2023")</f>
        <v/>
      </c>
      <c r="W13">
        <f>HYPERLINK("https://klasma.github.io/Logging_0512/kartor/A 58691-2023 karta.png", "A 58691-2023")</f>
        <v/>
      </c>
      <c r="Y13">
        <f>HYPERLINK("https://klasma.github.io/Logging_0512/klagomål/A 58691-2023 FSC-klagomål.docx", "A 58691-2023")</f>
        <v/>
      </c>
      <c r="Z13">
        <f>HYPERLINK("https://klasma.github.io/Logging_0512/klagomålsmail/A 58691-2023 FSC-klagomål mail.docx", "A 58691-2023")</f>
        <v/>
      </c>
      <c r="AA13">
        <f>HYPERLINK("https://klasma.github.io/Logging_0512/tillsyn/A 58691-2023 tillsynsbegäran.docx", "A 58691-2023")</f>
        <v/>
      </c>
      <c r="AB13">
        <f>HYPERLINK("https://klasma.github.io/Logging_0512/tillsynsmail/A 58691-2023 tillsynsbegäran mail.docx", "A 58691-2023")</f>
        <v/>
      </c>
      <c r="AC13">
        <f>HYPERLINK("https://klasma.github.io/Logging_0512/fåglar/A 58691-2023 prioriterade fågelarter.docx", "A 58691-2023")</f>
        <v/>
      </c>
    </row>
    <row r="14" ht="15" customHeight="1">
      <c r="A14" t="inlineStr">
        <is>
          <t>A 17526-2024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46217</v>
      </c>
      <c r="F14" t="inlineStr">
        <is>
          <t>ÖSTERGÖTLANDS LÄN</t>
        </is>
      </c>
      <c r="G14" t="inlineStr">
        <is>
          <t>YDRE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Svinrot
Blåsippa</t>
        </is>
      </c>
      <c r="V14">
        <f>HYPERLINK("https://klasma.github.io/Logging_0512/artfynd/A 17526-2024 artfynd.xlsx", "A 17526-2024")</f>
        <v/>
      </c>
      <c r="W14">
        <f>HYPERLINK("https://klasma.github.io/Logging_0512/kartor/A 17526-2024 karta.png", "A 17526-2024")</f>
        <v/>
      </c>
      <c r="Y14">
        <f>HYPERLINK("https://klasma.github.io/Logging_0512/klagomål/A 17526-2024 FSC-klagomål.docx", "A 17526-2024")</f>
        <v/>
      </c>
      <c r="Z14">
        <f>HYPERLINK("https://klasma.github.io/Logging_0512/klagomålsmail/A 17526-2024 FSC-klagomål mail.docx", "A 17526-2024")</f>
        <v/>
      </c>
      <c r="AA14">
        <f>HYPERLINK("https://klasma.github.io/Logging_0512/tillsyn/A 17526-2024 tillsynsbegäran.docx", "A 17526-2024")</f>
        <v/>
      </c>
      <c r="AB14">
        <f>HYPERLINK("https://klasma.github.io/Logging_0512/tillsynsmail/A 17526-2024 tillsynsbegäran mail.docx", "A 17526-2024")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46217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Västlig njurlav
Grynig filtlav</t>
        </is>
      </c>
      <c r="V15">
        <f>HYPERLINK("https://klasma.github.io/Logging_0512/artfynd/A 55870-2025 artfynd.xlsx", "A 55870-2025")</f>
        <v/>
      </c>
      <c r="W15">
        <f>HYPERLINK("https://klasma.github.io/Logging_0512/kartor/A 55870-2025 karta.png", "A 55870-2025")</f>
        <v/>
      </c>
      <c r="Y15">
        <f>HYPERLINK("https://klasma.github.io/Logging_0512/klagomål/A 55870-2025 FSC-klagomål.docx", "A 55870-2025")</f>
        <v/>
      </c>
      <c r="Z15">
        <f>HYPERLINK("https://klasma.github.io/Logging_0512/klagomålsmail/A 55870-2025 FSC-klagomål mail.docx", "A 55870-2025")</f>
        <v/>
      </c>
      <c r="AA15">
        <f>HYPERLINK("https://klasma.github.io/Logging_0512/tillsyn/A 55870-2025 tillsynsbegäran.docx", "A 55870-2025")</f>
        <v/>
      </c>
      <c r="AB15">
        <f>HYPERLINK("https://klasma.github.io/Logging_0512/tillsynsmail/A 55870-2025 tillsynsbegäran mail.docx", "A 55870-2025")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46217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Nordfladdermus
Vattenfladdermus</t>
        </is>
      </c>
      <c r="V16">
        <f>HYPERLINK("https://klasma.github.io/Logging_0512/artfynd/A 7621-2024 artfynd.xlsx", "A 7621-2024")</f>
        <v/>
      </c>
      <c r="W16">
        <f>HYPERLINK("https://klasma.github.io/Logging_0512/kartor/A 7621-2024 karta.png", "A 7621-2024")</f>
        <v/>
      </c>
      <c r="Y16">
        <f>HYPERLINK("https://klasma.github.io/Logging_0512/klagomål/A 7621-2024 FSC-klagomål.docx", "A 7621-2024")</f>
        <v/>
      </c>
      <c r="Z16">
        <f>HYPERLINK("https://klasma.github.io/Logging_0512/klagomålsmail/A 7621-2024 FSC-klagomål mail.docx", "A 7621-2024")</f>
        <v/>
      </c>
      <c r="AA16">
        <f>HYPERLINK("https://klasma.github.io/Logging_0512/tillsyn/A 7621-2024 tillsynsbegäran.docx", "A 7621-2024")</f>
        <v/>
      </c>
      <c r="AB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46217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Knärot
Ängsstarr</t>
        </is>
      </c>
      <c r="V17">
        <f>HYPERLINK("https://klasma.github.io/Logging_0512/artfynd/A 53091-2024 artfynd.xlsx", "A 53091-2024")</f>
        <v/>
      </c>
      <c r="W17">
        <f>HYPERLINK("https://klasma.github.io/Logging_0512/kartor/A 53091-2024 karta.png", "A 53091-2024")</f>
        <v/>
      </c>
      <c r="X17">
        <f>HYPERLINK("https://klasma.github.io/Logging_0512/knärot/A 53091-2024 karta knärot.png", "A 53091-2024")</f>
        <v/>
      </c>
      <c r="Y17">
        <f>HYPERLINK("https://klasma.github.io/Logging_0512/klagomål/A 53091-2024 FSC-klagomål.docx", "A 53091-2024")</f>
        <v/>
      </c>
      <c r="Z17">
        <f>HYPERLINK("https://klasma.github.io/Logging_0512/klagomålsmail/A 53091-2024 FSC-klagomål mail.docx", "A 53091-2024")</f>
        <v/>
      </c>
      <c r="AA17">
        <f>HYPERLINK("https://klasma.github.io/Logging_0512/tillsyn/A 53091-2024 tillsynsbegäran.docx", "A 53091-2024")</f>
        <v/>
      </c>
      <c r="AB17">
        <f>HYPERLINK("https://klasma.github.io/Logging_0512/tillsynsmail/A 53091-2024 tillsynsbegäran mail.docx", "A 53091-2024")</f>
        <v/>
      </c>
    </row>
    <row r="18" ht="15" customHeight="1">
      <c r="A18" t="inlineStr">
        <is>
          <t>A 26030-2023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46217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0.9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Aspelandsfibbla
Smal guldkornsfibbla</t>
        </is>
      </c>
      <c r="V18">
        <f>HYPERLINK("https://klasma.github.io/Logging_0512/artfynd/A 26030-2023 artfynd.xlsx", "A 26030-2023")</f>
        <v/>
      </c>
      <c r="W18">
        <f>HYPERLINK("https://klasma.github.io/Logging_0512/kartor/A 26030-2023 karta.png", "A 26030-2023")</f>
        <v/>
      </c>
      <c r="Y18">
        <f>HYPERLINK("https://klasma.github.io/Logging_0512/klagomål/A 26030-2023 FSC-klagomål.docx", "A 26030-2023")</f>
        <v/>
      </c>
      <c r="Z18">
        <f>HYPERLINK("https://klasma.github.io/Logging_0512/klagomålsmail/A 26030-2023 FSC-klagomål mail.docx", "A 26030-2023")</f>
        <v/>
      </c>
      <c r="AA18">
        <f>HYPERLINK("https://klasma.github.io/Logging_0512/tillsyn/A 26030-2023 tillsynsbegäran.docx", "A 26030-2023")</f>
        <v/>
      </c>
      <c r="AB18">
        <f>HYPERLINK("https://klasma.github.io/Logging_0512/tillsynsmail/A 26030-2023 tillsynsbegäran mail.docx", "A 26030-2023")</f>
        <v/>
      </c>
    </row>
    <row r="19" ht="15" customHeight="1">
      <c r="A19" t="inlineStr">
        <is>
          <t>A 25498-2022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44732</v>
      </c>
      <c r="E19" s="1" t="n">
        <v>46217</v>
      </c>
      <c r="F19" t="inlineStr">
        <is>
          <t>ÖSTERGÖTLANDS LÄN</t>
        </is>
      </c>
      <c r="G19" t="inlineStr">
        <is>
          <t>YDRE</t>
        </is>
      </c>
      <c r="H19" t="inlineStr">
        <is>
          <t>Kyrkan</t>
        </is>
      </c>
      <c r="I19" t="n">
        <v>71.09999999999999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Garnlav
Brunpudrad nållav</t>
        </is>
      </c>
      <c r="V19">
        <f>HYPERLINK("https://klasma.github.io/Logging_0512/artfynd/A 25498-2022 artfynd.xlsx", "A 25498-2022")</f>
        <v/>
      </c>
      <c r="W19">
        <f>HYPERLINK("https://klasma.github.io/Logging_0512/kartor/A 25498-2022 karta.png", "A 25498-2022")</f>
        <v/>
      </c>
      <c r="Y19">
        <f>HYPERLINK("https://klasma.github.io/Logging_0512/klagomål/A 25498-2022 FSC-klagomål.docx", "A 25498-2022")</f>
        <v/>
      </c>
      <c r="Z19">
        <f>HYPERLINK("https://klasma.github.io/Logging_0512/klagomålsmail/A 25498-2022 FSC-klagomål mail.docx", "A 25498-2022")</f>
        <v/>
      </c>
      <c r="AA19">
        <f>HYPERLINK("https://klasma.github.io/Logging_0512/tillsyn/A 25498-2022 tillsynsbegäran.docx", "A 25498-2022")</f>
        <v/>
      </c>
      <c r="AB19">
        <f>HYPERLINK("https://klasma.github.io/Logging_0512/tillsynsmail/A 25498-2022 tillsynsbegäran mail.docx", "A 25498-2022")</f>
        <v/>
      </c>
    </row>
    <row r="20" ht="15" customHeight="1">
      <c r="A20" t="inlineStr">
        <is>
          <t>A 23612-2025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45792</v>
      </c>
      <c r="E20" s="1" t="n">
        <v>46217</v>
      </c>
      <c r="F20" t="inlineStr">
        <is>
          <t>ÖSTERGÖTLANDS LÄN</t>
        </is>
      </c>
      <c r="G20" t="inlineStr">
        <is>
          <t>YDRE</t>
        </is>
      </c>
      <c r="I20" t="n">
        <v>2.1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Tallticka
Blomkålssvamp</t>
        </is>
      </c>
      <c r="V20">
        <f>HYPERLINK("https://klasma.github.io/Logging_0512/artfynd/A 23612-2025 artfynd.xlsx", "A 23612-2025")</f>
        <v/>
      </c>
      <c r="W20">
        <f>HYPERLINK("https://klasma.github.io/Logging_0512/kartor/A 23612-2025 karta.png", "A 23612-2025")</f>
        <v/>
      </c>
      <c r="Y20">
        <f>HYPERLINK("https://klasma.github.io/Logging_0512/klagomål/A 23612-2025 FSC-klagomål.docx", "A 23612-2025")</f>
        <v/>
      </c>
      <c r="Z20">
        <f>HYPERLINK("https://klasma.github.io/Logging_0512/klagomålsmail/A 23612-2025 FSC-klagomål mail.docx", "A 23612-2025")</f>
        <v/>
      </c>
      <c r="AA20">
        <f>HYPERLINK("https://klasma.github.io/Logging_0512/tillsyn/A 23612-2025 tillsynsbegäran.docx", "A 23612-2025")</f>
        <v/>
      </c>
      <c r="AB20">
        <f>HYPERLINK("https://klasma.github.io/Logging_0512/tillsynsmail/A 23612-2025 tillsynsbegäran mail.docx", "A 23612-2025")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46217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46217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36804-2021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44392</v>
      </c>
      <c r="E23" s="1" t="n">
        <v>46217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Lopplummer (aggregat)</t>
        </is>
      </c>
      <c r="V23">
        <f>HYPERLINK("https://klasma.github.io/Logging_0512/artfynd/A 36804-2021 artfynd.xlsx", "A 36804-2021")</f>
        <v/>
      </c>
      <c r="W23">
        <f>HYPERLINK("https://klasma.github.io/Logging_0512/kartor/A 36804-2021 karta.png", "A 36804-2021")</f>
        <v/>
      </c>
      <c r="Y23">
        <f>HYPERLINK("https://klasma.github.io/Logging_0512/klagomål/A 36804-2021 FSC-klagomål.docx", "A 36804-2021")</f>
        <v/>
      </c>
      <c r="Z23">
        <f>HYPERLINK("https://klasma.github.io/Logging_0512/klagomålsmail/A 36804-2021 FSC-klagomål mail.docx", "A 36804-2021")</f>
        <v/>
      </c>
      <c r="AA23">
        <f>HYPERLINK("https://klasma.github.io/Logging_0512/tillsyn/A 36804-2021 tillsynsbegäran.docx", "A 36804-2021")</f>
        <v/>
      </c>
      <c r="AB23">
        <f>HYPERLINK("https://klasma.github.io/Logging_0512/tillsynsmail/A 36804-2021 tillsynsbegäran mail.docx", "A 36804-2021")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46217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HYPERLINK("https://klasma.github.io/Logging_0512/artfynd/A 53277-2021 artfynd.xlsx", "A 53277-2021")</f>
        <v/>
      </c>
      <c r="W24">
        <f>HYPERLINK("https://klasma.github.io/Logging_0512/kartor/A 53277-2021 karta.png", "A 53277-2021")</f>
        <v/>
      </c>
      <c r="Y24">
        <f>HYPERLINK("https://klasma.github.io/Logging_0512/klagomål/A 53277-2021 FSC-klagomål.docx", "A 53277-2021")</f>
        <v/>
      </c>
      <c r="Z24">
        <f>HYPERLINK("https://klasma.github.io/Logging_0512/klagomålsmail/A 53277-2021 FSC-klagomål mail.docx", "A 53277-2021")</f>
        <v/>
      </c>
      <c r="AA24">
        <f>HYPERLINK("https://klasma.github.io/Logging_0512/tillsyn/A 53277-2021 tillsynsbegäran.docx", "A 53277-2021")</f>
        <v/>
      </c>
      <c r="AB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46217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HYPERLINK("https://klasma.github.io/Logging_0512/artfynd/A 65337-2021 artfynd.xlsx", "A 65337-2021")</f>
        <v/>
      </c>
      <c r="W25">
        <f>HYPERLINK("https://klasma.github.io/Logging_0512/kartor/A 65337-2021 karta.png", "A 65337-2021")</f>
        <v/>
      </c>
      <c r="Y25">
        <f>HYPERLINK("https://klasma.github.io/Logging_0512/klagomål/A 65337-2021 FSC-klagomål.docx", "A 65337-2021")</f>
        <v/>
      </c>
      <c r="Z25">
        <f>HYPERLINK("https://klasma.github.io/Logging_0512/klagomålsmail/A 65337-2021 FSC-klagomål mail.docx", "A 65337-2021")</f>
        <v/>
      </c>
      <c r="AA25">
        <f>HYPERLINK("https://klasma.github.io/Logging_0512/tillsyn/A 65337-2021 tillsynsbegäran.docx", "A 65337-2021")</f>
        <v/>
      </c>
      <c r="AB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46217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Lungrot</t>
        </is>
      </c>
      <c r="V26">
        <f>HYPERLINK("https://klasma.github.io/Logging_0512/artfynd/A 11273-2024 artfynd.xlsx", "A 11273-2024")</f>
        <v/>
      </c>
      <c r="W26">
        <f>HYPERLINK("https://klasma.github.io/Logging_0512/kartor/A 11273-2024 karta.png", "A 11273-2024")</f>
        <v/>
      </c>
      <c r="Y26">
        <f>HYPERLINK("https://klasma.github.io/Logging_0512/klagomål/A 11273-2024 FSC-klagomål.docx", "A 11273-2024")</f>
        <v/>
      </c>
      <c r="Z26">
        <f>HYPERLINK("https://klasma.github.io/Logging_0512/klagomålsmail/A 11273-2024 FSC-klagomål mail.docx", "A 11273-2024")</f>
        <v/>
      </c>
      <c r="AA26">
        <f>HYPERLINK("https://klasma.github.io/Logging_0512/tillsyn/A 11273-2024 tillsynsbegäran.docx", "A 11273-2024")</f>
        <v/>
      </c>
      <c r="AB26">
        <f>HYPERLINK("https://klasma.github.io/Logging_0512/tillsynsmail/A 11273-2024 tillsynsbegäran mail.docx", "A 11273-2024")</f>
        <v/>
      </c>
    </row>
    <row r="27" ht="15" customHeight="1">
      <c r="A27" t="inlineStr">
        <is>
          <t>A 45765-2025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46217</v>
      </c>
      <c r="F27" t="inlineStr">
        <is>
          <t>ÖSTERGÖTLANDS LÄN</t>
        </is>
      </c>
      <c r="G27" t="inlineStr">
        <is>
          <t>YDRE</t>
        </is>
      </c>
      <c r="I27" t="n">
        <v>10.9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Sommarfibbla</t>
        </is>
      </c>
      <c r="V27">
        <f>HYPERLINK("https://klasma.github.io/Logging_0512/artfynd/A 45765-2025 artfynd.xlsx", "A 45765-2025")</f>
        <v/>
      </c>
      <c r="W27">
        <f>HYPERLINK("https://klasma.github.io/Logging_0512/kartor/A 45765-2025 karta.png", "A 45765-2025")</f>
        <v/>
      </c>
      <c r="Y27">
        <f>HYPERLINK("https://klasma.github.io/Logging_0512/klagomål/A 45765-2025 FSC-klagomål.docx", "A 45765-2025")</f>
        <v/>
      </c>
      <c r="Z27">
        <f>HYPERLINK("https://klasma.github.io/Logging_0512/klagomålsmail/A 45765-2025 FSC-klagomål mail.docx", "A 45765-2025")</f>
        <v/>
      </c>
      <c r="AA27">
        <f>HYPERLINK("https://klasma.github.io/Logging_0512/tillsyn/A 45765-2025 tillsynsbegäran.docx", "A 45765-2025")</f>
        <v/>
      </c>
      <c r="AB27">
        <f>HYPERLINK("https://klasma.github.io/Logging_0512/tillsynsmail/A 45765-2025 tillsynsbegäran mail.docx", "A 45765-2025")</f>
        <v/>
      </c>
    </row>
    <row r="28" ht="15" customHeight="1">
      <c r="A28" t="inlineStr">
        <is>
          <t>A 45354-2023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45192</v>
      </c>
      <c r="E28" s="1" t="n">
        <v>46217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HYPERLINK("https://klasma.github.io/Logging_0512/artfynd/A 45354-2023 artfynd.xlsx", "A 45354-2023")</f>
        <v/>
      </c>
      <c r="W28">
        <f>HYPERLINK("https://klasma.github.io/Logging_0512/kartor/A 45354-2023 karta.png", "A 45354-2023")</f>
        <v/>
      </c>
      <c r="Y28">
        <f>HYPERLINK("https://klasma.github.io/Logging_0512/klagomål/A 45354-2023 FSC-klagomål.docx", "A 45354-2023")</f>
        <v/>
      </c>
      <c r="Z28">
        <f>HYPERLINK("https://klasma.github.io/Logging_0512/klagomålsmail/A 45354-2023 FSC-klagomål mail.docx", "A 45354-2023")</f>
        <v/>
      </c>
      <c r="AA28">
        <f>HYPERLINK("https://klasma.github.io/Logging_0512/tillsyn/A 45354-2023 tillsynsbegäran.docx", "A 45354-2023")</f>
        <v/>
      </c>
      <c r="AB28">
        <f>HYPERLINK("https://klasma.github.io/Logging_0512/tillsynsmail/A 45354-2023 tillsynsbegäran mail.docx", "A 45354-2023")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46217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Smal guldkornsfibbla</t>
        </is>
      </c>
      <c r="V29">
        <f>HYPERLINK("https://klasma.github.io/Logging_0512/artfynd/A 19370-2025 artfynd.xlsx", "A 19370-2025")</f>
        <v/>
      </c>
      <c r="W29">
        <f>HYPERLINK("https://klasma.github.io/Logging_0512/kartor/A 19370-2025 karta.png", "A 19370-2025")</f>
        <v/>
      </c>
      <c r="Y29">
        <f>HYPERLINK("https://klasma.github.io/Logging_0512/klagomål/A 19370-2025 FSC-klagomål.docx", "A 19370-2025")</f>
        <v/>
      </c>
      <c r="Z29">
        <f>HYPERLINK("https://klasma.github.io/Logging_0512/klagomålsmail/A 19370-2025 FSC-klagomål mail.docx", "A 19370-2025")</f>
        <v/>
      </c>
      <c r="AA29">
        <f>HYPERLINK("https://klasma.github.io/Logging_0512/tillsyn/A 19370-2025 tillsynsbegäran.docx", "A 19370-2025")</f>
        <v/>
      </c>
      <c r="AB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46217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Grönvit nattviol</t>
        </is>
      </c>
      <c r="V30">
        <f>HYPERLINK("https://klasma.github.io/Logging_0512/artfynd/A 44503-2025 artfynd.xlsx", "A 44503-2025")</f>
        <v/>
      </c>
      <c r="W30">
        <f>HYPERLINK("https://klasma.github.io/Logging_0512/kartor/A 44503-2025 karta.png", "A 44503-2025")</f>
        <v/>
      </c>
      <c r="Y30">
        <f>HYPERLINK("https://klasma.github.io/Logging_0512/klagomål/A 44503-2025 FSC-klagomål.docx", "A 44503-2025")</f>
        <v/>
      </c>
      <c r="Z30">
        <f>HYPERLINK("https://klasma.github.io/Logging_0512/klagomålsmail/A 44503-2025 FSC-klagomål mail.docx", "A 44503-2025")</f>
        <v/>
      </c>
      <c r="AA30">
        <f>HYPERLINK("https://klasma.github.io/Logging_0512/tillsyn/A 44503-2025 tillsynsbegäran.docx", "A 44503-2025")</f>
        <v/>
      </c>
      <c r="AB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46217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Kattfotslav</t>
        </is>
      </c>
      <c r="V31">
        <f>HYPERLINK("https://klasma.github.io/Logging_0512/artfynd/A 45771-2025 artfynd.xlsx", "A 45771-2025")</f>
        <v/>
      </c>
      <c r="W31">
        <f>HYPERLINK("https://klasma.github.io/Logging_0512/kartor/A 45771-2025 karta.png", "A 45771-2025")</f>
        <v/>
      </c>
      <c r="Y31">
        <f>HYPERLINK("https://klasma.github.io/Logging_0512/klagomål/A 45771-2025 FSC-klagomål.docx", "A 45771-2025")</f>
        <v/>
      </c>
      <c r="Z31">
        <f>HYPERLINK("https://klasma.github.io/Logging_0512/klagomålsmail/A 45771-2025 FSC-klagomål mail.docx", "A 45771-2025")</f>
        <v/>
      </c>
      <c r="AA31">
        <f>HYPERLINK("https://klasma.github.io/Logging_0512/tillsyn/A 45771-2025 tillsynsbegäran.docx", "A 45771-2025")</f>
        <v/>
      </c>
      <c r="AB31">
        <f>HYPERLINK("https://klasma.github.io/Logging_0512/tillsynsmail/A 45771-2025 tillsynsbegäran mail.docx", "A 45771-2025")</f>
        <v/>
      </c>
    </row>
    <row r="32" ht="15" customHeight="1">
      <c r="A32" t="inlineStr">
        <is>
          <t>A 45815-2025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46217</v>
      </c>
      <c r="F32" t="inlineStr">
        <is>
          <t>ÖSTERGÖTLANDS LÄN</t>
        </is>
      </c>
      <c r="G32" t="inlineStr">
        <is>
          <t>YDRE</t>
        </is>
      </c>
      <c r="I32" t="n">
        <v>6.3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Gullpudra</t>
        </is>
      </c>
      <c r="V32">
        <f>HYPERLINK("https://klasma.github.io/Logging_0512/artfynd/A 45815-2025 artfynd.xlsx", "A 45815-2025")</f>
        <v/>
      </c>
      <c r="W32">
        <f>HYPERLINK("https://klasma.github.io/Logging_0512/kartor/A 45815-2025 karta.png", "A 45815-2025")</f>
        <v/>
      </c>
      <c r="Y32">
        <f>HYPERLINK("https://klasma.github.io/Logging_0512/klagomål/A 45815-2025 FSC-klagomål.docx", "A 45815-2025")</f>
        <v/>
      </c>
      <c r="Z32">
        <f>HYPERLINK("https://klasma.github.io/Logging_0512/klagomålsmail/A 45815-2025 FSC-klagomål mail.docx", "A 45815-2025")</f>
        <v/>
      </c>
      <c r="AA32">
        <f>HYPERLINK("https://klasma.github.io/Logging_0512/tillsyn/A 45815-2025 tillsynsbegäran.docx", "A 45815-2025")</f>
        <v/>
      </c>
      <c r="AB32">
        <f>HYPERLINK("https://klasma.github.io/Logging_0512/tillsynsmail/A 45815-2025 tillsynsbegäran mail.docx", "A 45815-2025")</f>
        <v/>
      </c>
    </row>
    <row r="33" ht="15" customHeight="1">
      <c r="A33" t="inlineStr">
        <is>
          <t>A 11716-2025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45727</v>
      </c>
      <c r="E33" s="1" t="n">
        <v>46217</v>
      </c>
      <c r="F33" t="inlineStr">
        <is>
          <t>ÖSTERGÖTLANDS LÄN</t>
        </is>
      </c>
      <c r="G33" t="inlineStr">
        <is>
          <t>YDRE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Kryddspindling</t>
        </is>
      </c>
      <c r="V33">
        <f>HYPERLINK("https://klasma.github.io/Logging_0512/artfynd/A 11716-2025 artfynd.xlsx", "A 11716-2025")</f>
        <v/>
      </c>
      <c r="W33">
        <f>HYPERLINK("https://klasma.github.io/Logging_0512/kartor/A 11716-2025 karta.png", "A 11716-2025")</f>
        <v/>
      </c>
      <c r="Y33">
        <f>HYPERLINK("https://klasma.github.io/Logging_0512/klagomål/A 11716-2025 FSC-klagomål.docx", "A 11716-2025")</f>
        <v/>
      </c>
      <c r="Z33">
        <f>HYPERLINK("https://klasma.github.io/Logging_0512/klagomålsmail/A 11716-2025 FSC-klagomål mail.docx", "A 11716-2025")</f>
        <v/>
      </c>
      <c r="AA33">
        <f>HYPERLINK("https://klasma.github.io/Logging_0512/tillsyn/A 11716-2025 tillsynsbegäran.docx", "A 11716-2025")</f>
        <v/>
      </c>
      <c r="AB33">
        <f>HYPERLINK("https://klasma.github.io/Logging_0512/tillsynsmail/A 11716-2025 tillsynsbegäran mail.docx", "A 11716-2025")</f>
        <v/>
      </c>
    </row>
    <row r="34" ht="15" customHeight="1">
      <c r="A34" t="inlineStr">
        <is>
          <t>A 16704-2025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45754</v>
      </c>
      <c r="E34" s="1" t="n">
        <v>46217</v>
      </c>
      <c r="F34" t="inlineStr">
        <is>
          <t>ÖSTERGÖTLANDS LÄN</t>
        </is>
      </c>
      <c r="G34" t="inlineStr">
        <is>
          <t>YDRE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HYPERLINK("https://klasma.github.io/Logging_0512/artfynd/A 16704-2025 artfynd.xlsx", "A 16704-2025")</f>
        <v/>
      </c>
      <c r="W34">
        <f>HYPERLINK("https://klasma.github.io/Logging_0512/kartor/A 16704-2025 karta.png", "A 16704-2025")</f>
        <v/>
      </c>
      <c r="Y34">
        <f>HYPERLINK("https://klasma.github.io/Logging_0512/klagomål/A 16704-2025 FSC-klagomål.docx", "A 16704-2025")</f>
        <v/>
      </c>
      <c r="Z34">
        <f>HYPERLINK("https://klasma.github.io/Logging_0512/klagomålsmail/A 16704-2025 FSC-klagomål mail.docx", "A 16704-2025")</f>
        <v/>
      </c>
      <c r="AA34">
        <f>HYPERLINK("https://klasma.github.io/Logging_0512/tillsyn/A 16704-2025 tillsynsbegäran.docx", "A 16704-2025")</f>
        <v/>
      </c>
      <c r="AB34">
        <f>HYPERLINK("https://klasma.github.io/Logging_0512/tillsynsmail/A 16704-2025 tillsynsbegäran mail.docx", "A 16704-2025")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46217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HYPERLINK("https://klasma.github.io/Logging_0512/artfynd/A 54075-2025 artfynd.xlsx", "A 54075-2025")</f>
        <v/>
      </c>
      <c r="W35">
        <f>HYPERLINK("https://klasma.github.io/Logging_0512/kartor/A 54075-2025 karta.png", "A 54075-2025")</f>
        <v/>
      </c>
      <c r="Y35">
        <f>HYPERLINK("https://klasma.github.io/Logging_0512/klagomål/A 54075-2025 FSC-klagomål.docx", "A 54075-2025")</f>
        <v/>
      </c>
      <c r="Z35">
        <f>HYPERLINK("https://klasma.github.io/Logging_0512/klagomålsmail/A 54075-2025 FSC-klagomål mail.docx", "A 54075-2025")</f>
        <v/>
      </c>
      <c r="AA35">
        <f>HYPERLINK("https://klasma.github.io/Logging_0512/tillsyn/A 54075-2025 tillsynsbegäran.docx", "A 54075-2025")</f>
        <v/>
      </c>
      <c r="AB35">
        <f>HYPERLINK("https://klasma.github.io/Logging_0512/tillsynsmail/A 54075-2025 tillsynsbegäran mail.docx", "A 54075-2025")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46217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Talltita</t>
        </is>
      </c>
      <c r="V36">
        <f>HYPERLINK("https://klasma.github.io/Logging_0512/artfynd/A 54520-2025 artfynd.xlsx", "A 54520-2025")</f>
        <v/>
      </c>
      <c r="W36">
        <f>HYPERLINK("https://klasma.github.io/Logging_0512/kartor/A 54520-2025 karta.png", "A 54520-2025")</f>
        <v/>
      </c>
      <c r="Y36">
        <f>HYPERLINK("https://klasma.github.io/Logging_0512/klagomål/A 54520-2025 FSC-klagomål.docx", "A 54520-2025")</f>
        <v/>
      </c>
      <c r="Z36">
        <f>HYPERLINK("https://klasma.github.io/Logging_0512/klagomålsmail/A 54520-2025 FSC-klagomål mail.docx", "A 54520-2025")</f>
        <v/>
      </c>
      <c r="AA36">
        <f>HYPERLINK("https://klasma.github.io/Logging_0512/tillsyn/A 54520-2025 tillsynsbegäran.docx", "A 54520-2025")</f>
        <v/>
      </c>
      <c r="AB36">
        <f>HYPERLINK("https://klasma.github.io/Logging_0512/tillsynsmail/A 54520-2025 tillsynsbegäran mail.docx", "A 54520-2025")</f>
        <v/>
      </c>
      <c r="AC36">
        <f>HYPERLINK("https://klasma.github.io/Logging_0512/fåglar/A 54520-2025 prioriterade fågelarter.docx", "A 54520-2025")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46217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Gullklöver</t>
        </is>
      </c>
      <c r="V37">
        <f>HYPERLINK("https://klasma.github.io/Logging_0512/artfynd/A 48344-2022 artfynd.xlsx", "A 48344-2022")</f>
        <v/>
      </c>
      <c r="W37">
        <f>HYPERLINK("https://klasma.github.io/Logging_0512/kartor/A 48344-2022 karta.png", "A 48344-2022")</f>
        <v/>
      </c>
      <c r="Y37">
        <f>HYPERLINK("https://klasma.github.io/Logging_0512/klagomål/A 48344-2022 FSC-klagomål.docx", "A 48344-2022")</f>
        <v/>
      </c>
      <c r="Z37">
        <f>HYPERLINK("https://klasma.github.io/Logging_0512/klagomålsmail/A 48344-2022 FSC-klagomål mail.docx", "A 48344-2022")</f>
        <v/>
      </c>
      <c r="AA37">
        <f>HYPERLINK("https://klasma.github.io/Logging_0512/tillsyn/A 48344-2022 tillsynsbegäran.docx", "A 48344-2022")</f>
        <v/>
      </c>
      <c r="AB37">
        <f>HYPERLINK("https://klasma.github.io/Logging_0512/tillsynsmail/A 48344-2022 tillsynsbegäran mail.docx", "A 48344-2022")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46217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HYPERLINK("https://klasma.github.io/Logging_0512/artfynd/A 4248-2026 artfynd.xlsx", "A 4248-2026")</f>
        <v/>
      </c>
      <c r="W38">
        <f>HYPERLINK("https://klasma.github.io/Logging_0512/kartor/A 4248-2026 karta.png", "A 4248-2026")</f>
        <v/>
      </c>
      <c r="Y38">
        <f>HYPERLINK("https://klasma.github.io/Logging_0512/klagomål/A 4248-2026 FSC-klagomål.docx", "A 4248-2026")</f>
        <v/>
      </c>
      <c r="Z38">
        <f>HYPERLINK("https://klasma.github.io/Logging_0512/klagomålsmail/A 4248-2026 FSC-klagomål mail.docx", "A 4248-2026")</f>
        <v/>
      </c>
      <c r="AA38">
        <f>HYPERLINK("https://klasma.github.io/Logging_0512/tillsyn/A 4248-2026 tillsynsbegäran.docx", "A 4248-2026")</f>
        <v/>
      </c>
      <c r="AB38">
        <f>HYPERLINK("https://klasma.github.io/Logging_0512/tillsynsmail/A 4248-2026 tillsynsbegäran mail.docx", "A 4248-2026")</f>
        <v/>
      </c>
      <c r="AC38">
        <f>HYPERLINK("https://klasma.github.io/Logging_0512/fåglar/A 4248-2026 prioriterade fågelarter.docx", "A 4248-2026")</f>
        <v/>
      </c>
    </row>
    <row r="39" ht="15" customHeight="1">
      <c r="A39" t="inlineStr">
        <is>
          <t>A 29200-2026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46202</v>
      </c>
      <c r="E39" s="1" t="n">
        <v>46217</v>
      </c>
      <c r="F39" t="inlineStr">
        <is>
          <t>ÖSTERGÖTLANDS LÄN</t>
        </is>
      </c>
      <c r="G39" t="inlineStr">
        <is>
          <t>YDRE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Svinrot</t>
        </is>
      </c>
      <c r="V39">
        <f>HYPERLINK("https://klasma.github.io/Logging_0512/artfynd/A 29200-2026 artfynd.xlsx", "A 29200-2026")</f>
        <v/>
      </c>
      <c r="W39">
        <f>HYPERLINK("https://klasma.github.io/Logging_0512/kartor/A 29200-2026 karta.png", "A 29200-2026")</f>
        <v/>
      </c>
      <c r="Y39">
        <f>HYPERLINK("https://klasma.github.io/Logging_0512/klagomål/A 29200-2026 FSC-klagomål.docx", "A 29200-2026")</f>
        <v/>
      </c>
      <c r="Z39">
        <f>HYPERLINK("https://klasma.github.io/Logging_0512/klagomålsmail/A 29200-2026 FSC-klagomål mail.docx", "A 29200-2026")</f>
        <v/>
      </c>
      <c r="AA39">
        <f>HYPERLINK("https://klasma.github.io/Logging_0512/tillsyn/A 29200-2026 tillsynsbegäran.docx", "A 29200-2026")</f>
        <v/>
      </c>
      <c r="AB39">
        <f>HYPERLINK("https://klasma.github.io/Logging_0512/tillsynsmail/A 29200-2026 tillsynsbegäran mail.docx", "A 29200-2026")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46217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Slåtterfibbla</t>
        </is>
      </c>
      <c r="V40">
        <f>HYPERLINK("https://klasma.github.io/Logging_0512/artfynd/A 9051-2026 artfynd.xlsx", "A 9051-2026")</f>
        <v/>
      </c>
      <c r="W40">
        <f>HYPERLINK("https://klasma.github.io/Logging_0512/kartor/A 9051-2026 karta.png", "A 9051-2026")</f>
        <v/>
      </c>
      <c r="Y40">
        <f>HYPERLINK("https://klasma.github.io/Logging_0512/klagomål/A 9051-2026 FSC-klagomål.docx", "A 9051-2026")</f>
        <v/>
      </c>
      <c r="Z40">
        <f>HYPERLINK("https://klasma.github.io/Logging_0512/klagomålsmail/A 9051-2026 FSC-klagomål mail.docx", "A 9051-2026")</f>
        <v/>
      </c>
      <c r="AA40">
        <f>HYPERLINK("https://klasma.github.io/Logging_0512/tillsyn/A 9051-2026 tillsynsbegäran.docx", "A 9051-2026")</f>
        <v/>
      </c>
      <c r="AB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46217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HYPERLINK("https://klasma.github.io/Logging_0512/artfynd/A 8923-2026 artfynd.xlsx", "A 8923-2026")</f>
        <v/>
      </c>
      <c r="W41">
        <f>HYPERLINK("https://klasma.github.io/Logging_0512/kartor/A 8923-2026 karta.png", "A 8923-2026")</f>
        <v/>
      </c>
      <c r="Y41">
        <f>HYPERLINK("https://klasma.github.io/Logging_0512/klagomål/A 8923-2026 FSC-klagomål.docx", "A 8923-2026")</f>
        <v/>
      </c>
      <c r="Z41">
        <f>HYPERLINK("https://klasma.github.io/Logging_0512/klagomålsmail/A 8923-2026 FSC-klagomål mail.docx", "A 8923-2026")</f>
        <v/>
      </c>
      <c r="AA41">
        <f>HYPERLINK("https://klasma.github.io/Logging_0512/tillsyn/A 8923-2026 tillsynsbegäran.docx", "A 8923-2026")</f>
        <v/>
      </c>
      <c r="AB41">
        <f>HYPERLINK("https://klasma.github.io/Logging_0512/tillsynsmail/A 8923-2026 tillsynsbegäran mail.docx", "A 8923-2026")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46217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Korallrot</t>
        </is>
      </c>
      <c r="V42">
        <f>HYPERLINK("https://klasma.github.io/Logging_0512/artfynd/A 47467-2021 artfynd.xlsx", "A 47467-2021")</f>
        <v/>
      </c>
      <c r="W42">
        <f>HYPERLINK("https://klasma.github.io/Logging_0512/kartor/A 47467-2021 karta.png", "A 47467-2021")</f>
        <v/>
      </c>
      <c r="Y42">
        <f>HYPERLINK("https://klasma.github.io/Logging_0512/klagomål/A 47467-2021 FSC-klagomål.docx", "A 47467-2021")</f>
        <v/>
      </c>
      <c r="Z42">
        <f>HYPERLINK("https://klasma.github.io/Logging_0512/klagomålsmail/A 47467-2021 FSC-klagomål mail.docx", "A 47467-2021")</f>
        <v/>
      </c>
      <c r="AA42">
        <f>HYPERLINK("https://klasma.github.io/Logging_0512/tillsyn/A 47467-2021 tillsynsbegäran.docx", "A 47467-2021")</f>
        <v/>
      </c>
      <c r="AB42">
        <f>HYPERLINK("https://klasma.github.io/Logging_0512/tillsynsmail/A 47467-2021 tillsynsbegäran mail.docx", "A 47467-2021")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46217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Nattviol</t>
        </is>
      </c>
      <c r="V43">
        <f>HYPERLINK("https://klasma.github.io/Logging_0512/artfynd/A 12669-2025 artfynd.xlsx", "A 12669-2025")</f>
        <v/>
      </c>
      <c r="W43">
        <f>HYPERLINK("https://klasma.github.io/Logging_0512/kartor/A 12669-2025 karta.png", "A 12669-2025")</f>
        <v/>
      </c>
      <c r="Y43">
        <f>HYPERLINK("https://klasma.github.io/Logging_0512/klagomål/A 12669-2025 FSC-klagomål.docx", "A 12669-2025")</f>
        <v/>
      </c>
      <c r="Z43">
        <f>HYPERLINK("https://klasma.github.io/Logging_0512/klagomålsmail/A 12669-2025 FSC-klagomål mail.docx", "A 12669-2025")</f>
        <v/>
      </c>
      <c r="AA43">
        <f>HYPERLINK("https://klasma.github.io/Logging_0512/tillsyn/A 12669-2025 tillsynsbegäran.docx", "A 12669-2025")</f>
        <v/>
      </c>
      <c r="AB43">
        <f>HYPERLINK("https://klasma.github.io/Logging_0512/tillsynsmail/A 12669-2025 tillsynsbegäran mail.docx", "A 12669-2025")</f>
        <v/>
      </c>
    </row>
    <row r="44" ht="15" customHeight="1">
      <c r="A44" t="inlineStr">
        <is>
          <t>A 53049-2024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46217</v>
      </c>
      <c r="F44" t="inlineStr">
        <is>
          <t>ÖSTERGÖTLANDS LÄN</t>
        </is>
      </c>
      <c r="G44" t="inlineStr">
        <is>
          <t>YDRE</t>
        </is>
      </c>
      <c r="H44" t="inlineStr">
        <is>
          <t>Övriga Aktiebolag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Mosippa</t>
        </is>
      </c>
      <c r="V44">
        <f>HYPERLINK("https://klasma.github.io/Logging_0512/artfynd/A 53049-2024 artfynd.xlsx", "A 53049-2024")</f>
        <v/>
      </c>
      <c r="W44">
        <f>HYPERLINK("https://klasma.github.io/Logging_0512/kartor/A 53049-2024 karta.png", "A 53049-2024")</f>
        <v/>
      </c>
      <c r="Y44">
        <f>HYPERLINK("https://klasma.github.io/Logging_0512/klagomål/A 53049-2024 FSC-klagomål.docx", "A 53049-2024")</f>
        <v/>
      </c>
      <c r="Z44">
        <f>HYPERLINK("https://klasma.github.io/Logging_0512/klagomålsmail/A 53049-2024 FSC-klagomål mail.docx", "A 53049-2024")</f>
        <v/>
      </c>
      <c r="AA44">
        <f>HYPERLINK("https://klasma.github.io/Logging_0512/tillsyn/A 53049-2024 tillsynsbegäran.docx", "A 53049-2024")</f>
        <v/>
      </c>
      <c r="AB44">
        <f>HYPERLINK("https://klasma.github.io/Logging_0512/tillsynsmail/A 53049-2024 tillsynsbegäran mail.docx", "A 53049-2024")</f>
        <v/>
      </c>
    </row>
    <row r="45" ht="15" customHeight="1">
      <c r="A45" t="inlineStr">
        <is>
          <t>A 41907-2024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45561</v>
      </c>
      <c r="E45" s="1" t="n">
        <v>46217</v>
      </c>
      <c r="F45" t="inlineStr">
        <is>
          <t>ÖSTERGÖTLANDS LÄN</t>
        </is>
      </c>
      <c r="G45" t="inlineStr">
        <is>
          <t>YDRE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Grovticka</t>
        </is>
      </c>
      <c r="V45">
        <f>HYPERLINK("https://klasma.github.io/Logging_0512/artfynd/A 41907-2024 artfynd.xlsx", "A 41907-2024")</f>
        <v/>
      </c>
      <c r="W45">
        <f>HYPERLINK("https://klasma.github.io/Logging_0512/kartor/A 41907-2024 karta.png", "A 41907-2024")</f>
        <v/>
      </c>
      <c r="Y45">
        <f>HYPERLINK("https://klasma.github.io/Logging_0512/klagomål/A 41907-2024 FSC-klagomål.docx", "A 41907-2024")</f>
        <v/>
      </c>
      <c r="Z45">
        <f>HYPERLINK("https://klasma.github.io/Logging_0512/klagomålsmail/A 41907-2024 FSC-klagomål mail.docx", "A 41907-2024")</f>
        <v/>
      </c>
      <c r="AA45">
        <f>HYPERLINK("https://klasma.github.io/Logging_0512/tillsyn/A 41907-2024 tillsynsbegäran.docx", "A 41907-2024")</f>
        <v/>
      </c>
      <c r="AB45">
        <f>HYPERLINK("https://klasma.github.io/Logging_0512/tillsynsmail/A 41907-2024 tillsynsbegäran mail.docx", "A 41907-2024")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46217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Smal guldkornsfibbla</t>
        </is>
      </c>
      <c r="V46">
        <f>HYPERLINK("https://klasma.github.io/Logging_0512/artfynd/S 1389-2025 artfynd.xlsx", "S 1389-2025")</f>
        <v/>
      </c>
      <c r="W46">
        <f>HYPERLINK("https://klasma.github.io/Logging_0512/kartor/S 1389-2025 karta.png", "S 1389-2025")</f>
        <v/>
      </c>
      <c r="Y46">
        <f>HYPERLINK("https://klasma.github.io/Logging_0512/klagomål/S 1389-2025 FSC-klagomål.docx", "S 1389-2025")</f>
        <v/>
      </c>
      <c r="Z46">
        <f>HYPERLINK("https://klasma.github.io/Logging_0512/klagomålsmail/S 1389-2025 FSC-klagomål mail.docx", "S 1389-2025")</f>
        <v/>
      </c>
      <c r="AA46">
        <f>HYPERLINK("https://klasma.github.io/Logging_0512/tillsyn/S 1389-2025 tillsynsbegäran.docx", "S 1389-2025")</f>
        <v/>
      </c>
      <c r="AB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46217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Spillkråka</t>
        </is>
      </c>
      <c r="V47">
        <f>HYPERLINK("https://klasma.github.io/Logging_0512/artfynd/S 490-2026 artfynd.xlsx", "S 490-2026")</f>
        <v/>
      </c>
      <c r="W47">
        <f>HYPERLINK("https://klasma.github.io/Logging_0512/kartor/S 490-2026 karta.png", "S 490-2026")</f>
        <v/>
      </c>
      <c r="Y47">
        <f>HYPERLINK("https://klasma.github.io/Logging_0512/klagomål/S 490-2026 FSC-klagomål.docx", "S 490-2026")</f>
        <v/>
      </c>
      <c r="Z47">
        <f>HYPERLINK("https://klasma.github.io/Logging_0512/klagomålsmail/S 490-2026 FSC-klagomål mail.docx", "S 490-2026")</f>
        <v/>
      </c>
      <c r="AA47">
        <f>HYPERLINK("https://klasma.github.io/Logging_0512/tillsyn/S 490-2026 tillsynsbegäran.docx", "S 490-2026")</f>
        <v/>
      </c>
      <c r="AB47">
        <f>HYPERLINK("https://klasma.github.io/Logging_0512/tillsynsmail/S 490-2026 tillsynsbegäran mail.docx", "S 490-2026")</f>
        <v/>
      </c>
      <c r="AC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46217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46217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46217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46217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46217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46217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46217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46217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46217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46217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46217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46217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46217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18608-2022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44687</v>
      </c>
      <c r="E61" s="1" t="n">
        <v>46217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46217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46217</v>
      </c>
      <c r="F63" t="inlineStr">
        <is>
          <t>ÖSTERGÖTLANDS LÄN</t>
        </is>
      </c>
      <c r="G63" t="inlineStr">
        <is>
          <t>YDRE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38662-2021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44410</v>
      </c>
      <c r="E64" s="1" t="n">
        <v>46217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46217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46217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46217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53360-2021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44468</v>
      </c>
      <c r="E68" s="1" t="n">
        <v>46217</v>
      </c>
      <c r="F68" t="inlineStr">
        <is>
          <t>ÖSTERGÖTLANDS LÄN</t>
        </is>
      </c>
      <c r="G68" t="inlineStr">
        <is>
          <t>YDRE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33687-2022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44789</v>
      </c>
      <c r="E69" s="1" t="n">
        <v>46217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47456-2021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46217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46217</v>
      </c>
      <c r="F71" t="inlineStr">
        <is>
          <t>ÖSTERGÖTLANDS LÄN</t>
        </is>
      </c>
      <c r="G71" t="inlineStr">
        <is>
          <t>YDRE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46217</v>
      </c>
      <c r="F72" t="inlineStr">
        <is>
          <t>ÖSTERGÖTLANDS LÄN</t>
        </is>
      </c>
      <c r="G72" t="inlineStr">
        <is>
          <t>YDRE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65794-2021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46217</v>
      </c>
      <c r="F73" t="inlineStr">
        <is>
          <t>ÖSTERGÖTLANDS LÄN</t>
        </is>
      </c>
      <c r="G73" t="inlineStr">
        <is>
          <t>YDRE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39085-2022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46217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57282-2021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46217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42099-2021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46217</v>
      </c>
      <c r="F76" t="inlineStr">
        <is>
          <t>ÖSTERGÖTLANDS LÄN</t>
        </is>
      </c>
      <c r="G76" t="inlineStr">
        <is>
          <t>YDRE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40200-2021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46217</v>
      </c>
      <c r="F77" t="inlineStr">
        <is>
          <t>ÖSTERGÖTLANDS LÄN</t>
        </is>
      </c>
      <c r="G77" t="inlineStr">
        <is>
          <t>YDRE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46217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46217</v>
      </c>
      <c r="F79" t="inlineStr">
        <is>
          <t>ÖSTERGÖTLANDS LÄN</t>
        </is>
      </c>
      <c r="G79" t="inlineStr">
        <is>
          <t>YDRE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46217</v>
      </c>
      <c r="F80" t="inlineStr">
        <is>
          <t>ÖSTERGÖTLANDS LÄN</t>
        </is>
      </c>
      <c r="G80" t="inlineStr">
        <is>
          <t>YDRE</t>
        </is>
      </c>
      <c r="H80" t="inlineStr">
        <is>
          <t>Övriga Aktiebolag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39319-2021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44413</v>
      </c>
      <c r="E81" s="1" t="n">
        <v>46217</v>
      </c>
      <c r="F81" t="inlineStr">
        <is>
          <t>ÖSTERGÖTLANDS LÄN</t>
        </is>
      </c>
      <c r="G81" t="inlineStr">
        <is>
          <t>YDRE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20158-2022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46217</v>
      </c>
      <c r="F82" t="inlineStr">
        <is>
          <t>ÖSTERGÖTLANDS LÄN</t>
        </is>
      </c>
      <c r="G82" t="inlineStr">
        <is>
          <t>YDRE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13935-2022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46217</v>
      </c>
      <c r="F83" t="inlineStr">
        <is>
          <t>ÖSTERGÖTLANDS LÄN</t>
        </is>
      </c>
      <c r="G83" t="inlineStr">
        <is>
          <t>YDRE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46217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27744-2022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46217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71041-2021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46217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53909-2021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46217</v>
      </c>
      <c r="F87" t="inlineStr">
        <is>
          <t>ÖSTERGÖTLANDS LÄN</t>
        </is>
      </c>
      <c r="G87" t="inlineStr">
        <is>
          <t>YDRE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69307-2021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44531</v>
      </c>
      <c r="E88" s="1" t="n">
        <v>46217</v>
      </c>
      <c r="F88" t="inlineStr">
        <is>
          <t>ÖSTERGÖTLANDS LÄN</t>
        </is>
      </c>
      <c r="G88" t="inlineStr">
        <is>
          <t>YDRE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42103-2021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44426</v>
      </c>
      <c r="E89" s="1" t="n">
        <v>46217</v>
      </c>
      <c r="F89" t="inlineStr">
        <is>
          <t>ÖSTERGÖTLANDS LÄN</t>
        </is>
      </c>
      <c r="G89" t="inlineStr">
        <is>
          <t>YDRE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16050-2025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46217</v>
      </c>
      <c r="F90" t="inlineStr">
        <is>
          <t>ÖSTERGÖTLANDS LÄN</t>
        </is>
      </c>
      <c r="G90" t="inlineStr">
        <is>
          <t>YDRE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46217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47464-2021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46217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53534-2022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46217</v>
      </c>
      <c r="F93" t="inlineStr">
        <is>
          <t>ÖSTERGÖTLANDS LÄN</t>
        </is>
      </c>
      <c r="G93" t="inlineStr">
        <is>
          <t>YDRE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45371</v>
      </c>
      <c r="E94" s="1" t="n">
        <v>46217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17968-2024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46217</v>
      </c>
      <c r="F95" t="inlineStr">
        <is>
          <t>ÖSTERGÖTLANDS LÄN</t>
        </is>
      </c>
      <c r="G95" t="inlineStr">
        <is>
          <t>YDRE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46217</v>
      </c>
      <c r="F96" t="inlineStr">
        <is>
          <t>ÖSTERGÖTLANDS LÄN</t>
        </is>
      </c>
      <c r="G96" t="inlineStr">
        <is>
          <t>YDRE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46217</v>
      </c>
      <c r="F97" t="inlineStr">
        <is>
          <t>ÖSTERGÖTLANDS LÄN</t>
        </is>
      </c>
      <c r="G97" t="inlineStr">
        <is>
          <t>YDRE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34932-2022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44796</v>
      </c>
      <c r="E98" s="1" t="n">
        <v>46217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45194-2021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46217</v>
      </c>
      <c r="F99" t="inlineStr">
        <is>
          <t>ÖSTERGÖTLANDS LÄN</t>
        </is>
      </c>
      <c r="G99" t="inlineStr">
        <is>
          <t>YDRE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36803-2021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44392</v>
      </c>
      <c r="E100" s="1" t="n">
        <v>46217</v>
      </c>
      <c r="F100" t="inlineStr">
        <is>
          <t>ÖSTERGÖTLANDS LÄN</t>
        </is>
      </c>
      <c r="G100" t="inlineStr">
        <is>
          <t>YDRE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61589-2022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44916</v>
      </c>
      <c r="E101" s="1" t="n">
        <v>46217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46217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63248-2023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46217</v>
      </c>
      <c r="F103" t="inlineStr">
        <is>
          <t>ÖSTERGÖTLANDS LÄN</t>
        </is>
      </c>
      <c r="G103" t="inlineStr">
        <is>
          <t>YDRE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55844-2021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44476</v>
      </c>
      <c r="E104" s="1" t="n">
        <v>46217</v>
      </c>
      <c r="F104" t="inlineStr">
        <is>
          <t>ÖSTERGÖTLANDS LÄN</t>
        </is>
      </c>
      <c r="G104" t="inlineStr">
        <is>
          <t>YDRE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44844</v>
      </c>
      <c r="E105" s="1" t="n">
        <v>46217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59407-2021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46217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61690-2024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45647</v>
      </c>
      <c r="E107" s="1" t="n">
        <v>46217</v>
      </c>
      <c r="F107" t="inlineStr">
        <is>
          <t>ÖSTERGÖTLANDS LÄN</t>
        </is>
      </c>
      <c r="G107" t="inlineStr">
        <is>
          <t>YDRE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61752-2024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45649</v>
      </c>
      <c r="E108" s="1" t="n">
        <v>46217</v>
      </c>
      <c r="F108" t="inlineStr">
        <is>
          <t>ÖSTERGÖTLANDS LÄN</t>
        </is>
      </c>
      <c r="G108" t="inlineStr">
        <is>
          <t>YDRE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46217</v>
      </c>
      <c r="F109" t="inlineStr">
        <is>
          <t>ÖSTERGÖTLANDS LÄN</t>
        </is>
      </c>
      <c r="G109" t="inlineStr">
        <is>
          <t>YDRE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50979-2023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46217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40988-2024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46217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59811-2022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46217</v>
      </c>
      <c r="F112" t="inlineStr">
        <is>
          <t>ÖSTERGÖTLANDS LÄN</t>
        </is>
      </c>
      <c r="G112" t="inlineStr">
        <is>
          <t>YDRE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46217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8606-2024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46217</v>
      </c>
      <c r="F114" t="inlineStr">
        <is>
          <t>ÖSTERGÖTLANDS LÄN</t>
        </is>
      </c>
      <c r="G114" t="inlineStr">
        <is>
          <t>YDRE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46217</v>
      </c>
      <c r="F115" t="inlineStr">
        <is>
          <t>ÖSTERGÖTLANDS LÄN</t>
        </is>
      </c>
      <c r="G115" t="inlineStr">
        <is>
          <t>YDRE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32016-2024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46217</v>
      </c>
      <c r="F116" t="inlineStr">
        <is>
          <t>ÖSTERGÖTLANDS LÄN</t>
        </is>
      </c>
      <c r="G116" t="inlineStr">
        <is>
          <t>YDRE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6756-2023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44966</v>
      </c>
      <c r="E117" s="1" t="n">
        <v>46217</v>
      </c>
      <c r="F117" t="inlineStr">
        <is>
          <t>ÖSTERGÖTLANDS LÄN</t>
        </is>
      </c>
      <c r="G117" t="inlineStr">
        <is>
          <t>YDRE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28239-2023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46217</v>
      </c>
      <c r="F118" t="inlineStr">
        <is>
          <t>ÖSTERGÖTLANDS LÄN</t>
        </is>
      </c>
      <c r="G118" t="inlineStr">
        <is>
          <t>YDRE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46217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46217</v>
      </c>
      <c r="F120" t="inlineStr">
        <is>
          <t>ÖSTERGÖTLANDS LÄN</t>
        </is>
      </c>
      <c r="G120" t="inlineStr">
        <is>
          <t>YDRE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59296-2021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46217</v>
      </c>
      <c r="F121" t="inlineStr">
        <is>
          <t>ÖSTERGÖTLANDS LÄN</t>
        </is>
      </c>
      <c r="G121" t="inlineStr">
        <is>
          <t>YDRE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14101-2022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44651</v>
      </c>
      <c r="E122" s="1" t="n">
        <v>46217</v>
      </c>
      <c r="F122" t="inlineStr">
        <is>
          <t>ÖSTERGÖTLANDS LÄN</t>
        </is>
      </c>
      <c r="G122" t="inlineStr">
        <is>
          <t>YDRE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12569-2023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45000</v>
      </c>
      <c r="E123" s="1" t="n">
        <v>46217</v>
      </c>
      <c r="F123" t="inlineStr">
        <is>
          <t>ÖSTERGÖTLANDS LÄN</t>
        </is>
      </c>
      <c r="G123" t="inlineStr">
        <is>
          <t>YDRE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44994</v>
      </c>
      <c r="E124" s="1" t="n">
        <v>46217</v>
      </c>
      <c r="F124" t="inlineStr">
        <is>
          <t>ÖSTERGÖTLANDS LÄN</t>
        </is>
      </c>
      <c r="G124" t="inlineStr">
        <is>
          <t>YDRE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11567-2023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46217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11788-2023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46217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57590-2023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46217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45199-2024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46217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50328-2024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46217</v>
      </c>
      <c r="F129" t="inlineStr">
        <is>
          <t>ÖSTERGÖTLANDS LÄN</t>
        </is>
      </c>
      <c r="G129" t="inlineStr">
        <is>
          <t>YDRE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33589-2025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46217</v>
      </c>
      <c r="F130" t="inlineStr">
        <is>
          <t>ÖSTERGÖTLANDS LÄN</t>
        </is>
      </c>
      <c r="G130" t="inlineStr">
        <is>
          <t>YDRE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54549-2025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46217</v>
      </c>
      <c r="F131" t="inlineStr">
        <is>
          <t>ÖSTERGÖTLANDS LÄN</t>
        </is>
      </c>
      <c r="G131" t="inlineStr">
        <is>
          <t>YDRE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63242-2023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45273</v>
      </c>
      <c r="E132" s="1" t="n">
        <v>46217</v>
      </c>
      <c r="F132" t="inlineStr">
        <is>
          <t>ÖSTERGÖTLANDS LÄN</t>
        </is>
      </c>
      <c r="G132" t="inlineStr">
        <is>
          <t>YDRE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39237-2025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46217</v>
      </c>
      <c r="F133" t="inlineStr">
        <is>
          <t>ÖSTERGÖTLANDS LÄN</t>
        </is>
      </c>
      <c r="G133" t="inlineStr">
        <is>
          <t>YDRE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36676-2025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45871</v>
      </c>
      <c r="E134" s="1" t="n">
        <v>46217</v>
      </c>
      <c r="F134" t="inlineStr">
        <is>
          <t>ÖSTERGÖTLANDS LÄN</t>
        </is>
      </c>
      <c r="G134" t="inlineStr">
        <is>
          <t>YDRE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25473-2026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46217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30544-2025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46217</v>
      </c>
      <c r="F136" t="inlineStr">
        <is>
          <t>ÖSTERGÖTLANDS LÄN</t>
        </is>
      </c>
      <c r="G136" t="inlineStr">
        <is>
          <t>YDRE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46217</v>
      </c>
      <c r="F137" t="inlineStr">
        <is>
          <t>ÖSTERGÖTLANDS LÄN</t>
        </is>
      </c>
      <c r="G137" t="inlineStr">
        <is>
          <t>YDRE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30766-2025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46217</v>
      </c>
      <c r="F138" t="inlineStr">
        <is>
          <t>ÖSTERGÖTLANDS LÄN</t>
        </is>
      </c>
      <c r="G138" t="inlineStr">
        <is>
          <t>YDRE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23760-2025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45793</v>
      </c>
      <c r="E139" s="1" t="n">
        <v>46217</v>
      </c>
      <c r="F139" t="inlineStr">
        <is>
          <t>ÖSTERGÖTLANDS LÄN</t>
        </is>
      </c>
      <c r="G139" t="inlineStr">
        <is>
          <t>YDRE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39903-2021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44417</v>
      </c>
      <c r="E140" s="1" t="n">
        <v>46217</v>
      </c>
      <c r="F140" t="inlineStr">
        <is>
          <t>ÖSTERGÖTLANDS LÄN</t>
        </is>
      </c>
      <c r="G140" t="inlineStr">
        <is>
          <t>YDRE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39906-2021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44417</v>
      </c>
      <c r="E141" s="1" t="n">
        <v>46217</v>
      </c>
      <c r="F141" t="inlineStr">
        <is>
          <t>ÖSTERGÖTLANDS LÄN</t>
        </is>
      </c>
      <c r="G141" t="inlineStr">
        <is>
          <t>YDRE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44555-2025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46217</v>
      </c>
      <c r="F142" t="inlineStr">
        <is>
          <t>ÖSTERGÖTLANDS LÄN</t>
        </is>
      </c>
      <c r="G142" t="inlineStr">
        <is>
          <t>YDRE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41069-2025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46217</v>
      </c>
      <c r="F143" t="inlineStr">
        <is>
          <t>ÖSTERGÖTLANDS LÄN</t>
        </is>
      </c>
      <c r="G143" t="inlineStr">
        <is>
          <t>YDRE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46217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32050-2023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46217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46217</v>
      </c>
      <c r="F146" t="inlineStr">
        <is>
          <t>ÖSTERGÖTLANDS LÄN</t>
        </is>
      </c>
      <c r="G146" t="inlineStr">
        <is>
          <t>YDRE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6759-2023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46217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43100-2025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46217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12.4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30535-2025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46217</v>
      </c>
      <c r="F149" t="inlineStr">
        <is>
          <t>ÖSTERGÖTLANDS LÄN</t>
        </is>
      </c>
      <c r="G149" t="inlineStr">
        <is>
          <t>YDRE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45909</v>
      </c>
      <c r="E150" s="1" t="n">
        <v>46217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43234-2025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46217</v>
      </c>
      <c r="F151" t="inlineStr">
        <is>
          <t>ÖSTERGÖTLANDS LÄN</t>
        </is>
      </c>
      <c r="G151" t="inlineStr">
        <is>
          <t>YDRE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43231-2025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46217</v>
      </c>
      <c r="F152" t="inlineStr">
        <is>
          <t>ÖSTERGÖTLANDS LÄN</t>
        </is>
      </c>
      <c r="G152" t="inlineStr">
        <is>
          <t>YDRE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43232-2025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45910</v>
      </c>
      <c r="E153" s="1" t="n">
        <v>46217</v>
      </c>
      <c r="F153" t="inlineStr">
        <is>
          <t>ÖSTERGÖTLANDS LÄN</t>
        </is>
      </c>
      <c r="G153" t="inlineStr">
        <is>
          <t>YDRE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44498-2025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46217</v>
      </c>
      <c r="F154" t="inlineStr">
        <is>
          <t>ÖSTERGÖTLANDS LÄN</t>
        </is>
      </c>
      <c r="G154" t="inlineStr">
        <is>
          <t>YDRE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44474-2025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46217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44468-2025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46217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46217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45198-2024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46217</v>
      </c>
      <c r="F158" t="inlineStr">
        <is>
          <t>ÖSTERGÖTLANDS LÄN</t>
        </is>
      </c>
      <c r="G158" t="inlineStr">
        <is>
          <t>YDRE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27159-2023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46217</v>
      </c>
      <c r="F159" t="inlineStr">
        <is>
          <t>ÖSTERGÖTLANDS LÄN</t>
        </is>
      </c>
      <c r="G159" t="inlineStr">
        <is>
          <t>YDRE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45752-2025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46217</v>
      </c>
      <c r="F160" t="inlineStr">
        <is>
          <t>ÖSTERGÖTLANDS LÄN</t>
        </is>
      </c>
      <c r="G160" t="inlineStr">
        <is>
          <t>YDRE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46217</v>
      </c>
      <c r="F161" t="inlineStr">
        <is>
          <t>ÖSTERGÖTLANDS LÄN</t>
        </is>
      </c>
      <c r="G161" t="inlineStr">
        <is>
          <t>YDRE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46086-2025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45924</v>
      </c>
      <c r="E162" s="1" t="n">
        <v>46217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46217</v>
      </c>
      <c r="F163" t="inlineStr">
        <is>
          <t>ÖSTERGÖTLANDS LÄN</t>
        </is>
      </c>
      <c r="G163" t="inlineStr">
        <is>
          <t>YDRE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15112-2023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46217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44505-2025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45916</v>
      </c>
      <c r="E165" s="1" t="n">
        <v>46217</v>
      </c>
      <c r="F165" t="inlineStr">
        <is>
          <t>ÖSTERGÖTLANDS LÄN</t>
        </is>
      </c>
      <c r="G165" t="inlineStr">
        <is>
          <t>YDRE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58413-2024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45634</v>
      </c>
      <c r="E166" s="1" t="n">
        <v>46217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61753-2024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45649</v>
      </c>
      <c r="E167" s="1" t="n">
        <v>46217</v>
      </c>
      <c r="F167" t="inlineStr">
        <is>
          <t>ÖSTERGÖTLANDS LÄN</t>
        </is>
      </c>
      <c r="G167" t="inlineStr">
        <is>
          <t>YDRE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13529-2025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46217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46217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38928-2022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46217</v>
      </c>
      <c r="F170" t="inlineStr">
        <is>
          <t>ÖSTERGÖTLANDS LÄN</t>
        </is>
      </c>
      <c r="G170" t="inlineStr">
        <is>
          <t>YDRE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47515-2025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46217</v>
      </c>
      <c r="F171" t="inlineStr">
        <is>
          <t>ÖSTERGÖTLANDS LÄN</t>
        </is>
      </c>
      <c r="G171" t="inlineStr">
        <is>
          <t>YDRE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47514-2025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46217</v>
      </c>
      <c r="F172" t="inlineStr">
        <is>
          <t>ÖSTERGÖTLANDS LÄN</t>
        </is>
      </c>
      <c r="G172" t="inlineStr">
        <is>
          <t>YDRE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48026-2025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46217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40698-2023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46217</v>
      </c>
      <c r="F174" t="inlineStr">
        <is>
          <t>ÖSTERGÖTLANDS LÄN</t>
        </is>
      </c>
      <c r="G174" t="inlineStr">
        <is>
          <t>YDRE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46217</v>
      </c>
      <c r="F175" t="inlineStr">
        <is>
          <t>ÖSTERGÖTLANDS LÄN</t>
        </is>
      </c>
      <c r="G175" t="inlineStr">
        <is>
          <t>YDRE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44562</v>
      </c>
      <c r="E176" s="1" t="n">
        <v>46217</v>
      </c>
      <c r="F176" t="inlineStr">
        <is>
          <t>ÖSTERGÖTLANDS LÄN</t>
        </is>
      </c>
      <c r="G176" t="inlineStr">
        <is>
          <t>YDRE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26026-2023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45091</v>
      </c>
      <c r="E177" s="1" t="n">
        <v>46217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61942-2021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46217</v>
      </c>
      <c r="F178" t="inlineStr">
        <is>
          <t>ÖSTERGÖTLANDS LÄN</t>
        </is>
      </c>
      <c r="G178" t="inlineStr">
        <is>
          <t>YDRE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8088-2025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45707</v>
      </c>
      <c r="E179" s="1" t="n">
        <v>46217</v>
      </c>
      <c r="F179" t="inlineStr">
        <is>
          <t>ÖSTERGÖTLANDS LÄN</t>
        </is>
      </c>
      <c r="G179" t="inlineStr">
        <is>
          <t>YDRE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49895-2025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45940</v>
      </c>
      <c r="E180" s="1" t="n">
        <v>46217</v>
      </c>
      <c r="F180" t="inlineStr">
        <is>
          <t>ÖSTERGÖTLANDS LÄN</t>
        </is>
      </c>
      <c r="G180" t="inlineStr">
        <is>
          <t>YDRE</t>
        </is>
      </c>
      <c r="H180" t="inlineStr">
        <is>
          <t>Kyrkan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49451-2025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46217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46217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46217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49890-2025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46217</v>
      </c>
      <c r="F184" t="inlineStr">
        <is>
          <t>ÖSTERGÖTLANDS LÄN</t>
        </is>
      </c>
      <c r="G184" t="inlineStr">
        <is>
          <t>YDRE</t>
        </is>
      </c>
      <c r="H184" t="inlineStr">
        <is>
          <t>Kyrkan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56900-2022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46217</v>
      </c>
      <c r="F185" t="inlineStr">
        <is>
          <t>ÖSTERGÖTLANDS LÄN</t>
        </is>
      </c>
      <c r="G185" t="inlineStr">
        <is>
          <t>YDRE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9160-2023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46217</v>
      </c>
      <c r="F186" t="inlineStr">
        <is>
          <t>ÖSTERGÖTLANDS LÄN</t>
        </is>
      </c>
      <c r="G186" t="inlineStr">
        <is>
          <t>YDRE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50018-2025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46217</v>
      </c>
      <c r="F187" t="inlineStr">
        <is>
          <t>ÖSTERGÖTLANDS LÄN</t>
        </is>
      </c>
      <c r="G187" t="inlineStr">
        <is>
          <t>YDRE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46217</v>
      </c>
      <c r="F188" t="inlineStr">
        <is>
          <t>ÖSTERGÖTLANDS LÄN</t>
        </is>
      </c>
      <c r="G188" t="inlineStr">
        <is>
          <t>YDRE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54047-2024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45616</v>
      </c>
      <c r="E189" s="1" t="n">
        <v>46217</v>
      </c>
      <c r="F189" t="inlineStr">
        <is>
          <t>ÖSTERGÖTLANDS LÄN</t>
        </is>
      </c>
      <c r="G189" t="inlineStr">
        <is>
          <t>YDRE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52389-2025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46217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46217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59812-2022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44908</v>
      </c>
      <c r="E192" s="1" t="n">
        <v>46217</v>
      </c>
      <c r="F192" t="inlineStr">
        <is>
          <t>ÖSTERGÖTLANDS LÄN</t>
        </is>
      </c>
      <c r="G192" t="inlineStr">
        <is>
          <t>YDRE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56313-2021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44480</v>
      </c>
      <c r="E193" s="1" t="n">
        <v>46217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43335-2025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46217</v>
      </c>
      <c r="F194" t="inlineStr">
        <is>
          <t>ÖSTERGÖTLANDS LÄN</t>
        </is>
      </c>
      <c r="G194" t="inlineStr">
        <is>
          <t>YDRE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51153-2022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44868</v>
      </c>
      <c r="E195" s="1" t="n">
        <v>46217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54066-2025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46217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54059-2025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46217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54063-2025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46217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61205-2023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45264</v>
      </c>
      <c r="E199" s="1" t="n">
        <v>46217</v>
      </c>
      <c r="F199" t="inlineStr">
        <is>
          <t>ÖSTERGÖTLANDS LÄN</t>
        </is>
      </c>
      <c r="G199" t="inlineStr">
        <is>
          <t>YDRE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54544-2025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46217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54564-2025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46217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54529-2025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46217</v>
      </c>
      <c r="F202" t="inlineStr">
        <is>
          <t>ÖSTERGÖTLANDS LÄN</t>
        </is>
      </c>
      <c r="G202" t="inlineStr">
        <is>
          <t>YDRE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46217</v>
      </c>
      <c r="F203" t="inlineStr">
        <is>
          <t>ÖSTERGÖTLANDS LÄN</t>
        </is>
      </c>
      <c r="G203" t="inlineStr">
        <is>
          <t>YDRE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54516-2025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46217</v>
      </c>
      <c r="F204" t="inlineStr">
        <is>
          <t>ÖSTERGÖTLANDS LÄN</t>
        </is>
      </c>
      <c r="G204" t="inlineStr">
        <is>
          <t>YDRE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46217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46217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46217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46217</v>
      </c>
      <c r="F208" t="inlineStr">
        <is>
          <t>ÖSTERGÖTLANDS LÄN</t>
        </is>
      </c>
      <c r="G208" t="inlineStr">
        <is>
          <t>YDRE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62859-2023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46217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13866-2025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46217</v>
      </c>
      <c r="F210" t="inlineStr">
        <is>
          <t>ÖSTERGÖTLANDS LÄN</t>
        </is>
      </c>
      <c r="G210" t="inlineStr">
        <is>
          <t>YDRE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45875-2024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46217</v>
      </c>
      <c r="F211" t="inlineStr">
        <is>
          <t>ÖSTERGÖTLANDS LÄN</t>
        </is>
      </c>
      <c r="G211" t="inlineStr">
        <is>
          <t>YDRE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7051-2025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45701</v>
      </c>
      <c r="E212" s="1" t="n">
        <v>46217</v>
      </c>
      <c r="F212" t="inlineStr">
        <is>
          <t>ÖSTERGÖTLANDS LÄN</t>
        </is>
      </c>
      <c r="G212" t="inlineStr">
        <is>
          <t>YDRE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25844-2023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46217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46217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7064-2025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46217</v>
      </c>
      <c r="F215" t="inlineStr">
        <is>
          <t>ÖSTERGÖTLANDS LÄN</t>
        </is>
      </c>
      <c r="G215" t="inlineStr">
        <is>
          <t>YDRE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26603-2026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46217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21064-2026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46217</v>
      </c>
      <c r="F217" t="inlineStr">
        <is>
          <t>ÖSTERGÖTLANDS LÄN</t>
        </is>
      </c>
      <c r="G217" t="inlineStr">
        <is>
          <t>YDRE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21063-2026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46217</v>
      </c>
      <c r="F218" t="inlineStr">
        <is>
          <t>ÖSTERGÖTLANDS LÄN</t>
        </is>
      </c>
      <c r="G218" t="inlineStr">
        <is>
          <t>YDRE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21069-2026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46217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21070-2026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46146</v>
      </c>
      <c r="E220" s="1" t="n">
        <v>46217</v>
      </c>
      <c r="F220" t="inlineStr">
        <is>
          <t>ÖSTERGÖTLANDS LÄN</t>
        </is>
      </c>
      <c r="G220" t="inlineStr">
        <is>
          <t>YDRE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21117-2026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46217</v>
      </c>
      <c r="F221" t="inlineStr">
        <is>
          <t>ÖSTERGÖTLANDS LÄN</t>
        </is>
      </c>
      <c r="G221" t="inlineStr">
        <is>
          <t>YDRE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21067-2026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46146</v>
      </c>
      <c r="E222" s="1" t="n">
        <v>46217</v>
      </c>
      <c r="F222" t="inlineStr">
        <is>
          <t>ÖSTERGÖTLANDS LÄN</t>
        </is>
      </c>
      <c r="G222" t="inlineStr">
        <is>
          <t>YDRE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27700-2026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46190</v>
      </c>
      <c r="E223" s="1" t="n">
        <v>46217</v>
      </c>
      <c r="F223" t="inlineStr">
        <is>
          <t>ÖSTERGÖTLANDS LÄN</t>
        </is>
      </c>
      <c r="G223" t="inlineStr">
        <is>
          <t>YDRE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57290-2021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44483</v>
      </c>
      <c r="E224" s="1" t="n">
        <v>46217</v>
      </c>
      <c r="F224" t="inlineStr">
        <is>
          <t>ÖSTERGÖTLANDS LÄN</t>
        </is>
      </c>
      <c r="G224" t="inlineStr">
        <is>
          <t>YDRE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27874-2026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46217</v>
      </c>
      <c r="F225" t="inlineStr">
        <is>
          <t>ÖSTERGÖTLANDS LÄN</t>
        </is>
      </c>
      <c r="G225" t="inlineStr">
        <is>
          <t>YDRE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7026-2025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46217</v>
      </c>
      <c r="F226" t="inlineStr">
        <is>
          <t>ÖSTERGÖTLANDS LÄN</t>
        </is>
      </c>
      <c r="G226" t="inlineStr">
        <is>
          <t>YDRE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1176-2022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44572</v>
      </c>
      <c r="E227" s="1" t="n">
        <v>46217</v>
      </c>
      <c r="F227" t="inlineStr">
        <is>
          <t>ÖSTERGÖTLANDS LÄN</t>
        </is>
      </c>
      <c r="G227" t="inlineStr">
        <is>
          <t>YDRE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11163-2023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46217</v>
      </c>
      <c r="F228" t="inlineStr">
        <is>
          <t>ÖSTERGÖTLANDS LÄN</t>
        </is>
      </c>
      <c r="G228" t="inlineStr">
        <is>
          <t>YDRE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60138-2025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46217</v>
      </c>
      <c r="F229" t="inlineStr">
        <is>
          <t>ÖSTERGÖTLANDS LÄN</t>
        </is>
      </c>
      <c r="G229" t="inlineStr">
        <is>
          <t>YDRE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22312-2026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46154</v>
      </c>
      <c r="E230" s="1" t="n">
        <v>46217</v>
      </c>
      <c r="F230" t="inlineStr">
        <is>
          <t>ÖSTERGÖTLANDS LÄN</t>
        </is>
      </c>
      <c r="G230" t="inlineStr">
        <is>
          <t>YDRE</t>
        </is>
      </c>
      <c r="H230" t="inlineStr">
        <is>
          <t>Övriga Aktiebolag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46217</v>
      </c>
      <c r="F231" t="inlineStr">
        <is>
          <t>ÖSTERGÖTLANDS LÄN</t>
        </is>
      </c>
      <c r="G231" t="inlineStr">
        <is>
          <t>YDRE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60135-2025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46217</v>
      </c>
      <c r="F232" t="inlineStr">
        <is>
          <t>ÖSTERGÖTLANDS LÄN</t>
        </is>
      </c>
      <c r="G232" t="inlineStr">
        <is>
          <t>YDRE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60149-2025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46217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42343-2022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46217</v>
      </c>
      <c r="F234" t="inlineStr">
        <is>
          <t>ÖSTERGÖTLANDS LÄN</t>
        </is>
      </c>
      <c r="G234" t="inlineStr">
        <is>
          <t>YDRE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22175-2026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46217</v>
      </c>
      <c r="F235" t="inlineStr">
        <is>
          <t>ÖSTERGÖTLANDS LÄN</t>
        </is>
      </c>
      <c r="G235" t="inlineStr">
        <is>
          <t>YDRE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47338-2024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46217</v>
      </c>
      <c r="F236" t="inlineStr">
        <is>
          <t>ÖSTERGÖTLANDS LÄN</t>
        </is>
      </c>
      <c r="G236" t="inlineStr">
        <is>
          <t>YDRE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68983-2021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44530</v>
      </c>
      <c r="E237" s="1" t="n">
        <v>46217</v>
      </c>
      <c r="F237" t="inlineStr">
        <is>
          <t>ÖSTERGÖTLANDS LÄN</t>
        </is>
      </c>
      <c r="G237" t="inlineStr">
        <is>
          <t>YDRE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46217</v>
      </c>
      <c r="F238" t="inlineStr">
        <is>
          <t>ÖSTERGÖTLANDS LÄN</t>
        </is>
      </c>
      <c r="G238" t="inlineStr">
        <is>
          <t>YDRE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46217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62245-2025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46217</v>
      </c>
      <c r="F240" t="inlineStr">
        <is>
          <t>ÖSTERGÖTLANDS LÄN</t>
        </is>
      </c>
      <c r="G240" t="inlineStr">
        <is>
          <t>YDRE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62244-2025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46217</v>
      </c>
      <c r="F241" t="inlineStr">
        <is>
          <t>ÖSTERGÖTLANDS LÄN</t>
        </is>
      </c>
      <c r="G241" t="inlineStr">
        <is>
          <t>YDRE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46217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62448-2025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46217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14953-2024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46217</v>
      </c>
      <c r="F244" t="inlineStr">
        <is>
          <t>ÖSTERGÖTLANDS LÄN</t>
        </is>
      </c>
      <c r="G244" t="inlineStr">
        <is>
          <t>YDRE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46217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30126-2023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46217</v>
      </c>
      <c r="F246" t="inlineStr">
        <is>
          <t>ÖSTERGÖTLANDS LÄN</t>
        </is>
      </c>
      <c r="G246" t="inlineStr">
        <is>
          <t>YDRE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62441-2025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46217</v>
      </c>
      <c r="F247" t="inlineStr">
        <is>
          <t>ÖSTERGÖTLANDS LÄN</t>
        </is>
      </c>
      <c r="G247" t="inlineStr">
        <is>
          <t>YDRE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63264-2025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46217</v>
      </c>
      <c r="F248" t="inlineStr">
        <is>
          <t>ÖSTERGÖTLANDS LÄN</t>
        </is>
      </c>
      <c r="G248" t="inlineStr">
        <is>
          <t>YDRE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63232-2025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46217</v>
      </c>
      <c r="F249" t="inlineStr">
        <is>
          <t>ÖSTERGÖTLANDS LÄN</t>
        </is>
      </c>
      <c r="G249" t="inlineStr">
        <is>
          <t>YDRE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63252-2025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46217</v>
      </c>
      <c r="F250" t="inlineStr">
        <is>
          <t>ÖSTERGÖTLANDS LÄN</t>
        </is>
      </c>
      <c r="G250" t="inlineStr">
        <is>
          <t>YDRE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46217</v>
      </c>
      <c r="F251" t="inlineStr">
        <is>
          <t>ÖSTERGÖTLANDS LÄN</t>
        </is>
      </c>
      <c r="G251" t="inlineStr">
        <is>
          <t>YDRE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34181-2023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46217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63536-2025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46217</v>
      </c>
      <c r="F253" t="inlineStr">
        <is>
          <t>ÖSTERGÖTLANDS LÄN</t>
        </is>
      </c>
      <c r="G253" t="inlineStr">
        <is>
          <t>YDRE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63538-2025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46217</v>
      </c>
      <c r="F254" t="inlineStr">
        <is>
          <t>ÖSTERGÖTLANDS LÄN</t>
        </is>
      </c>
      <c r="G254" t="inlineStr">
        <is>
          <t>YDRE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63544-2025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46217</v>
      </c>
      <c r="F255" t="inlineStr">
        <is>
          <t>ÖSTERGÖTLANDS LÄN</t>
        </is>
      </c>
      <c r="G255" t="inlineStr">
        <is>
          <t>YDRE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62815-2021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44504</v>
      </c>
      <c r="E256" s="1" t="n">
        <v>46217</v>
      </c>
      <c r="F256" t="inlineStr">
        <is>
          <t>ÖSTERGÖTLANDS LÄN</t>
        </is>
      </c>
      <c r="G256" t="inlineStr">
        <is>
          <t>YDRE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37567-2023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46217</v>
      </c>
      <c r="F257" t="inlineStr">
        <is>
          <t>ÖSTERGÖTLANDS LÄN</t>
        </is>
      </c>
      <c r="G257" t="inlineStr">
        <is>
          <t>YDRE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46021</v>
      </c>
      <c r="E258" s="1" t="n">
        <v>46217</v>
      </c>
      <c r="F258" t="inlineStr">
        <is>
          <t>ÖSTERGÖTLANDS LÄN</t>
        </is>
      </c>
      <c r="G258" t="inlineStr">
        <is>
          <t>YDRE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14184-2022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44651</v>
      </c>
      <c r="E259" s="1" t="n">
        <v>46217</v>
      </c>
      <c r="F259" t="inlineStr">
        <is>
          <t>ÖSTERGÖTLANDS LÄN</t>
        </is>
      </c>
      <c r="G259" t="inlineStr">
        <is>
          <t>YDRE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62485-2021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44503</v>
      </c>
      <c r="E260" s="1" t="n">
        <v>46217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46689-2024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46217</v>
      </c>
      <c r="F261" t="inlineStr">
        <is>
          <t>ÖSTERGÖTLANDS LÄN</t>
        </is>
      </c>
      <c r="G261" t="inlineStr">
        <is>
          <t>YDRE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20540-2024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45436</v>
      </c>
      <c r="E262" s="1" t="n">
        <v>46217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7306-2022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46217</v>
      </c>
      <c r="F263" t="inlineStr">
        <is>
          <t>ÖSTERGÖTLANDS LÄN</t>
        </is>
      </c>
      <c r="G263" t="inlineStr">
        <is>
          <t>YDRE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40676-2023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45170</v>
      </c>
      <c r="E264" s="1" t="n">
        <v>46217</v>
      </c>
      <c r="F264" t="inlineStr">
        <is>
          <t>ÖSTERGÖTLANDS LÄN</t>
        </is>
      </c>
      <c r="G264" t="inlineStr">
        <is>
          <t>YDRE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46217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28915-2023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46217</v>
      </c>
      <c r="F266" t="inlineStr">
        <is>
          <t>ÖSTERGÖTLANDS LÄN</t>
        </is>
      </c>
      <c r="G266" t="inlineStr">
        <is>
          <t>YDRE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29284-2026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46217</v>
      </c>
      <c r="F267" t="inlineStr">
        <is>
          <t>ÖSTERGÖTLANDS LÄN</t>
        </is>
      </c>
      <c r="G267" t="inlineStr">
        <is>
          <t>YDRE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20050-2023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45054</v>
      </c>
      <c r="E268" s="1" t="n">
        <v>46217</v>
      </c>
      <c r="F268" t="inlineStr">
        <is>
          <t>ÖSTERGÖTLANDS LÄN</t>
        </is>
      </c>
      <c r="G268" t="inlineStr">
        <is>
          <t>YDRE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46217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29148-2026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46202</v>
      </c>
      <c r="E270" s="1" t="n">
        <v>46217</v>
      </c>
      <c r="F270" t="inlineStr">
        <is>
          <t>ÖSTERGÖTLANDS LÄN</t>
        </is>
      </c>
      <c r="G270" t="inlineStr">
        <is>
          <t>YDRE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29280-2026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46217</v>
      </c>
      <c r="F271" t="inlineStr">
        <is>
          <t>ÖSTERGÖTLANDS LÄN</t>
        </is>
      </c>
      <c r="G271" t="inlineStr">
        <is>
          <t>YDRE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46217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46217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29201-2026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46217</v>
      </c>
      <c r="F274" t="inlineStr">
        <is>
          <t>ÖSTERGÖTLANDS LÄN</t>
        </is>
      </c>
      <c r="G274" t="inlineStr">
        <is>
          <t>YDRE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29304-2026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46217</v>
      </c>
      <c r="F275" t="inlineStr">
        <is>
          <t>ÖSTERGÖTLANDS LÄN</t>
        </is>
      </c>
      <c r="G275" t="inlineStr">
        <is>
          <t>YDRE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29127-2023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46217</v>
      </c>
      <c r="F276" t="inlineStr">
        <is>
          <t>ÖSTERGÖTLANDS LÄN</t>
        </is>
      </c>
      <c r="G276" t="inlineStr">
        <is>
          <t>YDRE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45449-2023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46217</v>
      </c>
      <c r="F277" t="inlineStr">
        <is>
          <t>ÖSTERGÖTLANDS LÄN</t>
        </is>
      </c>
      <c r="G277" t="inlineStr">
        <is>
          <t>YDRE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6293-2026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46055</v>
      </c>
      <c r="E278" s="1" t="n">
        <v>46217</v>
      </c>
      <c r="F278" t="inlineStr">
        <is>
          <t>ÖSTERGÖTLANDS LÄN</t>
        </is>
      </c>
      <c r="G278" t="inlineStr">
        <is>
          <t>YDRE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7276-2026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46217</v>
      </c>
      <c r="F279" t="inlineStr">
        <is>
          <t>ÖSTERGÖTLANDS LÄN</t>
        </is>
      </c>
      <c r="G279" t="inlineStr">
        <is>
          <t>YDRE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14645-2022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44655</v>
      </c>
      <c r="E280" s="1" t="n">
        <v>46217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18432-2025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45762</v>
      </c>
      <c r="E281" s="1" t="n">
        <v>46217</v>
      </c>
      <c r="F281" t="inlineStr">
        <is>
          <t>ÖSTERGÖTLANDS LÄN</t>
        </is>
      </c>
      <c r="G281" t="inlineStr">
        <is>
          <t>YDRE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7628-2026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46217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7619-2026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46217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33680-2022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44789</v>
      </c>
      <c r="E284" s="1" t="n">
        <v>46217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7641-2026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46217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2079-2022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44576</v>
      </c>
      <c r="E286" s="1" t="n">
        <v>46217</v>
      </c>
      <c r="F286" t="inlineStr">
        <is>
          <t>ÖSTERGÖTLANDS LÄN</t>
        </is>
      </c>
      <c r="G286" t="inlineStr">
        <is>
          <t>YDRE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45758</v>
      </c>
      <c r="E287" s="1" t="n">
        <v>46217</v>
      </c>
      <c r="F287" t="inlineStr">
        <is>
          <t>ÖSTERGÖTLANDS LÄN</t>
        </is>
      </c>
      <c r="G287" t="inlineStr">
        <is>
          <t>YDRE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20158-2024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45434</v>
      </c>
      <c r="E288" s="1" t="n">
        <v>46217</v>
      </c>
      <c r="F288" t="inlineStr">
        <is>
          <t>ÖSTERGÖTLANDS LÄN</t>
        </is>
      </c>
      <c r="G288" t="inlineStr">
        <is>
          <t>YDRE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9026-2026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46217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9054-2026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46217</v>
      </c>
      <c r="F290" t="inlineStr">
        <is>
          <t>ÖSTERGÖTLANDS LÄN</t>
        </is>
      </c>
      <c r="G290" t="inlineStr">
        <is>
          <t>YDRE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8986-2026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46217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46217</v>
      </c>
      <c r="F292" t="inlineStr">
        <is>
          <t>ÖSTERGÖTLANDS LÄN</t>
        </is>
      </c>
      <c r="G292" t="inlineStr">
        <is>
          <t>YDRE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45701</v>
      </c>
      <c r="E293" s="1" t="n">
        <v>46217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10385-2026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46217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24637-2024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46217</v>
      </c>
      <c r="F295" t="inlineStr">
        <is>
          <t>ÖSTERGÖTLANDS LÄN</t>
        </is>
      </c>
      <c r="G295" t="inlineStr">
        <is>
          <t>YDRE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10288-2026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46217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10307-2026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46217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27737-2022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44743</v>
      </c>
      <c r="E298" s="1" t="n">
        <v>46217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37568-2023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46217</v>
      </c>
      <c r="F299" t="inlineStr">
        <is>
          <t>ÖSTERGÖTLANDS LÄN</t>
        </is>
      </c>
      <c r="G299" t="inlineStr">
        <is>
          <t>YDRE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28991-2022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44749</v>
      </c>
      <c r="E300" s="1" t="n">
        <v>46217</v>
      </c>
      <c r="F300" t="inlineStr">
        <is>
          <t>ÖSTERGÖTLANDS LÄN</t>
        </is>
      </c>
      <c r="G300" t="inlineStr">
        <is>
          <t>YDRE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17309-2024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45414</v>
      </c>
      <c r="E301" s="1" t="n">
        <v>46217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46217</v>
      </c>
      <c r="F302" t="inlineStr">
        <is>
          <t>ÖSTERGÖTLANDS LÄN</t>
        </is>
      </c>
      <c r="G302" t="inlineStr">
        <is>
          <t>YDRE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46217</v>
      </c>
      <c r="F303" t="inlineStr">
        <is>
          <t>ÖSTERGÖTLANDS LÄN</t>
        </is>
      </c>
      <c r="G303" t="inlineStr">
        <is>
          <t>YDRE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13689-2026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46217</v>
      </c>
      <c r="F304" t="inlineStr">
        <is>
          <t>ÖSTERGÖTLANDS LÄN</t>
        </is>
      </c>
      <c r="G304" t="inlineStr">
        <is>
          <t>YDRE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63830-2023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45278</v>
      </c>
      <c r="E305" s="1" t="n">
        <v>46217</v>
      </c>
      <c r="F305" t="inlineStr">
        <is>
          <t>ÖSTERGÖTLANDS LÄN</t>
        </is>
      </c>
      <c r="G305" t="inlineStr">
        <is>
          <t>YDRE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14143-2026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46217</v>
      </c>
      <c r="F306" t="inlineStr">
        <is>
          <t>ÖSTERGÖTLANDS LÄN</t>
        </is>
      </c>
      <c r="G306" t="inlineStr">
        <is>
          <t>YDRE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14600-2026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46217</v>
      </c>
      <c r="F307" t="inlineStr">
        <is>
          <t>ÖSTERGÖTLANDS LÄN</t>
        </is>
      </c>
      <c r="G307" t="inlineStr">
        <is>
          <t>YDRE</t>
        </is>
      </c>
      <c r="I307" t="n">
        <v>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14604-2026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46217</v>
      </c>
      <c r="F308" t="inlineStr">
        <is>
          <t>ÖSTERGÖTLANDS LÄN</t>
        </is>
      </c>
      <c r="G308" t="inlineStr">
        <is>
          <t>YDRE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21982-2022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46217</v>
      </c>
      <c r="F309" t="inlineStr">
        <is>
          <t>ÖSTERGÖTLANDS LÄN</t>
        </is>
      </c>
      <c r="G309" t="inlineStr">
        <is>
          <t>YDRE</t>
        </is>
      </c>
      <c r="H309" t="inlineStr">
        <is>
          <t>Övriga Aktiebolag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16289-2022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44670</v>
      </c>
      <c r="E310" s="1" t="n">
        <v>46217</v>
      </c>
      <c r="F310" t="inlineStr">
        <is>
          <t>ÖSTERGÖTLANDS LÄN</t>
        </is>
      </c>
      <c r="G310" t="inlineStr">
        <is>
          <t>YDRE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15638-2026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46217</v>
      </c>
      <c r="F311" t="inlineStr">
        <is>
          <t>ÖSTERGÖTLANDS LÄN</t>
        </is>
      </c>
      <c r="G311" t="inlineStr">
        <is>
          <t>YDRE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2745-2026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46038</v>
      </c>
      <c r="E312" s="1" t="n">
        <v>46217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45302</v>
      </c>
      <c r="E313" s="1" t="n">
        <v>46217</v>
      </c>
      <c r="F313" t="inlineStr">
        <is>
          <t>ÖSTERGÖTLANDS LÄN</t>
        </is>
      </c>
      <c r="G313" t="inlineStr">
        <is>
          <t>YDRE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45310</v>
      </c>
      <c r="E314" s="1" t="n">
        <v>46217</v>
      </c>
      <c r="F314" t="inlineStr">
        <is>
          <t>ÖSTERGÖTLANDS LÄN</t>
        </is>
      </c>
      <c r="G314" t="inlineStr">
        <is>
          <t>YDRE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45231</v>
      </c>
      <c r="E315" s="1" t="n">
        <v>46217</v>
      </c>
      <c r="F315" t="inlineStr">
        <is>
          <t>ÖSTERGÖTLANDS LÄN</t>
        </is>
      </c>
      <c r="G315" t="inlineStr">
        <is>
          <t>YDRE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61262-2023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46217</v>
      </c>
      <c r="F316" t="inlineStr">
        <is>
          <t>ÖSTERGÖTLANDS LÄN</t>
        </is>
      </c>
      <c r="G316" t="inlineStr">
        <is>
          <t>YDRE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61257-2023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45261</v>
      </c>
      <c r="E317" s="1" t="n">
        <v>46217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17184-2026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46116</v>
      </c>
      <c r="E318" s="1" t="n">
        <v>46217</v>
      </c>
      <c r="F318" t="inlineStr">
        <is>
          <t>ÖSTERGÖTLANDS LÄN</t>
        </is>
      </c>
      <c r="G318" t="inlineStr">
        <is>
          <t>YDRE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44939</v>
      </c>
      <c r="E319" s="1" t="n">
        <v>46217</v>
      </c>
      <c r="F319" t="inlineStr">
        <is>
          <t>ÖSTERGÖTLANDS LÄN</t>
        </is>
      </c>
      <c r="G319" t="inlineStr">
        <is>
          <t>YDRE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36616-2024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45537</v>
      </c>
      <c r="E320" s="1" t="n">
        <v>46217</v>
      </c>
      <c r="F320" t="inlineStr">
        <is>
          <t>ÖSTERGÖTLANDS LÄN</t>
        </is>
      </c>
      <c r="G320" t="inlineStr">
        <is>
          <t>YDRE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17385-2026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46217</v>
      </c>
      <c r="F321" t="inlineStr">
        <is>
          <t>ÖSTERGÖTLANDS LÄN</t>
        </is>
      </c>
      <c r="G321" t="inlineStr">
        <is>
          <t>YDRE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17384-2026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46119</v>
      </c>
      <c r="E322" s="1" t="n">
        <v>46217</v>
      </c>
      <c r="F322" t="inlineStr">
        <is>
          <t>ÖSTERGÖTLANDS LÄN</t>
        </is>
      </c>
      <c r="G322" t="inlineStr">
        <is>
          <t>YDRE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17705-2026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46217</v>
      </c>
      <c r="F323" t="inlineStr">
        <is>
          <t>ÖSTERGÖTLANDS LÄN</t>
        </is>
      </c>
      <c r="G323" t="inlineStr">
        <is>
          <t>YDRE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46217</v>
      </c>
      <c r="F324" t="inlineStr">
        <is>
          <t>ÖSTERGÖTLANDS LÄN</t>
        </is>
      </c>
      <c r="G324" t="inlineStr">
        <is>
          <t>YDRE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45447-2023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46217</v>
      </c>
      <c r="F325" t="inlineStr">
        <is>
          <t>ÖSTERGÖTLANDS LÄN</t>
        </is>
      </c>
      <c r="G325" t="inlineStr">
        <is>
          <t>YDRE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71524-2021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44538</v>
      </c>
      <c r="E326" s="1" t="n">
        <v>46217</v>
      </c>
      <c r="F326" t="inlineStr">
        <is>
          <t>ÖSTERGÖTLANDS LÄN</t>
        </is>
      </c>
      <c r="G326" t="inlineStr">
        <is>
          <t>YDRE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18151-2026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46217</v>
      </c>
      <c r="F327" t="inlineStr">
        <is>
          <t>ÖSTERGÖTLANDS LÄN</t>
        </is>
      </c>
      <c r="G327" t="inlineStr">
        <is>
          <t>YDRE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46217</v>
      </c>
      <c r="F328" t="inlineStr">
        <is>
          <t>ÖSTERGÖTLANDS LÄN</t>
        </is>
      </c>
      <c r="G328" t="inlineStr">
        <is>
          <t>YDRE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10402-2023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46217</v>
      </c>
      <c r="F329" t="inlineStr">
        <is>
          <t>ÖSTERGÖTLANDS LÄN</t>
        </is>
      </c>
      <c r="G329" t="inlineStr">
        <is>
          <t>YDRE</t>
        </is>
      </c>
      <c r="I329" t="n">
        <v>10.2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18416-2026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46217</v>
      </c>
      <c r="F330" t="inlineStr">
        <is>
          <t>ÖSTERGÖTLANDS LÄN</t>
        </is>
      </c>
      <c r="G330" t="inlineStr">
        <is>
          <t>YDRE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58414-2024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45634</v>
      </c>
      <c r="E331" s="1" t="n">
        <v>46217</v>
      </c>
      <c r="F331" t="inlineStr">
        <is>
          <t>ÖSTERGÖTLANDS LÄN</t>
        </is>
      </c>
      <c r="G331" t="inlineStr">
        <is>
          <t>YDRE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1862-2025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46217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9162-2023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46217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16205-2024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45406</v>
      </c>
      <c r="E334" s="1" t="n">
        <v>46217</v>
      </c>
      <c r="F334" t="inlineStr">
        <is>
          <t>ÖSTERGÖTLANDS LÄN</t>
        </is>
      </c>
      <c r="G334" t="inlineStr">
        <is>
          <t>YDRE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6408-2023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44965</v>
      </c>
      <c r="E335" s="1" t="n">
        <v>46217</v>
      </c>
      <c r="F335" t="inlineStr">
        <is>
          <t>ÖSTERGÖTLANDS LÄN</t>
        </is>
      </c>
      <c r="G335" t="inlineStr">
        <is>
          <t>YDRE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54602-2025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46217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24780-2026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46171</v>
      </c>
      <c r="E337" s="1" t="n">
        <v>46217</v>
      </c>
      <c r="F337" t="inlineStr">
        <is>
          <t>ÖSTERGÖTLANDS LÄN</t>
        </is>
      </c>
      <c r="G337" t="inlineStr">
        <is>
          <t>YDRE</t>
        </is>
      </c>
      <c r="H337" t="inlineStr">
        <is>
          <t>Övriga Aktiebolag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59805-2022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44908</v>
      </c>
      <c r="E338" s="1" t="n">
        <v>46217</v>
      </c>
      <c r="F338" t="inlineStr">
        <is>
          <t>ÖSTERGÖTLANDS LÄN</t>
        </is>
      </c>
      <c r="G338" t="inlineStr">
        <is>
          <t>YDRE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45456-2023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45194</v>
      </c>
      <c r="E339" s="1" t="n">
        <v>46217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46217</v>
      </c>
      <c r="F340" t="inlineStr">
        <is>
          <t>ÖSTERGÖTLANDS LÄN</t>
        </is>
      </c>
      <c r="G340" t="inlineStr">
        <is>
          <t>YDRE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60244-2023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46217</v>
      </c>
      <c r="F341" t="inlineStr">
        <is>
          <t>ÖSTERGÖTLANDS LÄN</t>
        </is>
      </c>
      <c r="G341" t="inlineStr">
        <is>
          <t>YDRE</t>
        </is>
      </c>
      <c r="I341" t="n">
        <v>17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4624-2022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44592</v>
      </c>
      <c r="E342" s="1" t="n">
        <v>46217</v>
      </c>
      <c r="F342" t="inlineStr">
        <is>
          <t>ÖSTERGÖTLANDS LÄN</t>
        </is>
      </c>
      <c r="G342" t="inlineStr">
        <is>
          <t>YDRE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4277-2023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44953</v>
      </c>
      <c r="E343" s="1" t="n">
        <v>46217</v>
      </c>
      <c r="F343" t="inlineStr">
        <is>
          <t>ÖSTERGÖTLANDS LÄN</t>
        </is>
      </c>
      <c r="G343" t="inlineStr">
        <is>
          <t>YDRE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58831-2022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44903</v>
      </c>
      <c r="E344" s="1" t="n">
        <v>46217</v>
      </c>
      <c r="F344" t="inlineStr">
        <is>
          <t>ÖSTERGÖTLANDS LÄN</t>
        </is>
      </c>
      <c r="G344" t="inlineStr">
        <is>
          <t>YDRE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44741-2021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44438</v>
      </c>
      <c r="E345" s="1" t="n">
        <v>46217</v>
      </c>
      <c r="F345" t="inlineStr">
        <is>
          <t>ÖSTERGÖTLANDS LÄN</t>
        </is>
      </c>
      <c r="G345" t="inlineStr">
        <is>
          <t>YDRE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7619-2024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45348</v>
      </c>
      <c r="E346" s="1" t="n">
        <v>46217</v>
      </c>
      <c r="F346" t="inlineStr">
        <is>
          <t>ÖSTERGÖTLANDS LÄN</t>
        </is>
      </c>
      <c r="G346" t="inlineStr">
        <is>
          <t>YDRE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44600</v>
      </c>
      <c r="E347" s="1" t="n">
        <v>46217</v>
      </c>
      <c r="F347" t="inlineStr">
        <is>
          <t>ÖSTERGÖTLANDS LÄN</t>
        </is>
      </c>
      <c r="G347" t="inlineStr">
        <is>
          <t>YDRE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46217</v>
      </c>
      <c r="F348" t="inlineStr">
        <is>
          <t>ÖSTERGÖTLANDS LÄN</t>
        </is>
      </c>
      <c r="G348" t="inlineStr">
        <is>
          <t>YDRE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42781-2021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44428</v>
      </c>
      <c r="E349" s="1" t="n">
        <v>46217</v>
      </c>
      <c r="F349" t="inlineStr">
        <is>
          <t>ÖSTERGÖTLANDS LÄN</t>
        </is>
      </c>
      <c r="G349" t="inlineStr">
        <is>
          <t>YDRE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56323-2021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44480</v>
      </c>
      <c r="E350" s="1" t="n">
        <v>46217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  <c r="X350">
        <f>HYPERLINK("https://klasma.github.io/Logging_0512/knärot/A 56323-2021 karta knärot.png", "A 56323-2021")</f>
        <v/>
      </c>
      <c r="Y350">
        <f>HYPERLINK("https://klasma.github.io/Logging_0512/klagomål/A 56323-2021 FSC-klagomål.docx", "A 56323-2021")</f>
        <v/>
      </c>
      <c r="Z350">
        <f>HYPERLINK("https://klasma.github.io/Logging_0512/klagomålsmail/A 56323-2021 FSC-klagomål mail.docx", "A 56323-2021")</f>
        <v/>
      </c>
      <c r="AA350">
        <f>HYPERLINK("https://klasma.github.io/Logging_0512/tillsyn/A 56323-2021 tillsynsbegäran.docx", "A 56323-2021")</f>
        <v/>
      </c>
      <c r="AB350">
        <f>HYPERLINK("https://klasma.github.io/Logging_0512/tillsynsmail/A 56323-2021 tillsynsbegäran mail.docx", "A 56323-2021")</f>
        <v/>
      </c>
    </row>
    <row r="351" ht="15" customHeight="1">
      <c r="A351" t="inlineStr">
        <is>
          <t>A 61636-2021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44501</v>
      </c>
      <c r="E351" s="1" t="n">
        <v>46217</v>
      </c>
      <c r="F351" t="inlineStr">
        <is>
          <t>ÖSTERGÖTLANDS LÄN</t>
        </is>
      </c>
      <c r="G351" t="inlineStr">
        <is>
          <t>YDRE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70448-2021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46217</v>
      </c>
      <c r="F352" t="inlineStr">
        <is>
          <t>ÖSTERGÖTLANDS LÄN</t>
        </is>
      </c>
      <c r="G352" t="inlineStr">
        <is>
          <t>YDRE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27164-2023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46217</v>
      </c>
      <c r="F353" t="inlineStr">
        <is>
          <t>ÖSTERGÖTLANDS LÄN</t>
        </is>
      </c>
      <c r="G353" t="inlineStr">
        <is>
          <t>YDRE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46217</v>
      </c>
      <c r="F354" t="inlineStr">
        <is>
          <t>ÖSTERGÖTLANDS LÄN</t>
        </is>
      </c>
      <c r="G354" t="inlineStr">
        <is>
          <t>YDRE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9159-2023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46217</v>
      </c>
      <c r="F355" t="inlineStr">
        <is>
          <t>ÖSTERGÖTLANDS LÄN</t>
        </is>
      </c>
      <c r="G355" t="inlineStr">
        <is>
          <t>YDRE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35209-2023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46217</v>
      </c>
      <c r="F356" t="inlineStr">
        <is>
          <t>ÖSTERGÖTLANDS LÄN</t>
        </is>
      </c>
      <c r="G356" t="inlineStr">
        <is>
          <t>YDRE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24529-2023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46217</v>
      </c>
      <c r="F357" t="inlineStr">
        <is>
          <t>ÖSTERGÖTLANDS LÄN</t>
        </is>
      </c>
      <c r="G357" t="inlineStr">
        <is>
          <t>YDRE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45665</v>
      </c>
      <c r="E358" s="1" t="n">
        <v>46217</v>
      </c>
      <c r="F358" t="inlineStr">
        <is>
          <t>ÖSTERGÖTLANDS LÄN</t>
        </is>
      </c>
      <c r="G358" t="inlineStr">
        <is>
          <t>YDRE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10424-2024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45365</v>
      </c>
      <c r="E359" s="1" t="n">
        <v>46217</v>
      </c>
      <c r="F359" t="inlineStr">
        <is>
          <t>ÖSTERGÖTLANDS LÄN</t>
        </is>
      </c>
      <c r="G359" t="inlineStr">
        <is>
          <t>YDRE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48742-2023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46217</v>
      </c>
      <c r="F360" t="inlineStr">
        <is>
          <t>ÖSTERGÖTLANDS LÄN</t>
        </is>
      </c>
      <c r="G360" t="inlineStr">
        <is>
          <t>YDRE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49441-2024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45595</v>
      </c>
      <c r="E361" s="1" t="n">
        <v>46217</v>
      </c>
      <c r="F361" t="inlineStr">
        <is>
          <t>ÖSTERGÖTLANDS LÄN</t>
        </is>
      </c>
      <c r="G361" t="inlineStr">
        <is>
          <t>YDRE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45698</v>
      </c>
      <c r="E362" s="1" t="n">
        <v>46217</v>
      </c>
      <c r="F362" t="inlineStr">
        <is>
          <t>ÖSTERGÖTLANDS LÄN</t>
        </is>
      </c>
      <c r="G362" t="inlineStr">
        <is>
          <t>YDRE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8616-2024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46217</v>
      </c>
      <c r="F363" t="inlineStr">
        <is>
          <t>ÖSTERGÖTLANDS LÄN</t>
        </is>
      </c>
      <c r="G363" t="inlineStr">
        <is>
          <t>YDRE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56606-2021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44480</v>
      </c>
      <c r="E364" s="1" t="n">
        <v>46217</v>
      </c>
      <c r="F364" t="inlineStr">
        <is>
          <t>ÖSTERGÖTLANDS LÄN</t>
        </is>
      </c>
      <c r="G364" t="inlineStr">
        <is>
          <t>YDRE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45664</v>
      </c>
      <c r="E365" s="1" t="n">
        <v>46217</v>
      </c>
      <c r="F365" t="inlineStr">
        <is>
          <t>ÖSTERGÖTLANDS LÄN</t>
        </is>
      </c>
      <c r="G365" t="inlineStr">
        <is>
          <t>YDRE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49698-2024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45596</v>
      </c>
      <c r="E366" s="1" t="n">
        <v>46217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24983-2023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45085</v>
      </c>
      <c r="E367" s="1" t="n">
        <v>46217</v>
      </c>
      <c r="F367" t="inlineStr">
        <is>
          <t>ÖSTERGÖTLANDS LÄN</t>
        </is>
      </c>
      <c r="G367" t="inlineStr">
        <is>
          <t>YDRE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24693-2024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45460</v>
      </c>
      <c r="E368" s="1" t="n">
        <v>46217</v>
      </c>
      <c r="F368" t="inlineStr">
        <is>
          <t>ÖSTERGÖTLANDS LÄN</t>
        </is>
      </c>
      <c r="G368" t="inlineStr">
        <is>
          <t>YDRE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17296-2024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46217</v>
      </c>
      <c r="F369" t="inlineStr">
        <is>
          <t>ÖSTERGÖTLANDS LÄN</t>
        </is>
      </c>
      <c r="G369" t="inlineStr">
        <is>
          <t>YDRE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1033-2025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45666</v>
      </c>
      <c r="E370" s="1" t="n">
        <v>46217</v>
      </c>
      <c r="F370" t="inlineStr">
        <is>
          <t>ÖSTERGÖTLANDS LÄN</t>
        </is>
      </c>
      <c r="G370" t="inlineStr">
        <is>
          <t>YDRE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11790-2023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46217</v>
      </c>
      <c r="F371" t="inlineStr">
        <is>
          <t>ÖSTERGÖTLANDS LÄN</t>
        </is>
      </c>
      <c r="G371" t="inlineStr">
        <is>
          <t>YDRE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11902-2022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44635</v>
      </c>
      <c r="E372" s="1" t="n">
        <v>46217</v>
      </c>
      <c r="F372" t="inlineStr">
        <is>
          <t>ÖSTERGÖTLANDS LÄN</t>
        </is>
      </c>
      <c r="G372" t="inlineStr">
        <is>
          <t>YDRE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46217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30108-2023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46217</v>
      </c>
      <c r="F374" t="inlineStr">
        <is>
          <t>ÖSTERGÖTLANDS LÄN</t>
        </is>
      </c>
      <c r="G374" t="inlineStr">
        <is>
          <t>YDRE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50977-2023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45218</v>
      </c>
      <c r="E375" s="1" t="n">
        <v>46217</v>
      </c>
      <c r="F375" t="inlineStr">
        <is>
          <t>ÖSTERGÖTLANDS LÄN</t>
        </is>
      </c>
      <c r="G375" t="inlineStr">
        <is>
          <t>YDRE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54942-2023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45236</v>
      </c>
      <c r="E376" s="1" t="n">
        <v>46217</v>
      </c>
      <c r="F376" t="inlineStr">
        <is>
          <t>ÖSTERGÖTLANDS LÄN</t>
        </is>
      </c>
      <c r="G376" t="inlineStr">
        <is>
          <t>YDRE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9158-2025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45714</v>
      </c>
      <c r="E377" s="1" t="n">
        <v>46217</v>
      </c>
      <c r="F377" t="inlineStr">
        <is>
          <t>ÖSTERGÖTLANDS LÄN</t>
        </is>
      </c>
      <c r="G377" t="inlineStr">
        <is>
          <t>YDRE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49967-2024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45597</v>
      </c>
      <c r="E378" s="1" t="n">
        <v>46217</v>
      </c>
      <c r="F378" t="inlineStr">
        <is>
          <t>ÖSTERGÖTLANDS LÄN</t>
        </is>
      </c>
      <c r="G378" t="inlineStr">
        <is>
          <t>YDRE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20048-2023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46217</v>
      </c>
      <c r="F379" t="inlineStr">
        <is>
          <t>ÖSTERGÖTLANDS LÄN</t>
        </is>
      </c>
      <c r="G379" t="inlineStr">
        <is>
          <t>YDRE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17181-2025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45755</v>
      </c>
      <c r="E380" s="1" t="n">
        <v>46217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40692-2023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46217</v>
      </c>
      <c r="F381" t="inlineStr">
        <is>
          <t>ÖSTERGÖTLANDS LÄN</t>
        </is>
      </c>
      <c r="G381" t="inlineStr">
        <is>
          <t>YDRE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46217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8073-2025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46217</v>
      </c>
      <c r="F383" t="inlineStr">
        <is>
          <t>ÖSTERGÖTLANDS LÄN</t>
        </is>
      </c>
      <c r="G383" t="inlineStr">
        <is>
          <t>YDRE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19769-2024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45432</v>
      </c>
      <c r="E384" s="1" t="n">
        <v>46217</v>
      </c>
      <c r="F384" t="inlineStr">
        <is>
          <t>ÖSTERGÖTLANDS LÄN</t>
        </is>
      </c>
      <c r="G384" t="inlineStr">
        <is>
          <t>YDRE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59589-2024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45638</v>
      </c>
      <c r="E385" s="1" t="n">
        <v>46217</v>
      </c>
      <c r="F385" t="inlineStr">
        <is>
          <t>ÖSTERGÖTLANDS LÄN</t>
        </is>
      </c>
      <c r="G385" t="inlineStr">
        <is>
          <t>YDRE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17277-2024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46217</v>
      </c>
      <c r="F386" t="inlineStr">
        <is>
          <t>ÖSTERGÖTLANDS LÄN</t>
        </is>
      </c>
      <c r="G386" t="inlineStr">
        <is>
          <t>YDRE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17301-2024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46217</v>
      </c>
      <c r="F387" t="inlineStr">
        <is>
          <t>ÖSTERGÖTLANDS LÄN</t>
        </is>
      </c>
      <c r="G387" t="inlineStr">
        <is>
          <t>YDRE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30049-2023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46217</v>
      </c>
      <c r="F388" t="inlineStr">
        <is>
          <t>ÖSTERGÖTLANDS LÄN</t>
        </is>
      </c>
      <c r="G388" t="inlineStr">
        <is>
          <t>YDRE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26101-2024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46217</v>
      </c>
      <c r="F389" t="inlineStr">
        <is>
          <t>ÖSTERGÖTLANDS LÄN</t>
        </is>
      </c>
      <c r="G389" t="inlineStr">
        <is>
          <t>YDRE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30554-2024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45492</v>
      </c>
      <c r="E390" s="1" t="n">
        <v>46217</v>
      </c>
      <c r="F390" t="inlineStr">
        <is>
          <t>ÖSTERGÖTLANDS LÄN</t>
        </is>
      </c>
      <c r="G390" t="inlineStr">
        <is>
          <t>YDRE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46217</v>
      </c>
      <c r="F391" t="inlineStr">
        <is>
          <t>ÖSTERGÖTLANDS LÄN</t>
        </is>
      </c>
      <c r="G391" t="inlineStr">
        <is>
          <t>YDRE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27905-2024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45475</v>
      </c>
      <c r="E392" s="1" t="n">
        <v>46217</v>
      </c>
      <c r="F392" t="inlineStr">
        <is>
          <t>ÖSTERGÖTLANDS LÄN</t>
        </is>
      </c>
      <c r="G392" t="inlineStr">
        <is>
          <t>YDRE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9180-2025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46217</v>
      </c>
      <c r="F393" t="inlineStr">
        <is>
          <t>ÖSTERGÖTLANDS LÄN</t>
        </is>
      </c>
      <c r="G393" t="inlineStr">
        <is>
          <t>YDRE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38045-2024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45544</v>
      </c>
      <c r="E394" s="1" t="n">
        <v>46217</v>
      </c>
      <c r="F394" t="inlineStr">
        <is>
          <t>ÖSTERGÖTLANDS LÄN</t>
        </is>
      </c>
      <c r="G394" t="inlineStr">
        <is>
          <t>YDRE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9997-2025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46217</v>
      </c>
      <c r="F395" t="inlineStr">
        <is>
          <t>ÖSTERGÖTLANDS LÄN</t>
        </is>
      </c>
      <c r="G395" t="inlineStr">
        <is>
          <t>YDRE</t>
        </is>
      </c>
      <c r="H395" t="inlineStr">
        <is>
          <t>Övriga Aktiebolag</t>
        </is>
      </c>
      <c r="I395" t="n">
        <v>18.2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46217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24137-2025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46217</v>
      </c>
      <c r="F397" t="inlineStr">
        <is>
          <t>ÖSTERGÖTLANDS LÄN</t>
        </is>
      </c>
      <c r="G397" t="inlineStr">
        <is>
          <t>YDRE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24140-2025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46217</v>
      </c>
      <c r="F398" t="inlineStr">
        <is>
          <t>ÖSTERGÖTLANDS LÄN</t>
        </is>
      </c>
      <c r="G398" t="inlineStr">
        <is>
          <t>YDRE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11493-2025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45726</v>
      </c>
      <c r="E399" s="1" t="n">
        <v>46217</v>
      </c>
      <c r="F399" t="inlineStr">
        <is>
          <t>ÖSTERGÖTLANDS LÄN</t>
        </is>
      </c>
      <c r="G399" t="inlineStr">
        <is>
          <t>YDRE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55867-2023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45239</v>
      </c>
      <c r="E400" s="1" t="n">
        <v>46217</v>
      </c>
      <c r="F400" t="inlineStr">
        <is>
          <t>ÖSTERGÖTLANDS LÄN</t>
        </is>
      </c>
      <c r="G400" t="inlineStr">
        <is>
          <t>YDRE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28959-2025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45821</v>
      </c>
      <c r="E401" s="1" t="n">
        <v>46217</v>
      </c>
      <c r="F401" t="inlineStr">
        <is>
          <t>ÖSTERGÖTLANDS LÄN</t>
        </is>
      </c>
      <c r="G401" t="inlineStr">
        <is>
          <t>YDRE</t>
        </is>
      </c>
      <c r="H401" t="inlineStr">
        <is>
          <t>Kyrkan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30721-2025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46217</v>
      </c>
      <c r="F402" t="inlineStr">
        <is>
          <t>ÖSTERGÖTLANDS LÄN</t>
        </is>
      </c>
      <c r="G402" t="inlineStr">
        <is>
          <t>YDRE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30557-2025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46217</v>
      </c>
      <c r="F403" t="inlineStr">
        <is>
          <t>ÖSTERGÖTLANDS LÄN</t>
        </is>
      </c>
      <c r="G403" t="inlineStr">
        <is>
          <t>YDRE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30726-2025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46217</v>
      </c>
      <c r="F404" t="inlineStr">
        <is>
          <t>ÖSTERGÖTLANDS LÄN</t>
        </is>
      </c>
      <c r="G404" t="inlineStr">
        <is>
          <t>YDRE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30752-2025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46217</v>
      </c>
      <c r="F405" t="inlineStr">
        <is>
          <t>ÖSTERGÖTLANDS LÄN</t>
        </is>
      </c>
      <c r="G405" t="inlineStr">
        <is>
          <t>YDRE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30531-2025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46217</v>
      </c>
      <c r="F406" t="inlineStr">
        <is>
          <t>ÖSTERGÖTLANDS LÄN</t>
        </is>
      </c>
      <c r="G406" t="inlineStr">
        <is>
          <t>YDRE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30559-2025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46217</v>
      </c>
      <c r="F407" t="inlineStr">
        <is>
          <t>ÖSTERGÖTLANDS LÄN</t>
        </is>
      </c>
      <c r="G407" t="inlineStr">
        <is>
          <t>YDRE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30548-2025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46217</v>
      </c>
      <c r="F408" t="inlineStr">
        <is>
          <t>ÖSTERGÖTLANDS LÄN</t>
        </is>
      </c>
      <c r="G408" t="inlineStr">
        <is>
          <t>YDRE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30759-2025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46217</v>
      </c>
      <c r="F409" t="inlineStr">
        <is>
          <t>ÖSTERGÖTLANDS LÄN</t>
        </is>
      </c>
      <c r="G409" t="inlineStr">
        <is>
          <t>YDRE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30551-2025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46217</v>
      </c>
      <c r="F410" t="inlineStr">
        <is>
          <t>ÖSTERGÖTLANDS LÄN</t>
        </is>
      </c>
      <c r="G410" t="inlineStr">
        <is>
          <t>YDRE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32635-2025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45838</v>
      </c>
      <c r="E411" s="1" t="n">
        <v>46217</v>
      </c>
      <c r="F411" t="inlineStr">
        <is>
          <t>ÖSTERGÖTLANDS LÄN</t>
        </is>
      </c>
      <c r="G411" t="inlineStr">
        <is>
          <t>YDRE</t>
        </is>
      </c>
      <c r="H411" t="inlineStr">
        <is>
          <t>Övriga Aktiebolag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22961-2025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45790</v>
      </c>
      <c r="E412" s="1" t="n">
        <v>46217</v>
      </c>
      <c r="F412" t="inlineStr">
        <is>
          <t>ÖSTERGÖTLANDS LÄN</t>
        </is>
      </c>
      <c r="G412" t="inlineStr">
        <is>
          <t>YDRE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46217</v>
      </c>
      <c r="F413" t="inlineStr">
        <is>
          <t>ÖSTERGÖTLANDS LÄN</t>
        </is>
      </c>
      <c r="G413" t="inlineStr">
        <is>
          <t>YDRE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19397-2025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46217</v>
      </c>
      <c r="F414" t="inlineStr">
        <is>
          <t>ÖSTERGÖTLANDS LÄN</t>
        </is>
      </c>
      <c r="G414" t="inlineStr">
        <is>
          <t>YDRE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416-2022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44585</v>
      </c>
      <c r="E415" s="1" t="n">
        <v>46217</v>
      </c>
      <c r="F415" t="inlineStr">
        <is>
          <t>ÖSTERGÖTLANDS LÄN</t>
        </is>
      </c>
      <c r="G415" t="inlineStr">
        <is>
          <t>YDRE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5385-2021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44431</v>
      </c>
      <c r="E416" s="1" t="n">
        <v>46217</v>
      </c>
      <c r="F416" t="inlineStr">
        <is>
          <t>ÖSTERGÖTLANDS LÄN</t>
        </is>
      </c>
      <c r="G416" t="inlineStr">
        <is>
          <t>YDRE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2053-2025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45839</v>
      </c>
      <c r="E417" s="1" t="n">
        <v>46217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2314-2025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45883</v>
      </c>
      <c r="E418" s="1" t="n">
        <v>46217</v>
      </c>
      <c r="F418" t="inlineStr">
        <is>
          <t>ÖSTERGÖTLANDS LÄN</t>
        </is>
      </c>
      <c r="G418" t="inlineStr">
        <is>
          <t>YDRE</t>
        </is>
      </c>
      <c r="H418" t="inlineStr">
        <is>
          <t>Övriga Aktiebolag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S 2604-2025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45916</v>
      </c>
      <c r="E419" s="1" t="n">
        <v>46217</v>
      </c>
      <c r="F419" t="inlineStr">
        <is>
          <t>ÖSTERGÖTLANDS LÄN</t>
        </is>
      </c>
      <c r="G419" t="inlineStr">
        <is>
          <t>YDRE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S 3063-2025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45964</v>
      </c>
      <c r="E420" s="1" t="n">
        <v>46217</v>
      </c>
      <c r="F420" t="inlineStr">
        <is>
          <t>ÖSTERGÖTLANDS LÄN</t>
        </is>
      </c>
      <c r="G420" t="inlineStr">
        <is>
          <t>YDRE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>
      <c r="A421" t="inlineStr">
        <is>
          <t>S 384-2026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46066</v>
      </c>
      <c r="E421" s="1" t="n">
        <v>46217</v>
      </c>
      <c r="F421" t="inlineStr">
        <is>
          <t>ÖSTERGÖTLANDS LÄN</t>
        </is>
      </c>
      <c r="G421" t="inlineStr">
        <is>
          <t>YDRE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2026-07-14T08:59:05Z</dcterms:created>
  <dcterms:modified xmlns:dcterms="http://purl.org/dc/terms/" xmlns:xsi="http://www.w3.org/2001/XMLSchema-instance" xsi:type="dcterms:W3CDTF">2026-07-14T08:59:06Z</dcterms:modified>
</cp:coreProperties>
</file>