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45735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45735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45735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45735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45735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45735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45735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45735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45735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45735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45735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45735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45735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45735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45735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45735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45735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45735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45735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45735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45735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45735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45735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45735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45735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45735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45735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45735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45735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45735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HYPERLINK("https://klasma.github.io/Logging_0512/artfynd/A 11716-2025 artfynd.xlsx", "A 11716-2025")</f>
        <v/>
      </c>
      <c r="T31">
        <f>HYPERLINK("https://klasma.github.io/Logging_0512/kartor/A 11716-2025 karta.png", "A 11716-2025")</f>
        <v/>
      </c>
      <c r="V31">
        <f>HYPERLINK("https://klasma.github.io/Logging_0512/klagomål/A 11716-2025 FSC-klagomål.docx", "A 11716-2025")</f>
        <v/>
      </c>
      <c r="W31">
        <f>HYPERLINK("https://klasma.github.io/Logging_0512/klagomålsmail/A 11716-2025 FSC-klagomål mail.docx", "A 11716-2025")</f>
        <v/>
      </c>
      <c r="X31">
        <f>HYPERLINK("https://klasma.github.io/Logging_0512/tillsyn/A 11716-2025 tillsynsbegäran.docx", "A 11716-2025")</f>
        <v/>
      </c>
      <c r="Y31">
        <f>HYPERLINK("https://klasma.github.io/Logging_0512/tillsynsmail/A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45735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HYPERLINK("https://klasma.github.io/Logging_0512/artfynd/A 12185-2025 artfynd.xlsx", "A 12185-2025")</f>
        <v/>
      </c>
      <c r="T32">
        <f>HYPERLINK("https://klasma.github.io/Logging_0512/kartor/A 12185-2025 karta.png", "A 12185-2025")</f>
        <v/>
      </c>
      <c r="V32">
        <f>HYPERLINK("https://klasma.github.io/Logging_0512/klagomål/A 12185-2025 FSC-klagomål.docx", "A 12185-2025")</f>
        <v/>
      </c>
      <c r="W32">
        <f>HYPERLINK("https://klasma.github.io/Logging_0512/klagomålsmail/A 12185-2025 FSC-klagomål mail.docx", "A 12185-2025")</f>
        <v/>
      </c>
      <c r="X32">
        <f>HYPERLINK("https://klasma.github.io/Logging_0512/tillsyn/A 12185-2025 tillsynsbegäran.docx", "A 12185-2025")</f>
        <v/>
      </c>
      <c r="Y32">
        <f>HYPERLINK("https://klasma.github.io/Logging_0512/tillsynsmail/A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45735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45735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45735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45735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45735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45735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45735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45735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45735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45735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45735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45735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45735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45735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45735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45735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45735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45735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45735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45735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45735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45735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45735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45735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45735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45735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45735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45735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45735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45735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45735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45735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45735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45735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45735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45735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45735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45735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45735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45735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45735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45735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45735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45735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45735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45735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45735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45735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45735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45735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45735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45735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45735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45735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45735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45735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45735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45735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45735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45735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45735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45735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45735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45735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45735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45735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45735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45735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45735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45735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45735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45735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45735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45735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45735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45735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45735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45735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45735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45735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45735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45735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45735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45735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45735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45735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45735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45735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45735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45735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45735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45735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45735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45735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45735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45735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45735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45735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45735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45735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45735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45735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45735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45735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45735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45735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45735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45735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45735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45735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45735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45735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45735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45735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45735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45735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45735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45735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45735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45735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45735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45735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45735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45735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45735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45735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45735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45735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45735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45735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45735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45735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45735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45735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45735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45735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45735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45735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45735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45735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45735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45735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45735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45735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45735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45735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45735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45735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45735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45735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45735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45735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45735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45735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45735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45735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45735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45735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45735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45735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45735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45735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45735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45735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45735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45735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45735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45735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45735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45735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45735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45735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45735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45735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45735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45735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45735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45735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45735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45735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45735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45735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45735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45735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45735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45735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45735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45735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45735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45735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45735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45735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45735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45735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45735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45735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45735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45735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45735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45735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45735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45735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45735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45735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45735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45735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45735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45735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45735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45735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45735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45735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45735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45735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45735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45735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45735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45735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45735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45735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45735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45735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45735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45735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45735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45735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45735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45735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45735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45735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45735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45735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45735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45735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45735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45735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45735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45735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45735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45735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45735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45735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45735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45735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45735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45735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45735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45735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45735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45735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45735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45735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45735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45735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45735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45735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45735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45735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45735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45735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45735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45735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45735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45735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45735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45735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45735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45735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45735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45735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45735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45735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45735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45735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45735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45735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45735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45735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45735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45735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45735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45735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45735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45735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45735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45735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45735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45735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45735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45735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45735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45735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45735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45735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45735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45735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45735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45735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45735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45735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45735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45735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45735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45735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45735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45735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45735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45735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45735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45735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45735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45735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45735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45735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45735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45735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45735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45735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45735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45735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45735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45735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45735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45735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45735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45735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45735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45735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45735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45735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45735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45735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45735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45735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45735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45735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45735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45735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45735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45735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45735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45735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45735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45735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45735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45735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45735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45735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45735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45735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45735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45735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45735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45735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45735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45735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45735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45735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45735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45735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45735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45735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45735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45735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45735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45735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45735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45735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45735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45735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45735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45735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45735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45735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45735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45735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45735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45735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45735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45735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45735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45735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45735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45735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45735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45735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45735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45735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45735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45735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45735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45735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45735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45735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45735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45735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45735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45735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45735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45735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45735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45735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45735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45735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45735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45735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45735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45735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45735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45735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45735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45735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45735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45735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45735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45735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45735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45735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45735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45735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45735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45735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45735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45735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45735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45735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45735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45735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45735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45735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45735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45735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45735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45735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45735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45735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45735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45735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45735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45735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45735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45735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45735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45735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45735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45735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45735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45735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45735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45735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45735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45735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45735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45735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45735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45735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45735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45735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45735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45735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45735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45735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45735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45735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45735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45735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45735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45735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45735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45735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45735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45735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45735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45735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45735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45735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45735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45735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45735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45735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45735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45735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45735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45735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45735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45735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45735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45735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45735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45735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45735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45735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45735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45735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45735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45735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45735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45735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45735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45735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45735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45735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45735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45735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45735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45735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45735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45735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45735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45735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45735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45735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45735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45735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45735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45735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45735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45735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45735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45735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45735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45735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45735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45735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45735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45735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45735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45735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45735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45735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45735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45735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45735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45735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45735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45735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45735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45735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45735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45735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45735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45735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45735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45735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45735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45735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45735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45735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45735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45735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45735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45735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45735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45735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45735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45735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45735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45735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45735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45735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45735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45735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45735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45735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45735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45735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45735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45735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45735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45735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45735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45735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45735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45735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45735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45735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45735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45735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45735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45735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45735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45735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45735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45735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45735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45735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45735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45735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45735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45735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45735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45735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45735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45735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45735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45735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45735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45735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45735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45735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45735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45735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45735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45735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45735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45735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45735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45735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45735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45735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45735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45735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45735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45735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45735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45735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45735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45735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45735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45735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45735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45735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45735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45735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45735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45735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45735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45735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45735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45735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45735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45735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45735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45735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45735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45735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45735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45735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45735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45735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45735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45735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45735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45735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45735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45735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45735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45735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45735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45735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45735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45735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45735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45735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45735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45735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45735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45735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45735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45735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45735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45735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45735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45735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45735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45735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45735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45735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45735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45735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45735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45735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45735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45735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45735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45735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45735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45735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45735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45735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45735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45735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45735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45735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45735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45735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45735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45735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45735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45735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45735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45735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45735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45735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45735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45735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45735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45735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45735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45735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45735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45735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45735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45735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45735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45735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45735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45735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45735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45735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45735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45735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45735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45735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45735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45735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45735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45735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45735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45735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45735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45735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45735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45735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45735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45735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45735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45735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45735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45735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45735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45735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45735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45735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45735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45735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45735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45735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45735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45735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45735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45735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45735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45735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45735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45735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45735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45735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45735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45735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45735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45735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45735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45735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45735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45735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45735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45735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45735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45735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45735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45735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45735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45735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45735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45735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45735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45735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45735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45735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45735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45735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45735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45735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45735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45735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45735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45735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45735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45735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45735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45735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45735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45735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45735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45735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45735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8088-2025</t>
        </is>
      </c>
      <c r="B820" s="1" t="n">
        <v>45707</v>
      </c>
      <c r="C820" s="1" t="n">
        <v>45735</v>
      </c>
      <c r="D820" t="inlineStr">
        <is>
          <t>ÖSTERGÖTLANDS LÄN</t>
        </is>
      </c>
      <c r="E820" t="inlineStr">
        <is>
          <t>YDRE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8073-2025</t>
        </is>
      </c>
      <c r="B821" s="1" t="n">
        <v>45707</v>
      </c>
      <c r="C821" s="1" t="n">
        <v>45735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45735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45735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8445-2025</t>
        </is>
      </c>
      <c r="B824" s="1" t="n">
        <v>45709</v>
      </c>
      <c r="C824" s="1" t="n">
        <v>45735</v>
      </c>
      <c r="D824" t="inlineStr">
        <is>
          <t>ÖSTERGÖTLANDS LÄN</t>
        </is>
      </c>
      <c r="E824" t="inlineStr">
        <is>
          <t>YDRE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45735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9158-2025</t>
        </is>
      </c>
      <c r="B826" s="1" t="n">
        <v>45714</v>
      </c>
      <c r="C826" s="1" t="n">
        <v>45735</v>
      </c>
      <c r="D826" t="inlineStr">
        <is>
          <t>ÖSTERGÖTLANDS LÄN</t>
        </is>
      </c>
      <c r="E826" t="inlineStr">
        <is>
          <t>YDRE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9155-2025</t>
        </is>
      </c>
      <c r="B827" s="1" t="n">
        <v>45714</v>
      </c>
      <c r="C827" s="1" t="n">
        <v>45735</v>
      </c>
      <c r="D827" t="inlineStr">
        <is>
          <t>ÖSTERGÖTLANDS LÄN</t>
        </is>
      </c>
      <c r="E827" t="inlineStr">
        <is>
          <t>YDRE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9299-2025</t>
        </is>
      </c>
      <c r="B828" s="1" t="n">
        <v>45714</v>
      </c>
      <c r="C828" s="1" t="n">
        <v>45735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9180-2025</t>
        </is>
      </c>
      <c r="B829" s="1" t="n">
        <v>45714</v>
      </c>
      <c r="C829" s="1" t="n">
        <v>45735</v>
      </c>
      <c r="D829" t="inlineStr">
        <is>
          <t>ÖSTERGÖTLANDS LÄN</t>
        </is>
      </c>
      <c r="E829" t="inlineStr">
        <is>
          <t>YDRE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45735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45735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11493-2025</t>
        </is>
      </c>
      <c r="B832" s="1" t="n">
        <v>45726</v>
      </c>
      <c r="C832" s="1" t="n">
        <v>45735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12655-2025</t>
        </is>
      </c>
      <c r="B833" s="1" t="n">
        <v>45733</v>
      </c>
      <c r="C833" s="1" t="n">
        <v>45735</v>
      </c>
      <c r="D833" t="inlineStr">
        <is>
          <t>ÖSTERGÖTLANDS LÄN</t>
        </is>
      </c>
      <c r="E833" t="inlineStr">
        <is>
          <t>YDRE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45735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12684-2025</t>
        </is>
      </c>
      <c r="B835" s="1" t="n">
        <v>45733</v>
      </c>
      <c r="C835" s="1" t="n">
        <v>45735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2025-03-19T17:26:26Z</dcterms:created>
  <dcterms:modified xmlns:dcterms="http://purl.org/dc/terms/" xmlns:xsi="http://www.w3.org/2001/XMLSchema-instance" xsi:type="dcterms:W3CDTF">2025-03-19T17:26:27Z</dcterms:modified>
</cp:coreProperties>
</file>