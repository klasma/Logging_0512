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46322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46322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46322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46322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46322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46322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46322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46322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46322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46322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53091-2024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45611</v>
      </c>
      <c r="E13" s="1" t="n">
        <v>46322</v>
      </c>
      <c r="F13" t="inlineStr">
        <is>
          <t>ÖSTERGÖTLANDS LÄN</t>
        </is>
      </c>
      <c r="G13" t="inlineStr">
        <is>
          <t>YDRE</t>
        </is>
      </c>
      <c r="H13" t="inlineStr">
        <is>
          <t>Övriga Aktiebolag</t>
        </is>
      </c>
      <c r="I13" t="n">
        <v>5.5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1</v>
      </c>
      <c r="V13" s="2" t="inlineStr">
        <is>
          <t>Knärot
Ängsstarr</t>
        </is>
      </c>
      <c r="W13">
        <f>HYPERLINK("https://klasma.github.io/Logging_0512/artfynd/A 53091-2024 artfynd.xlsx", "A 53091-2024")</f>
        <v/>
      </c>
      <c r="X13">
        <f>HYPERLINK("https://klasma.github.io/Logging_0512/kartor/A 53091-2024 karta.png", "A 53091-2024")</f>
        <v/>
      </c>
      <c r="Y13">
        <f>HYPERLINK("https://klasma.github.io/Logging_0512/kartor_geotiff/A 53091-2024 georefererad karta.tif", "A 53091-2024")</f>
        <v/>
      </c>
      <c r="Z13">
        <f>HYPERLINK("https://klasma.github.io/Logging_0512/knärot/A 53091-2024 karta knärot.png", "A 53091-2024")</f>
        <v/>
      </c>
      <c r="AA13">
        <f>HYPERLINK("https://klasma.github.io/Logging_0512/klagomål/A 53091-2024 FSC-klagomål.docx", "A 53091-2024")</f>
        <v/>
      </c>
      <c r="AB13">
        <f>HYPERLINK("https://klasma.github.io/Logging_0512/klagomålsmail/A 53091-2024 FSC-klagomål mail.docx", "A 53091-2024")</f>
        <v/>
      </c>
      <c r="AC13">
        <f>HYPERLINK("https://klasma.github.io/Logging_0512/tillsyn/A 53091-2024 tillsynsbegäran.docx", "A 53091-2024")</f>
        <v/>
      </c>
      <c r="AD13">
        <f>HYPERLINK("https://klasma.github.io/Logging_0512/tillsynsmail/A 53091-2024 tillsynsbegäran mail.docx", "A 53091-2024")</f>
        <v/>
      </c>
    </row>
    <row r="14" ht="15" customHeight="1">
      <c r="A14" t="inlineStr">
        <is>
          <t>A 26030-2023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45091</v>
      </c>
      <c r="E14" s="1" t="n">
        <v>46322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0.9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Aspelandsfibbla
Smal guldkornsfibbla</t>
        </is>
      </c>
      <c r="W14">
        <f>HYPERLINK("https://klasma.github.io/Logging_0512/artfynd/A 26030-2023 artfynd.xlsx", "A 26030-2023")</f>
        <v/>
      </c>
      <c r="X14">
        <f>HYPERLINK("https://klasma.github.io/Logging_0512/kartor/A 26030-2023 karta.png", "A 26030-2023")</f>
        <v/>
      </c>
      <c r="Y14">
        <f>HYPERLINK("https://klasma.github.io/Logging_0512/kartor_geotiff/A 26030-2023 georefererad karta.tif", "A 26030-2023")</f>
        <v/>
      </c>
      <c r="AA14">
        <f>HYPERLINK("https://klasma.github.io/Logging_0512/klagomål/A 26030-2023 FSC-klagomål.docx", "A 26030-2023")</f>
        <v/>
      </c>
      <c r="AB14">
        <f>HYPERLINK("https://klasma.github.io/Logging_0512/klagomålsmail/A 26030-2023 FSC-klagomål mail.docx", "A 26030-2023")</f>
        <v/>
      </c>
      <c r="AC14">
        <f>HYPERLINK("https://klasma.github.io/Logging_0512/tillsyn/A 26030-2023 tillsynsbegäran.docx", "A 26030-2023")</f>
        <v/>
      </c>
      <c r="AD14">
        <f>HYPERLINK("https://klasma.github.io/Logging_0512/tillsynsmail/A 26030-2023 tillsynsbegäran mail.docx", "A 26030-2023")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46322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52667-2022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44874</v>
      </c>
      <c r="E16" s="1" t="n">
        <v>46322</v>
      </c>
      <c r="F16" t="inlineStr">
        <is>
          <t>ÖSTERGÖTLANDS LÄN</t>
        </is>
      </c>
      <c r="G16" t="inlineStr">
        <is>
          <t>YDRE</t>
        </is>
      </c>
      <c r="I16" t="n">
        <v>1.2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Solvända
Mattlummer</t>
        </is>
      </c>
      <c r="W16">
        <f>HYPERLINK("https://klasma.github.io/Logging_0512/artfynd/A 52667-2022 artfynd.xlsx", "A 52667-2022")</f>
        <v/>
      </c>
      <c r="X16">
        <f>HYPERLINK("https://klasma.github.io/Logging_0512/kartor/A 52667-2022 karta.png", "A 52667-2022")</f>
        <v/>
      </c>
      <c r="Y16">
        <f>HYPERLINK("https://klasma.github.io/Logging_0512/kartor_geotiff/A 52667-2022 georefererad karta.tif", "A 52667-2022")</f>
        <v/>
      </c>
      <c r="AA16">
        <f>HYPERLINK("https://klasma.github.io/Logging_0512/klagomål/A 52667-2022 FSC-klagomål.docx", "A 52667-2022")</f>
        <v/>
      </c>
      <c r="AB16">
        <f>HYPERLINK("https://klasma.github.io/Logging_0512/klagomålsmail/A 52667-2022 FSC-klagomål mail.docx", "A 52667-2022")</f>
        <v/>
      </c>
      <c r="AC16">
        <f>HYPERLINK("https://klasma.github.io/Logging_0512/tillsyn/A 52667-2022 tillsynsbegäran.docx", "A 52667-2022")</f>
        <v/>
      </c>
      <c r="AD16">
        <f>HYPERLINK("https://klasma.github.io/Logging_0512/tillsynsmail/A 52667-2022 tillsynsbegäran mail.docx", "A 52667-2022")</f>
        <v/>
      </c>
    </row>
    <row r="17" ht="15" customHeight="1">
      <c r="A17" t="inlineStr">
        <is>
          <t>A 25498-2022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44732</v>
      </c>
      <c r="E17" s="1" t="n">
        <v>46322</v>
      </c>
      <c r="F17" t="inlineStr">
        <is>
          <t>ÖSTERGÖTLANDS LÄN</t>
        </is>
      </c>
      <c r="G17" t="inlineStr">
        <is>
          <t>YDRE</t>
        </is>
      </c>
      <c r="H17" t="inlineStr">
        <is>
          <t>Kyrkan</t>
        </is>
      </c>
      <c r="I17" t="n">
        <v>71.09999999999999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Garnlav
Brunpudrad nållav</t>
        </is>
      </c>
      <c r="W17">
        <f>HYPERLINK("https://klasma.github.io/Logging_0512/artfynd/A 25498-2022 artfynd.xlsx", "A 25498-2022")</f>
        <v/>
      </c>
      <c r="X17">
        <f>HYPERLINK("https://klasma.github.io/Logging_0512/kartor/A 25498-2022 karta.png", "A 25498-2022")</f>
        <v/>
      </c>
      <c r="Y17">
        <f>HYPERLINK("https://klasma.github.io/Logging_0512/kartor_geotiff/A 25498-2022 georefererad karta.tif", "A 25498-2022")</f>
        <v/>
      </c>
      <c r="AA17">
        <f>HYPERLINK("https://klasma.github.io/Logging_0512/klagomål/A 25498-2022 FSC-klagomål.docx", "A 25498-2022")</f>
        <v/>
      </c>
      <c r="AB17">
        <f>HYPERLINK("https://klasma.github.io/Logging_0512/klagomålsmail/A 25498-2022 FSC-klagomål mail.docx", "A 25498-2022")</f>
        <v/>
      </c>
      <c r="AC17">
        <f>HYPERLINK("https://klasma.github.io/Logging_0512/tillsyn/A 25498-2022 tillsynsbegäran.docx", "A 25498-2022")</f>
        <v/>
      </c>
      <c r="AD17">
        <f>HYPERLINK("https://klasma.github.io/Logging_0512/tillsynsmail/A 25498-2022 tillsynsbegäran mail.docx", "A 25498-2022")</f>
        <v/>
      </c>
    </row>
    <row r="18" ht="15" customHeight="1">
      <c r="A18" t="inlineStr">
        <is>
          <t>A 55870-2025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46322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4.4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Västlig njurlav
Grynig filtlav</t>
        </is>
      </c>
      <c r="W18">
        <f>HYPERLINK("https://klasma.github.io/Logging_0512/artfynd/A 55870-2025 artfynd.xlsx", "A 55870-2025")</f>
        <v/>
      </c>
      <c r="X18">
        <f>HYPERLINK("https://klasma.github.io/Logging_0512/kartor/A 55870-2025 karta.png", "A 55870-2025")</f>
        <v/>
      </c>
      <c r="Y18">
        <f>HYPERLINK("https://klasma.github.io/Logging_0512/kartor_geotiff/A 55870-2025 georefererad karta.tif", "A 55870-2025")</f>
        <v/>
      </c>
      <c r="AA18">
        <f>HYPERLINK("https://klasma.github.io/Logging_0512/klagomål/A 55870-2025 FSC-klagomål.docx", "A 55870-2025")</f>
        <v/>
      </c>
      <c r="AB18">
        <f>HYPERLINK("https://klasma.github.io/Logging_0512/klagomålsmail/A 55870-2025 FSC-klagomål mail.docx", "A 55870-2025")</f>
        <v/>
      </c>
      <c r="AC18">
        <f>HYPERLINK("https://klasma.github.io/Logging_0512/tillsyn/A 55870-2025 tillsynsbegäran.docx", "A 55870-2025")</f>
        <v/>
      </c>
      <c r="AD18">
        <f>HYPERLINK("https://klasma.github.io/Logging_0512/tillsynsmail/A 55870-2025 tillsynsbegäran mail.docx", "A 55870-2025")</f>
        <v/>
      </c>
    </row>
    <row r="19" ht="15" customHeight="1">
      <c r="A19" t="inlineStr">
        <is>
          <t>A 23612-2025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45792</v>
      </c>
      <c r="E19" s="1" t="n">
        <v>46322</v>
      </c>
      <c r="F19" t="inlineStr">
        <is>
          <t>ÖSTERGÖTLANDS LÄN</t>
        </is>
      </c>
      <c r="G19" t="inlineStr">
        <is>
          <t>YDRE</t>
        </is>
      </c>
      <c r="I19" t="n">
        <v>2.1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Blomkålssvamp</t>
        </is>
      </c>
      <c r="W19">
        <f>HYPERLINK("https://klasma.github.io/Logging_0512/artfynd/A 23612-2025 artfynd.xlsx", "A 23612-2025")</f>
        <v/>
      </c>
      <c r="X19">
        <f>HYPERLINK("https://klasma.github.io/Logging_0512/kartor/A 23612-2025 karta.png", "A 23612-2025")</f>
        <v/>
      </c>
      <c r="Y19">
        <f>HYPERLINK("https://klasma.github.io/Logging_0512/kartor_geotiff/A 23612-2025 georefererad karta.tif", "A 23612-2025")</f>
        <v/>
      </c>
      <c r="AA19">
        <f>HYPERLINK("https://klasma.github.io/Logging_0512/klagomål/A 23612-2025 FSC-klagomål.docx", "A 23612-2025")</f>
        <v/>
      </c>
      <c r="AB19">
        <f>HYPERLINK("https://klasma.github.io/Logging_0512/klagomålsmail/A 23612-2025 FSC-klagomål mail.docx", "A 23612-2025")</f>
        <v/>
      </c>
      <c r="AC19">
        <f>HYPERLINK("https://klasma.github.io/Logging_0512/tillsyn/A 23612-2025 tillsynsbegäran.docx", "A 23612-2025")</f>
        <v/>
      </c>
      <c r="AD19">
        <f>HYPERLINK("https://klasma.github.io/Logging_0512/tillsynsmail/A 23612-2025 tillsynsbegäran mail.docx", "A 23612-2025")</f>
        <v/>
      </c>
    </row>
    <row r="20" ht="15" customHeight="1">
      <c r="A20" t="inlineStr">
        <is>
          <t>A 33676-2022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44789</v>
      </c>
      <c r="E20" s="1" t="n">
        <v>46322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1.8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Svinrot
Mattlummer</t>
        </is>
      </c>
      <c r="W20">
        <f>HYPERLINK("https://klasma.github.io/Logging_0512/artfynd/A 33676-2022 artfynd.xlsx", "A 33676-2022")</f>
        <v/>
      </c>
      <c r="X20">
        <f>HYPERLINK("https://klasma.github.io/Logging_0512/kartor/A 33676-2022 karta.png", "A 33676-2022")</f>
        <v/>
      </c>
      <c r="Y20">
        <f>HYPERLINK("https://klasma.github.io/Logging_0512/kartor_geotiff/A 33676-2022 georefererad karta.tif", "A 33676-2022")</f>
        <v/>
      </c>
      <c r="AA20">
        <f>HYPERLINK("https://klasma.github.io/Logging_0512/klagomål/A 33676-2022 FSC-klagomål.docx", "A 33676-2022")</f>
        <v/>
      </c>
      <c r="AB20">
        <f>HYPERLINK("https://klasma.github.io/Logging_0512/klagomålsmail/A 33676-2022 FSC-klagomål mail.docx", "A 33676-2022")</f>
        <v/>
      </c>
      <c r="AC20">
        <f>HYPERLINK("https://klasma.github.io/Logging_0512/tillsyn/A 33676-2022 tillsynsbegäran.docx", "A 33676-2022")</f>
        <v/>
      </c>
      <c r="AD20">
        <f>HYPERLINK("https://klasma.github.io/Logging_0512/tillsynsmail/A 33676-2022 tillsynsbegäran mail.docx", "A 33676-2022")</f>
        <v/>
      </c>
    </row>
    <row r="21" ht="15" customHeight="1">
      <c r="A21" t="inlineStr">
        <is>
          <t>A 17526-2024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46322</v>
      </c>
      <c r="F21" t="inlineStr">
        <is>
          <t>ÖSTERGÖTLANDS LÄN</t>
        </is>
      </c>
      <c r="G21" t="inlineStr">
        <is>
          <t>YDRE</t>
        </is>
      </c>
      <c r="I21" t="n">
        <v>1.6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Svinrot
Blåsippa</t>
        </is>
      </c>
      <c r="W21">
        <f>HYPERLINK("https://klasma.github.io/Logging_0512/artfynd/A 17526-2024 artfynd.xlsx", "A 17526-2024")</f>
        <v/>
      </c>
      <c r="X21">
        <f>HYPERLINK("https://klasma.github.io/Logging_0512/kartor/A 17526-2024 karta.png", "A 17526-2024")</f>
        <v/>
      </c>
      <c r="Y21">
        <f>HYPERLINK("https://klasma.github.io/Logging_0512/kartor_geotiff/A 17526-2024 georefererad karta.tif", "A 17526-2024")</f>
        <v/>
      </c>
      <c r="AA21">
        <f>HYPERLINK("https://klasma.github.io/Logging_0512/klagomål/A 17526-2024 FSC-klagomål.docx", "A 17526-2024")</f>
        <v/>
      </c>
      <c r="AB21">
        <f>HYPERLINK("https://klasma.github.io/Logging_0512/klagomålsmail/A 17526-2024 FSC-klagomål mail.docx", "A 17526-2024")</f>
        <v/>
      </c>
      <c r="AC21">
        <f>HYPERLINK("https://klasma.github.io/Logging_0512/tillsyn/A 17526-2024 tillsynsbegäran.docx", "A 17526-2024")</f>
        <v/>
      </c>
      <c r="AD21">
        <f>HYPERLINK("https://klasma.github.io/Logging_0512/tillsynsmail/A 17526-2024 tillsynsbegäran mail.docx", "A 17526-2024")</f>
        <v/>
      </c>
    </row>
    <row r="22" ht="15" customHeight="1">
      <c r="A22" t="inlineStr">
        <is>
          <t>A 7621-2024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45348</v>
      </c>
      <c r="E22" s="1" t="n">
        <v>46322</v>
      </c>
      <c r="F22" t="inlineStr">
        <is>
          <t>ÖSTERGÖTLANDS LÄN</t>
        </is>
      </c>
      <c r="G22" t="inlineStr">
        <is>
          <t>YDRE</t>
        </is>
      </c>
      <c r="I22" t="n">
        <v>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Nordfladdermus
Vattenfladdermus</t>
        </is>
      </c>
      <c r="W22">
        <f>HYPERLINK("https://klasma.github.io/Logging_0512/artfynd/A 7621-2024 artfynd.xlsx", "A 7621-2024")</f>
        <v/>
      </c>
      <c r="X22">
        <f>HYPERLINK("https://klasma.github.io/Logging_0512/kartor/A 7621-2024 karta.png", "A 7621-2024")</f>
        <v/>
      </c>
      <c r="Y22">
        <f>HYPERLINK("https://klasma.github.io/Logging_0512/kartor_geotiff/A 7621-2024 georefererad karta.tif", "A 7621-2024")</f>
        <v/>
      </c>
      <c r="AA22">
        <f>HYPERLINK("https://klasma.github.io/Logging_0512/klagomål/A 7621-2024 FSC-klagomål.docx", "A 7621-2024")</f>
        <v/>
      </c>
      <c r="AB22">
        <f>HYPERLINK("https://klasma.github.io/Logging_0512/klagomålsmail/A 7621-2024 FSC-klagomål mail.docx", "A 7621-2024")</f>
        <v/>
      </c>
      <c r="AC22">
        <f>HYPERLINK("https://klasma.github.io/Logging_0512/tillsyn/A 7621-2024 tillsynsbegäran.docx", "A 7621-2024")</f>
        <v/>
      </c>
      <c r="AD22">
        <f>HYPERLINK("https://klasma.github.io/Logging_0512/tillsynsmail/A 7621-2024 tillsynsbegäran mail.docx", "A 7621-2024")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46322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46322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46322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46322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Kattfotslav</t>
        </is>
      </c>
      <c r="W27">
        <f>HYPERLINK("https://klasma.github.io/Logging_0512/artfynd/A 45771-2025 artfynd.xlsx", "A 45771-2025")</f>
        <v/>
      </c>
      <c r="X27">
        <f>HYPERLINK("https://klasma.github.io/Logging_0512/kartor/A 45771-2025 karta.png", "A 45771-2025")</f>
        <v/>
      </c>
      <c r="Y27">
        <f>HYPERLINK("https://klasma.github.io/Logging_0512/kartor_geotiff/A 45771-2025 georefererad karta.tif", "A 45771-2025")</f>
        <v/>
      </c>
      <c r="AA27">
        <f>HYPERLINK("https://klasma.github.io/Logging_0512/klagomål/A 45771-2025 FSC-klagomål.docx", "A 45771-2025")</f>
        <v/>
      </c>
      <c r="AB27">
        <f>HYPERLINK("https://klasma.github.io/Logging_0512/klagomålsmail/A 45771-2025 FSC-klagomål mail.docx", "A 45771-2025")</f>
        <v/>
      </c>
      <c r="AC27">
        <f>HYPERLINK("https://klasma.github.io/Logging_0512/tillsyn/A 45771-2025 tillsynsbegäran.docx", "A 45771-2025")</f>
        <v/>
      </c>
      <c r="AD27">
        <f>HYPERLINK("https://klasma.github.io/Logging_0512/tillsynsmail/A 45771-2025 tillsynsbegäran mail.docx", "A 45771-2025")</f>
        <v/>
      </c>
    </row>
    <row r="28" ht="15" customHeight="1">
      <c r="A28" t="inlineStr">
        <is>
          <t>A 48344-2022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46322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7.6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Gullklöver</t>
        </is>
      </c>
      <c r="W28">
        <f>HYPERLINK("https://klasma.github.io/Logging_0512/artfynd/A 48344-2022 artfynd.xlsx", "A 48344-2022")</f>
        <v/>
      </c>
      <c r="X28">
        <f>HYPERLINK("https://klasma.github.io/Logging_0512/kartor/A 48344-2022 karta.png", "A 48344-2022")</f>
        <v/>
      </c>
      <c r="Y28">
        <f>HYPERLINK("https://klasma.github.io/Logging_0512/kartor_geotiff/A 48344-2022 georefererad karta.tif", "A 48344-2022")</f>
        <v/>
      </c>
      <c r="AA28">
        <f>HYPERLINK("https://klasma.github.io/Logging_0512/klagomål/A 48344-2022 FSC-klagomål.docx", "A 48344-2022")</f>
        <v/>
      </c>
      <c r="AB28">
        <f>HYPERLINK("https://klasma.github.io/Logging_0512/klagomålsmail/A 48344-2022 FSC-klagomål mail.docx", "A 48344-2022")</f>
        <v/>
      </c>
      <c r="AC28">
        <f>HYPERLINK("https://klasma.github.io/Logging_0512/tillsyn/A 48344-2022 tillsynsbegäran.docx", "A 48344-2022")</f>
        <v/>
      </c>
      <c r="AD28">
        <f>HYPERLINK("https://klasma.github.io/Logging_0512/tillsynsmail/A 48344-2022 tillsynsbegäran mail.docx", "A 48344-2022")</f>
        <v/>
      </c>
    </row>
    <row r="29" ht="15" customHeight="1">
      <c r="A29" t="inlineStr">
        <is>
          <t>A 54520-2025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46322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HYPERLINK("https://klasma.github.io/Logging_0512/artfynd/A 54520-2025 artfynd.xlsx", "A 54520-2025")</f>
        <v/>
      </c>
      <c r="X29">
        <f>HYPERLINK("https://klasma.github.io/Logging_0512/kartor/A 54520-2025 karta.png", "A 54520-2025")</f>
        <v/>
      </c>
      <c r="Y29">
        <f>HYPERLINK("https://klasma.github.io/Logging_0512/kartor_geotiff/A 54520-2025 georefererad karta.tif", "A 54520-2025")</f>
        <v/>
      </c>
      <c r="AA29">
        <f>HYPERLINK("https://klasma.github.io/Logging_0512/klagomål/A 54520-2025 FSC-klagomål.docx", "A 54520-2025")</f>
        <v/>
      </c>
      <c r="AB29">
        <f>HYPERLINK("https://klasma.github.io/Logging_0512/klagomålsmail/A 54520-2025 FSC-klagomål mail.docx", "A 54520-2025")</f>
        <v/>
      </c>
      <c r="AC29">
        <f>HYPERLINK("https://klasma.github.io/Logging_0512/tillsyn/A 54520-2025 tillsynsbegäran.docx", "A 54520-2025")</f>
        <v/>
      </c>
      <c r="AD29">
        <f>HYPERLINK("https://klasma.github.io/Logging_0512/tillsynsmail/A 54520-2025 tillsynsbegäran mail.docx", "A 54520-2025")</f>
        <v/>
      </c>
      <c r="AE29">
        <f>HYPERLINK("https://klasma.github.io/Logging_0512/fåglar/A 54520-2025 prioriterade fågelarter.docx", "A 54520-2025")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46322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29200-2026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46322</v>
      </c>
      <c r="F31" t="inlineStr">
        <is>
          <t>ÖSTERGÖTLANDS LÄN</t>
        </is>
      </c>
      <c r="G31" t="inlineStr">
        <is>
          <t>YDRE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HYPERLINK("https://klasma.github.io/Logging_0512/artfynd/A 29200-2026 artfynd.xlsx", "A 29200-2026")</f>
        <v/>
      </c>
      <c r="X31">
        <f>HYPERLINK("https://klasma.github.io/Logging_0512/kartor/A 29200-2026 karta.png", "A 29200-2026")</f>
        <v/>
      </c>
      <c r="Y31">
        <f>HYPERLINK("https://klasma.github.io/Logging_0512/kartor_geotiff/A 29200-2026 georefererad karta.tif", "A 29200-2026")</f>
        <v/>
      </c>
      <c r="AA31">
        <f>HYPERLINK("https://klasma.github.io/Logging_0512/klagomål/A 29200-2026 FSC-klagomål.docx", "A 29200-2026")</f>
        <v/>
      </c>
      <c r="AB31">
        <f>HYPERLINK("https://klasma.github.io/Logging_0512/klagomålsmail/A 29200-2026 FSC-klagomål mail.docx", "A 29200-2026")</f>
        <v/>
      </c>
      <c r="AC31">
        <f>HYPERLINK("https://klasma.github.io/Logging_0512/tillsyn/A 29200-2026 tillsynsbegäran.docx", "A 29200-2026")</f>
        <v/>
      </c>
      <c r="AD31">
        <f>HYPERLINK("https://klasma.github.io/Logging_0512/tillsynsmail/A 29200-2026 tillsynsbegäran mail.docx", "A 29200-2026")</f>
        <v/>
      </c>
    </row>
    <row r="32" ht="15" customHeight="1">
      <c r="A32" t="inlineStr">
        <is>
          <t>A 4248-2026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46322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HYPERLINK("https://klasma.github.io/Logging_0512/artfynd/A 4248-2026 artfynd.xlsx", "A 4248-2026")</f>
        <v/>
      </c>
      <c r="X32">
        <f>HYPERLINK("https://klasma.github.io/Logging_0512/kartor/A 4248-2026 karta.png", "A 4248-2026")</f>
        <v/>
      </c>
      <c r="Y32">
        <f>HYPERLINK("https://klasma.github.io/Logging_0512/kartor_geotiff/A 4248-2026 georefererad karta.tif", "A 4248-2026")</f>
        <v/>
      </c>
      <c r="AA32">
        <f>HYPERLINK("https://klasma.github.io/Logging_0512/klagomål/A 4248-2026 FSC-klagomål.docx", "A 4248-2026")</f>
        <v/>
      </c>
      <c r="AB32">
        <f>HYPERLINK("https://klasma.github.io/Logging_0512/klagomålsmail/A 4248-2026 FSC-klagomål mail.docx", "A 4248-2026")</f>
        <v/>
      </c>
      <c r="AC32">
        <f>HYPERLINK("https://klasma.github.io/Logging_0512/tillsyn/A 4248-2026 tillsynsbegäran.docx", "A 4248-2026")</f>
        <v/>
      </c>
      <c r="AD32">
        <f>HYPERLINK("https://klasma.github.io/Logging_0512/tillsynsmail/A 4248-2026 tillsynsbegäran mail.docx", "A 4248-2026")</f>
        <v/>
      </c>
      <c r="AE32">
        <f>HYPERLINK("https://klasma.github.io/Logging_0512/fåglar/A 4248-2026 prioriterade fågelarter.docx", "A 4248-2026")</f>
        <v/>
      </c>
    </row>
    <row r="33" ht="15" customHeight="1">
      <c r="A33" t="inlineStr">
        <is>
          <t>A 9051-2026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46322</v>
      </c>
      <c r="F33" t="inlineStr">
        <is>
          <t>ÖSTERGÖTLANDS LÄN</t>
        </is>
      </c>
      <c r="G33" t="inlineStr">
        <is>
          <t>YDRE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Slåtterfibbla</t>
        </is>
      </c>
      <c r="W33">
        <f>HYPERLINK("https://klasma.github.io/Logging_0512/artfynd/A 9051-2026 artfynd.xlsx", "A 9051-2026")</f>
        <v/>
      </c>
      <c r="X33">
        <f>HYPERLINK("https://klasma.github.io/Logging_0512/kartor/A 9051-2026 karta.png", "A 9051-2026")</f>
        <v/>
      </c>
      <c r="Y33">
        <f>HYPERLINK("https://klasma.github.io/Logging_0512/kartor_geotiff/A 9051-2026 georefererad karta.tif", "A 9051-2026")</f>
        <v/>
      </c>
      <c r="AA33">
        <f>HYPERLINK("https://klasma.github.io/Logging_0512/klagomål/A 9051-2026 FSC-klagomål.docx", "A 9051-2026")</f>
        <v/>
      </c>
      <c r="AB33">
        <f>HYPERLINK("https://klasma.github.io/Logging_0512/klagomålsmail/A 9051-2026 FSC-klagomål mail.docx", "A 9051-2026")</f>
        <v/>
      </c>
      <c r="AC33">
        <f>HYPERLINK("https://klasma.github.io/Logging_0512/tillsyn/A 9051-2026 tillsynsbegäran.docx", "A 9051-2026")</f>
        <v/>
      </c>
      <c r="AD33">
        <f>HYPERLINK("https://klasma.github.io/Logging_0512/tillsynsmail/A 9051-2026 tillsynsbegäran mail.docx", "A 9051-2026")</f>
        <v/>
      </c>
    </row>
    <row r="34" ht="15" customHeight="1">
      <c r="A34" t="inlineStr">
        <is>
          <t>A 8923-2026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46322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8923-2026 artfynd.xlsx", "A 8923-2026")</f>
        <v/>
      </c>
      <c r="X34">
        <f>HYPERLINK("https://klasma.github.io/Logging_0512/kartor/A 8923-2026 karta.png", "A 8923-2026")</f>
        <v/>
      </c>
      <c r="Y34">
        <f>HYPERLINK("https://klasma.github.io/Logging_0512/kartor_geotiff/A 8923-2026 georefererad karta.tif", "A 8923-2026")</f>
        <v/>
      </c>
      <c r="AA34">
        <f>HYPERLINK("https://klasma.github.io/Logging_0512/klagomål/A 8923-2026 FSC-klagomål.docx", "A 8923-2026")</f>
        <v/>
      </c>
      <c r="AB34">
        <f>HYPERLINK("https://klasma.github.io/Logging_0512/klagomålsmail/A 8923-2026 FSC-klagomål mail.docx", "A 8923-2026")</f>
        <v/>
      </c>
      <c r="AC34">
        <f>HYPERLINK("https://klasma.github.io/Logging_0512/tillsyn/A 8923-2026 tillsynsbegäran.docx", "A 8923-2026")</f>
        <v/>
      </c>
      <c r="AD34">
        <f>HYPERLINK("https://klasma.github.io/Logging_0512/tillsynsmail/A 8923-2026 tillsynsbegäran mail.docx", "A 8923-2026")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46322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46322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46322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41907-2024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46322</v>
      </c>
      <c r="F38" t="inlineStr">
        <is>
          <t>ÖSTERGÖTLANDS LÄN</t>
        </is>
      </c>
      <c r="G38" t="inlineStr">
        <is>
          <t>YDRE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Grovticka</t>
        </is>
      </c>
      <c r="W38">
        <f>HYPERLINK("https://klasma.github.io/Logging_0512/artfynd/A 41907-2024 artfynd.xlsx", "A 41907-2024")</f>
        <v/>
      </c>
      <c r="X38">
        <f>HYPERLINK("https://klasma.github.io/Logging_0512/kartor/A 41907-2024 karta.png", "A 41907-2024")</f>
        <v/>
      </c>
      <c r="Y38">
        <f>HYPERLINK("https://klasma.github.io/Logging_0512/kartor_geotiff/A 41907-2024 georefererad karta.tif", "A 41907-2024")</f>
        <v/>
      </c>
      <c r="AA38">
        <f>HYPERLINK("https://klasma.github.io/Logging_0512/klagomål/A 41907-2024 FSC-klagomål.docx", "A 41907-2024")</f>
        <v/>
      </c>
      <c r="AB38">
        <f>HYPERLINK("https://klasma.github.io/Logging_0512/klagomålsmail/A 41907-2024 FSC-klagomål mail.docx", "A 41907-2024")</f>
        <v/>
      </c>
      <c r="AC38">
        <f>HYPERLINK("https://klasma.github.io/Logging_0512/tillsyn/A 41907-2024 tillsynsbegäran.docx", "A 41907-2024")</f>
        <v/>
      </c>
      <c r="AD38">
        <f>HYPERLINK("https://klasma.github.io/Logging_0512/tillsynsmail/A 41907-2024 tillsynsbegäran mail.docx", "A 41907-2024")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46322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11716-2025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46322</v>
      </c>
      <c r="F40" t="inlineStr">
        <is>
          <t>ÖSTERGÖTLANDS LÄN</t>
        </is>
      </c>
      <c r="G40" t="inlineStr">
        <is>
          <t>YDRE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Kryddspindling</t>
        </is>
      </c>
      <c r="W40">
        <f>HYPERLINK("https://klasma.github.io/Logging_0512/artfynd/A 11716-2025 artfynd.xlsx", "A 11716-2025")</f>
        <v/>
      </c>
      <c r="X40">
        <f>HYPERLINK("https://klasma.github.io/Logging_0512/kartor/A 11716-2025 karta.png", "A 11716-2025")</f>
        <v/>
      </c>
      <c r="Y40">
        <f>HYPERLINK("https://klasma.github.io/Logging_0512/kartor_geotiff/A 11716-2025 georefererad karta.tif", "A 11716-2025")</f>
        <v/>
      </c>
      <c r="AA40">
        <f>HYPERLINK("https://klasma.github.io/Logging_0512/klagomål/A 11716-2025 FSC-klagomål.docx", "A 11716-2025")</f>
        <v/>
      </c>
      <c r="AB40">
        <f>HYPERLINK("https://klasma.github.io/Logging_0512/klagomålsmail/A 11716-2025 FSC-klagomål mail.docx", "A 11716-2025")</f>
        <v/>
      </c>
      <c r="AC40">
        <f>HYPERLINK("https://klasma.github.io/Logging_0512/tillsyn/A 11716-2025 tillsynsbegäran.docx", "A 11716-2025")</f>
        <v/>
      </c>
      <c r="AD40">
        <f>HYPERLINK("https://klasma.github.io/Logging_0512/tillsynsmail/A 11716-2025 tillsynsbegäran mail.docx", "A 11716-2025")</f>
        <v/>
      </c>
    </row>
    <row r="41" ht="15" customHeight="1">
      <c r="A41" t="inlineStr">
        <is>
          <t>A 45765-2025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46322</v>
      </c>
      <c r="F41" t="inlineStr">
        <is>
          <t>ÖSTERGÖTLANDS LÄN</t>
        </is>
      </c>
      <c r="G41" t="inlineStr">
        <is>
          <t>YDRE</t>
        </is>
      </c>
      <c r="I41" t="n">
        <v>10.9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HYPERLINK("https://klasma.github.io/Logging_0512/artfynd/A 45765-2025 artfynd.xlsx", "A 45765-2025")</f>
        <v/>
      </c>
      <c r="X41">
        <f>HYPERLINK("https://klasma.github.io/Logging_0512/kartor/A 45765-2025 karta.png", "A 45765-2025")</f>
        <v/>
      </c>
      <c r="Y41">
        <f>HYPERLINK("https://klasma.github.io/Logging_0512/kartor_geotiff/A 45765-2025 georefererad karta.tif", "A 45765-2025")</f>
        <v/>
      </c>
      <c r="AA41">
        <f>HYPERLINK("https://klasma.github.io/Logging_0512/klagomål/A 45765-2025 FSC-klagomål.docx", "A 45765-2025")</f>
        <v/>
      </c>
      <c r="AB41">
        <f>HYPERLINK("https://klasma.github.io/Logging_0512/klagomålsmail/A 45765-2025 FSC-klagomål mail.docx", "A 45765-2025")</f>
        <v/>
      </c>
      <c r="AC41">
        <f>HYPERLINK("https://klasma.github.io/Logging_0512/tillsyn/A 45765-2025 tillsynsbegäran.docx", "A 45765-2025")</f>
        <v/>
      </c>
      <c r="AD41">
        <f>HYPERLINK("https://klasma.github.io/Logging_0512/tillsynsmail/A 45765-2025 tillsynsbegäran mail.docx", "A 45765-2025")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46322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46322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46322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46322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46322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46322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46322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46322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46322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46322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46322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46322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44687</v>
      </c>
      <c r="E54" s="1" t="n">
        <v>46322</v>
      </c>
      <c r="F54" t="inlineStr">
        <is>
          <t>ÖSTERGÖTLANDS LÄN</t>
        </is>
      </c>
      <c r="G54" t="inlineStr">
        <is>
          <t>YDRE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46322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46322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46322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46322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46322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46322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46322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46322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71035-2021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44538</v>
      </c>
      <c r="E63" s="1" t="n">
        <v>46322</v>
      </c>
      <c r="F63" t="inlineStr">
        <is>
          <t>ÖSTERGÖTLANDS LÄN</t>
        </is>
      </c>
      <c r="G63" t="inlineStr">
        <is>
          <t>YDRE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44728</v>
      </c>
      <c r="E64" s="1" t="n">
        <v>46322</v>
      </c>
      <c r="F64" t="inlineStr">
        <is>
          <t>ÖSTERGÖTLANDS LÄN</t>
        </is>
      </c>
      <c r="G64" t="inlineStr">
        <is>
          <t>YDRE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44593</v>
      </c>
      <c r="E65" s="1" t="n">
        <v>46322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46322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46322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46322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46322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46322</v>
      </c>
      <c r="F70" t="inlineStr">
        <is>
          <t>ÖSTERGÖTLANDS LÄN</t>
        </is>
      </c>
      <c r="G70" t="inlineStr">
        <is>
          <t>YDRE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69307-2021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44531</v>
      </c>
      <c r="E71" s="1" t="n">
        <v>46322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46322</v>
      </c>
      <c r="F72" t="inlineStr">
        <is>
          <t>ÖSTERGÖTLANDS LÄN</t>
        </is>
      </c>
      <c r="G72" t="inlineStr">
        <is>
          <t>YDRE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46322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46322</v>
      </c>
      <c r="F74" t="inlineStr">
        <is>
          <t>ÖSTERGÖTLANDS LÄN</t>
        </is>
      </c>
      <c r="G74" t="inlineStr">
        <is>
          <t>YDRE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46322</v>
      </c>
      <c r="F75" t="inlineStr">
        <is>
          <t>ÖSTERGÖTLANDS LÄN</t>
        </is>
      </c>
      <c r="G75" t="inlineStr">
        <is>
          <t>YDRE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46322</v>
      </c>
      <c r="F76" t="inlineStr">
        <is>
          <t>ÖSTERGÖTLANDS LÄN</t>
        </is>
      </c>
      <c r="G76" t="inlineStr">
        <is>
          <t>YDRE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46322</v>
      </c>
      <c r="F77" t="inlineStr">
        <is>
          <t>ÖSTERGÖTLANDS LÄN</t>
        </is>
      </c>
      <c r="G77" t="inlineStr">
        <is>
          <t>YDRE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46322</v>
      </c>
      <c r="F78" t="inlineStr">
        <is>
          <t>ÖSTERGÖTLANDS LÄN</t>
        </is>
      </c>
      <c r="G78" t="inlineStr">
        <is>
          <t>YDRE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46322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46322</v>
      </c>
      <c r="F80" t="inlineStr">
        <is>
          <t>ÖSTERGÖTLANDS LÄN</t>
        </is>
      </c>
      <c r="G80" t="inlineStr">
        <is>
          <t>YDRE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45634</v>
      </c>
      <c r="E81" s="1" t="n">
        <v>46322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46322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46322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46322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46322</v>
      </c>
      <c r="F85" t="inlineStr">
        <is>
          <t>ÖSTERGÖTLANDS LÄN</t>
        </is>
      </c>
      <c r="G85" t="inlineStr">
        <is>
          <t>YDRE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45909</v>
      </c>
      <c r="E86" s="1" t="n">
        <v>46322</v>
      </c>
      <c r="F86" t="inlineStr">
        <is>
          <t>ÖSTERGÖTLANDS LÄN</t>
        </is>
      </c>
      <c r="G86" t="inlineStr">
        <is>
          <t>YDRE</t>
        </is>
      </c>
      <c r="H86" t="inlineStr">
        <is>
          <t>Övriga Aktiebolag</t>
        </is>
      </c>
      <c r="I86" t="n">
        <v>12.4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46322</v>
      </c>
      <c r="F87" t="inlineStr">
        <is>
          <t>ÖSTERGÖTLANDS LÄN</t>
        </is>
      </c>
      <c r="G87" t="inlineStr">
        <is>
          <t>YDRE</t>
        </is>
      </c>
      <c r="H87" t="inlineStr">
        <is>
          <t>Övriga Aktiebolag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14184-2022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44651</v>
      </c>
      <c r="E88" s="1" t="n">
        <v>46322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45395-2022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44844</v>
      </c>
      <c r="E89" s="1" t="n">
        <v>46322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46322</v>
      </c>
      <c r="F90" t="inlineStr">
        <is>
          <t>ÖSTERGÖTLANDS LÄN</t>
        </is>
      </c>
      <c r="G90" t="inlineStr">
        <is>
          <t>YDRE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45257</v>
      </c>
      <c r="E91" s="1" t="n">
        <v>46322</v>
      </c>
      <c r="F91" t="inlineStr">
        <is>
          <t>ÖSTERGÖTLANDS LÄN</t>
        </is>
      </c>
      <c r="G91" t="inlineStr">
        <is>
          <t>YDRE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45698</v>
      </c>
      <c r="E92" s="1" t="n">
        <v>46322</v>
      </c>
      <c r="F92" t="inlineStr">
        <is>
          <t>ÖSTERGÖTLANDS LÄN</t>
        </is>
      </c>
      <c r="G92" t="inlineStr">
        <is>
          <t>YDRE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46322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46322</v>
      </c>
      <c r="F94" t="inlineStr">
        <is>
          <t>ÖSTERGÖTLANDS LÄN</t>
        </is>
      </c>
      <c r="G94" t="inlineStr">
        <is>
          <t>YDRE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46322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44468-2025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45916</v>
      </c>
      <c r="E96" s="1" t="n">
        <v>46322</v>
      </c>
      <c r="F96" t="inlineStr">
        <is>
          <t>ÖSTERGÖTLANDS LÄN</t>
        </is>
      </c>
      <c r="G96" t="inlineStr">
        <is>
          <t>YDRE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45159</v>
      </c>
      <c r="E97" s="1" t="n">
        <v>46322</v>
      </c>
      <c r="F97" t="inlineStr">
        <is>
          <t>ÖSTERGÖTLANDS LÄN</t>
        </is>
      </c>
      <c r="G97" t="inlineStr">
        <is>
          <t>YDRE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45664</v>
      </c>
      <c r="E98" s="1" t="n">
        <v>46322</v>
      </c>
      <c r="F98" t="inlineStr">
        <is>
          <t>ÖSTERGÖTLANDS LÄN</t>
        </is>
      </c>
      <c r="G98" t="inlineStr">
        <is>
          <t>YDRE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46322</v>
      </c>
      <c r="F99" t="inlineStr">
        <is>
          <t>ÖSTERGÖTLANDS LÄN</t>
        </is>
      </c>
      <c r="G99" t="inlineStr">
        <is>
          <t>YDRE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45752-2025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46322</v>
      </c>
      <c r="F100" t="inlineStr">
        <is>
          <t>ÖSTERGÖTLANDS LÄN</t>
        </is>
      </c>
      <c r="G100" t="inlineStr">
        <is>
          <t>YDRE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46322</v>
      </c>
      <c r="F101" t="inlineStr">
        <is>
          <t>ÖSTERGÖTLANDS LÄN</t>
        </is>
      </c>
      <c r="G101" t="inlineStr">
        <is>
          <t>YDRE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46322</v>
      </c>
      <c r="F102" t="inlineStr">
        <is>
          <t>ÖSTERGÖTLANDS LÄN</t>
        </is>
      </c>
      <c r="G102" t="inlineStr">
        <is>
          <t>YDRE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45924</v>
      </c>
      <c r="E103" s="1" t="n">
        <v>46322</v>
      </c>
      <c r="F103" t="inlineStr">
        <is>
          <t>ÖSTERGÖTLANDS LÄN</t>
        </is>
      </c>
      <c r="G103" t="inlineStr">
        <is>
          <t>YDRE</t>
        </is>
      </c>
      <c r="H103" t="inlineStr">
        <is>
          <t>Övriga Aktiebolag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71524-2021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46322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46322</v>
      </c>
      <c r="F105" t="inlineStr">
        <is>
          <t>ÖSTERGÖTLANDS LÄN</t>
        </is>
      </c>
      <c r="G105" t="inlineStr">
        <is>
          <t>YDRE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46322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46322</v>
      </c>
      <c r="F107" t="inlineStr">
        <is>
          <t>ÖSTERGÖTLANDS LÄN</t>
        </is>
      </c>
      <c r="G107" t="inlineStr">
        <is>
          <t>YDRE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46322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44670</v>
      </c>
      <c r="E109" s="1" t="n">
        <v>46322</v>
      </c>
      <c r="F109" t="inlineStr">
        <is>
          <t>ÖSTERGÖTLANDS LÄN</t>
        </is>
      </c>
      <c r="G109" t="inlineStr">
        <is>
          <t>YDRE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46322</v>
      </c>
      <c r="F110" t="inlineStr">
        <is>
          <t>ÖSTERGÖTLANDS LÄN</t>
        </is>
      </c>
      <c r="G110" t="inlineStr">
        <is>
          <t>YDRE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14101-2022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44651</v>
      </c>
      <c r="E111" s="1" t="n">
        <v>46322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46322</v>
      </c>
      <c r="F112" t="inlineStr">
        <is>
          <t>ÖSTERGÖTLANDS LÄN</t>
        </is>
      </c>
      <c r="G112" t="inlineStr">
        <is>
          <t>YDRE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46322</v>
      </c>
      <c r="F113" t="inlineStr">
        <is>
          <t>ÖSTERGÖTLANDS LÄN</t>
        </is>
      </c>
      <c r="G113" t="inlineStr">
        <is>
          <t>YDRE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46322</v>
      </c>
      <c r="F114" t="inlineStr">
        <is>
          <t>ÖSTERGÖTLANDS LÄN</t>
        </is>
      </c>
      <c r="G114" t="inlineStr">
        <is>
          <t>YDRE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46322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45714</v>
      </c>
      <c r="E116" s="1" t="n">
        <v>46322</v>
      </c>
      <c r="F116" t="inlineStr">
        <is>
          <t>ÖSTERGÖTLANDS LÄN</t>
        </is>
      </c>
      <c r="G116" t="inlineStr">
        <is>
          <t>YDRE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46322</v>
      </c>
      <c r="F117" t="inlineStr">
        <is>
          <t>ÖSTERGÖTLANDS LÄN</t>
        </is>
      </c>
      <c r="G117" t="inlineStr">
        <is>
          <t>YDRE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46322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27700-2026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46190</v>
      </c>
      <c r="E119" s="1" t="n">
        <v>46322</v>
      </c>
      <c r="F119" t="inlineStr">
        <is>
          <t>ÖSTERGÖTLANDS LÄN</t>
        </is>
      </c>
      <c r="G119" t="inlineStr">
        <is>
          <t>YDRE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45940</v>
      </c>
      <c r="E120" s="1" t="n">
        <v>46322</v>
      </c>
      <c r="F120" t="inlineStr">
        <is>
          <t>ÖSTERGÖTLANDS LÄN</t>
        </is>
      </c>
      <c r="G120" t="inlineStr">
        <is>
          <t>YDRE</t>
        </is>
      </c>
      <c r="H120" t="inlineStr">
        <is>
          <t>Kyrkan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46322</v>
      </c>
      <c r="F121" t="inlineStr">
        <is>
          <t>ÖSTERGÖTLANDS LÄN</t>
        </is>
      </c>
      <c r="G121" t="inlineStr">
        <is>
          <t>YDRE</t>
        </is>
      </c>
      <c r="H121" t="inlineStr">
        <is>
          <t>Kyrkan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45596</v>
      </c>
      <c r="E122" s="1" t="n">
        <v>46322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46322</v>
      </c>
      <c r="F123" t="inlineStr">
        <is>
          <t>ÖSTERGÖTLANDS LÄN</t>
        </is>
      </c>
      <c r="G123" t="inlineStr">
        <is>
          <t>YDRE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45677</v>
      </c>
      <c r="E124" s="1" t="n">
        <v>46322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45138</v>
      </c>
      <c r="E125" s="1" t="n">
        <v>46322</v>
      </c>
      <c r="F125" t="inlineStr">
        <is>
          <t>ÖSTERGÖTLANDS LÄN</t>
        </is>
      </c>
      <c r="G125" t="inlineStr">
        <is>
          <t>YDRE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46322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45748</v>
      </c>
      <c r="E127" s="1" t="n">
        <v>46322</v>
      </c>
      <c r="F127" t="inlineStr">
        <is>
          <t>ÖSTERGÖTLANDS LÄN</t>
        </is>
      </c>
      <c r="G127" t="inlineStr">
        <is>
          <t>YDRE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61205-2023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45264</v>
      </c>
      <c r="E128" s="1" t="n">
        <v>46322</v>
      </c>
      <c r="F128" t="inlineStr">
        <is>
          <t>ÖSTERGÖTLANDS LÄN</t>
        </is>
      </c>
      <c r="G128" t="inlineStr">
        <is>
          <t>YDRE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46322</v>
      </c>
      <c r="F129" t="inlineStr">
        <is>
          <t>ÖSTERGÖTLANDS LÄN</t>
        </is>
      </c>
      <c r="G129" t="inlineStr">
        <is>
          <t>YDRE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46322</v>
      </c>
      <c r="F130" t="inlineStr">
        <is>
          <t>ÖSTERGÖTLANDS LÄN</t>
        </is>
      </c>
      <c r="G130" t="inlineStr">
        <is>
          <t>YDRE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45355</v>
      </c>
      <c r="E131" s="1" t="n">
        <v>46322</v>
      </c>
      <c r="F131" t="inlineStr">
        <is>
          <t>ÖSTERGÖTLANDS LÄN</t>
        </is>
      </c>
      <c r="G131" t="inlineStr">
        <is>
          <t>YDRE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46322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44796</v>
      </c>
      <c r="E133" s="1" t="n">
        <v>46322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45665</v>
      </c>
      <c r="E134" s="1" t="n">
        <v>46322</v>
      </c>
      <c r="F134" t="inlineStr">
        <is>
          <t>ÖSTERGÖTLANDS LÄN</t>
        </is>
      </c>
      <c r="G134" t="inlineStr">
        <is>
          <t>YDRE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46322</v>
      </c>
      <c r="F135" t="inlineStr">
        <is>
          <t>ÖSTERGÖTLANDS LÄN</t>
        </is>
      </c>
      <c r="G135" t="inlineStr">
        <is>
          <t>YDRE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46322</v>
      </c>
      <c r="F136" t="inlineStr">
        <is>
          <t>ÖSTERGÖTLANDS LÄN</t>
        </is>
      </c>
      <c r="G136" t="inlineStr">
        <is>
          <t>YDRE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46322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46322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46322</v>
      </c>
      <c r="F139" t="inlineStr">
        <is>
          <t>ÖSTERGÖTLANDS LÄN</t>
        </is>
      </c>
      <c r="G139" t="inlineStr">
        <is>
          <t>YDRE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45492</v>
      </c>
      <c r="E140" s="1" t="n">
        <v>46322</v>
      </c>
      <c r="F140" t="inlineStr">
        <is>
          <t>ÖSTERGÖTLANDS LÄN</t>
        </is>
      </c>
      <c r="G140" t="inlineStr">
        <is>
          <t>YDRE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46322</v>
      </c>
      <c r="F141" t="inlineStr">
        <is>
          <t>ÖSTERGÖTLANDS LÄN</t>
        </is>
      </c>
      <c r="G141" t="inlineStr">
        <is>
          <t>YDRE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46322</v>
      </c>
      <c r="F142" t="inlineStr">
        <is>
          <t>ÖSTERGÖTLANDS LÄN</t>
        </is>
      </c>
      <c r="G142" t="inlineStr">
        <is>
          <t>YDRE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44592</v>
      </c>
      <c r="E143" s="1" t="n">
        <v>46322</v>
      </c>
      <c r="F143" t="inlineStr">
        <is>
          <t>ÖSTERGÖTLANDS LÄN</t>
        </is>
      </c>
      <c r="G143" t="inlineStr">
        <is>
          <t>YDRE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46322</v>
      </c>
      <c r="F144" t="inlineStr">
        <is>
          <t>ÖSTERGÖTLANDS LÄN</t>
        </is>
      </c>
      <c r="G144" t="inlineStr">
        <is>
          <t>YDRE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46322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45965</v>
      </c>
      <c r="E146" s="1" t="n">
        <v>46322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46322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46322</v>
      </c>
      <c r="F148" t="inlineStr">
        <is>
          <t>ÖSTERGÖTLANDS LÄN</t>
        </is>
      </c>
      <c r="G148" t="inlineStr">
        <is>
          <t>YDRE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46322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46322</v>
      </c>
      <c r="F150" t="inlineStr">
        <is>
          <t>ÖSTERGÖTLANDS LÄN</t>
        </is>
      </c>
      <c r="G150" t="inlineStr">
        <is>
          <t>YDRE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46322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46322</v>
      </c>
      <c r="F152" t="inlineStr">
        <is>
          <t>ÖSTERGÖTLANDS LÄN</t>
        </is>
      </c>
      <c r="G152" t="inlineStr">
        <is>
          <t>YDRE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46322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27874-2026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46322</v>
      </c>
      <c r="F154" t="inlineStr">
        <is>
          <t>ÖSTERGÖTLANDS LÄN</t>
        </is>
      </c>
      <c r="G154" t="inlineStr">
        <is>
          <t>YDRE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46322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46322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46322</v>
      </c>
      <c r="F157" t="inlineStr">
        <is>
          <t>ÖSTERGÖTLANDS LÄN</t>
        </is>
      </c>
      <c r="G157" t="inlineStr">
        <is>
          <t>YDRE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45335</v>
      </c>
      <c r="E158" s="1" t="n">
        <v>46322</v>
      </c>
      <c r="F158" t="inlineStr">
        <is>
          <t>ÖSTERGÖTLANDS LÄN</t>
        </is>
      </c>
      <c r="G158" t="inlineStr">
        <is>
          <t>YDRE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46322</v>
      </c>
      <c r="F159" t="inlineStr">
        <is>
          <t>ÖSTERGÖTLANDS LÄN</t>
        </is>
      </c>
      <c r="G159" t="inlineStr">
        <is>
          <t>YDRE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46322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46322</v>
      </c>
      <c r="F161" t="inlineStr">
        <is>
          <t>ÖSTERGÖTLANDS LÄN</t>
        </is>
      </c>
      <c r="G161" t="inlineStr">
        <is>
          <t>YDRE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46322</v>
      </c>
      <c r="F162" t="inlineStr">
        <is>
          <t>ÖSTERGÖTLANDS LÄN</t>
        </is>
      </c>
      <c r="G162" t="inlineStr">
        <is>
          <t>YDRE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9997-2025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46322</v>
      </c>
      <c r="F163" t="inlineStr">
        <is>
          <t>ÖSTERGÖTLANDS LÄN</t>
        </is>
      </c>
      <c r="G163" t="inlineStr">
        <is>
          <t>YDRE</t>
        </is>
      </c>
      <c r="H163" t="inlineStr">
        <is>
          <t>Övriga Aktiebolag</t>
        </is>
      </c>
      <c r="I163" t="n">
        <v>18.2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46322</v>
      </c>
      <c r="F164" t="inlineStr">
        <is>
          <t>ÖSTERGÖTLANDS LÄN</t>
        </is>
      </c>
      <c r="G164" t="inlineStr">
        <is>
          <t>YDRE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46322</v>
      </c>
      <c r="F165" t="inlineStr">
        <is>
          <t>ÖSTERGÖTLANDS LÄN</t>
        </is>
      </c>
      <c r="G165" t="inlineStr">
        <is>
          <t>YDRE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45419</v>
      </c>
      <c r="E166" s="1" t="n">
        <v>46322</v>
      </c>
      <c r="F166" t="inlineStr">
        <is>
          <t>ÖSTERGÖTLANDS LÄN</t>
        </is>
      </c>
      <c r="G166" t="inlineStr">
        <is>
          <t>YDRE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45796</v>
      </c>
      <c r="E167" s="1" t="n">
        <v>46322</v>
      </c>
      <c r="F167" t="inlineStr">
        <is>
          <t>ÖSTERGÖTLANDS LÄN</t>
        </is>
      </c>
      <c r="G167" t="inlineStr">
        <is>
          <t>YDRE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46322</v>
      </c>
      <c r="F168" t="inlineStr">
        <is>
          <t>ÖSTERGÖTLANDS LÄN</t>
        </is>
      </c>
      <c r="G168" t="inlineStr">
        <is>
          <t>YDRE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46322</v>
      </c>
      <c r="F169" t="inlineStr">
        <is>
          <t>ÖSTERGÖTLANDS LÄN</t>
        </is>
      </c>
      <c r="G169" t="inlineStr">
        <is>
          <t>YDRE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46322</v>
      </c>
      <c r="F170" t="inlineStr">
        <is>
          <t>ÖSTERGÖTLANDS LÄN</t>
        </is>
      </c>
      <c r="G170" t="inlineStr">
        <is>
          <t>YDRE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45278</v>
      </c>
      <c r="E171" s="1" t="n">
        <v>46322</v>
      </c>
      <c r="F171" t="inlineStr">
        <is>
          <t>ÖSTERGÖTLANDS LÄN</t>
        </is>
      </c>
      <c r="G171" t="inlineStr">
        <is>
          <t>YDRE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46322</v>
      </c>
      <c r="F172" t="inlineStr">
        <is>
          <t>ÖSTERGÖTLANDS LÄN</t>
        </is>
      </c>
      <c r="G172" t="inlineStr">
        <is>
          <t>YDRE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46322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46322</v>
      </c>
      <c r="F174" t="inlineStr">
        <is>
          <t>ÖSTERGÖTLANDS LÄN</t>
        </is>
      </c>
      <c r="G174" t="inlineStr">
        <is>
          <t>YDRE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46322</v>
      </c>
      <c r="F175" t="inlineStr">
        <is>
          <t>ÖSTERGÖTLANDS LÄN</t>
        </is>
      </c>
      <c r="G175" t="inlineStr">
        <is>
          <t>YDRE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62815-2021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44504</v>
      </c>
      <c r="E176" s="1" t="n">
        <v>46322</v>
      </c>
      <c r="F176" t="inlineStr">
        <is>
          <t>ÖSTERGÖTLANDS LÄN</t>
        </is>
      </c>
      <c r="G176" t="inlineStr">
        <is>
          <t>YDRE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46322</v>
      </c>
      <c r="F177" t="inlineStr">
        <is>
          <t>ÖSTERGÖTLANDS LÄN</t>
        </is>
      </c>
      <c r="G177" t="inlineStr">
        <is>
          <t>YDRE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46322</v>
      </c>
      <c r="F178" t="inlineStr">
        <is>
          <t>ÖSTERGÖTLANDS LÄN</t>
        </is>
      </c>
      <c r="G178" t="inlineStr">
        <is>
          <t>YDRE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17309-2024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45414</v>
      </c>
      <c r="E179" s="1" t="n">
        <v>46322</v>
      </c>
      <c r="F179" t="inlineStr">
        <is>
          <t>ÖSTERGÖTLANDS LÄN</t>
        </is>
      </c>
      <c r="G179" t="inlineStr">
        <is>
          <t>YDRE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46322</v>
      </c>
      <c r="F180" t="inlineStr">
        <is>
          <t>ÖSTERGÖTLANDS LÄN</t>
        </is>
      </c>
      <c r="G180" t="inlineStr">
        <is>
          <t>YDRE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46322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46322</v>
      </c>
      <c r="F182" t="inlineStr">
        <is>
          <t>ÖSTERGÖTLANDS LÄN</t>
        </is>
      </c>
      <c r="G182" t="inlineStr">
        <is>
          <t>YDRE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46322</v>
      </c>
      <c r="F183" t="inlineStr">
        <is>
          <t>ÖSTERGÖTLANDS LÄN</t>
        </is>
      </c>
      <c r="G183" t="inlineStr">
        <is>
          <t>YDRE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62244-2025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46006</v>
      </c>
      <c r="E184" s="1" t="n">
        <v>46322</v>
      </c>
      <c r="F184" t="inlineStr">
        <is>
          <t>ÖSTERGÖTLANDS LÄN</t>
        </is>
      </c>
      <c r="G184" t="inlineStr">
        <is>
          <t>YDRE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46202</v>
      </c>
      <c r="E185" s="1" t="n">
        <v>46322</v>
      </c>
      <c r="F185" t="inlineStr">
        <is>
          <t>ÖSTERGÖTLANDS LÄN</t>
        </is>
      </c>
      <c r="G185" t="inlineStr">
        <is>
          <t>YDRE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46322</v>
      </c>
      <c r="F186" t="inlineStr">
        <is>
          <t>ÖSTERGÖTLANDS LÄN</t>
        </is>
      </c>
      <c r="G186" t="inlineStr">
        <is>
          <t>YDRE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46322</v>
      </c>
      <c r="F187" t="inlineStr">
        <is>
          <t>ÖSTERGÖTLANDS LÄN</t>
        </is>
      </c>
      <c r="G187" t="inlineStr">
        <is>
          <t>YDRE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46322</v>
      </c>
      <c r="F188" t="inlineStr">
        <is>
          <t>ÖSTERGÖTLANDS LÄN</t>
        </is>
      </c>
      <c r="G188" t="inlineStr">
        <is>
          <t>YDRE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46006</v>
      </c>
      <c r="E189" s="1" t="n">
        <v>46322</v>
      </c>
      <c r="F189" t="inlineStr">
        <is>
          <t>ÖSTERGÖTLANDS LÄN</t>
        </is>
      </c>
      <c r="G189" t="inlineStr">
        <is>
          <t>YDRE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62485-2021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46322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46322</v>
      </c>
      <c r="F191" t="inlineStr">
        <is>
          <t>ÖSTERGÖTLANDS LÄN</t>
        </is>
      </c>
      <c r="G191" t="inlineStr">
        <is>
          <t>YDRE</t>
        </is>
      </c>
      <c r="H191" t="inlineStr">
        <is>
          <t>Kyrkan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46322</v>
      </c>
      <c r="F192" t="inlineStr">
        <is>
          <t>ÖSTERGÖTLANDS LÄN</t>
        </is>
      </c>
      <c r="G192" t="inlineStr">
        <is>
          <t>YDRE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63536-2025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46322</v>
      </c>
      <c r="F193" t="inlineStr">
        <is>
          <t>ÖSTERGÖTLANDS LÄN</t>
        </is>
      </c>
      <c r="G193" t="inlineStr">
        <is>
          <t>YDRE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46322</v>
      </c>
      <c r="F194" t="inlineStr">
        <is>
          <t>ÖSTERGÖTLANDS LÄN</t>
        </is>
      </c>
      <c r="G194" t="inlineStr">
        <is>
          <t>YDRE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63544-2025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46322</v>
      </c>
      <c r="F195" t="inlineStr">
        <is>
          <t>ÖSTERGÖTLANDS LÄN</t>
        </is>
      </c>
      <c r="G195" t="inlineStr">
        <is>
          <t>YDRE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46322</v>
      </c>
      <c r="F196" t="inlineStr">
        <is>
          <t>ÖSTERGÖTLANDS LÄN</t>
        </is>
      </c>
      <c r="G196" t="inlineStr">
        <is>
          <t>YDRE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46322</v>
      </c>
      <c r="F197" t="inlineStr">
        <is>
          <t>ÖSTERGÖTLANDS LÄN</t>
        </is>
      </c>
      <c r="G197" t="inlineStr">
        <is>
          <t>YDRE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46322</v>
      </c>
      <c r="F198" t="inlineStr">
        <is>
          <t>ÖSTERGÖTLANDS LÄN</t>
        </is>
      </c>
      <c r="G198" t="inlineStr">
        <is>
          <t>YDRE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46322</v>
      </c>
      <c r="F199" t="inlineStr">
        <is>
          <t>ÖSTERGÖTLANDS LÄN</t>
        </is>
      </c>
      <c r="G199" t="inlineStr">
        <is>
          <t>YDRE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42343-2022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46322</v>
      </c>
      <c r="F200" t="inlineStr">
        <is>
          <t>ÖSTERGÖTLANDS LÄN</t>
        </is>
      </c>
      <c r="G200" t="inlineStr">
        <is>
          <t>YDRE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46322</v>
      </c>
      <c r="F201" t="inlineStr">
        <is>
          <t>ÖSTERGÖTLANDS LÄN</t>
        </is>
      </c>
      <c r="G201" t="inlineStr">
        <is>
          <t>YDRE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46322</v>
      </c>
      <c r="F202" t="inlineStr">
        <is>
          <t>ÖSTERGÖTLANDS LÄN</t>
        </is>
      </c>
      <c r="G202" t="inlineStr">
        <is>
          <t>YDRE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27737-2022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46322</v>
      </c>
      <c r="F203" t="inlineStr">
        <is>
          <t>ÖSTERGÖTLANDS LÄN</t>
        </is>
      </c>
      <c r="G203" t="inlineStr">
        <is>
          <t>YDRE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46322</v>
      </c>
      <c r="F204" t="inlineStr">
        <is>
          <t>ÖSTERGÖTLANDS LÄN</t>
        </is>
      </c>
      <c r="G204" t="inlineStr">
        <is>
          <t>YDRE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46322</v>
      </c>
      <c r="F205" t="inlineStr">
        <is>
          <t>ÖSTERGÖTLANDS LÄN</t>
        </is>
      </c>
      <c r="G205" t="inlineStr">
        <is>
          <t>YDRE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46322</v>
      </c>
      <c r="F206" t="inlineStr">
        <is>
          <t>ÖSTERGÖTLANDS LÄN</t>
        </is>
      </c>
      <c r="G206" t="inlineStr">
        <is>
          <t>YDRE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45434</v>
      </c>
      <c r="E207" s="1" t="n">
        <v>46322</v>
      </c>
      <c r="F207" t="inlineStr">
        <is>
          <t>ÖSTERGÖTLANDS LÄN</t>
        </is>
      </c>
      <c r="G207" t="inlineStr">
        <is>
          <t>YDRE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46322</v>
      </c>
      <c r="F208" t="inlineStr">
        <is>
          <t>ÖSTERGÖTLANDS LÄN</t>
        </is>
      </c>
      <c r="G208" t="inlineStr">
        <is>
          <t>YDRE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45510</v>
      </c>
      <c r="E209" s="1" t="n">
        <v>46322</v>
      </c>
      <c r="F209" t="inlineStr">
        <is>
          <t>ÖSTERGÖTLANDS LÄN</t>
        </is>
      </c>
      <c r="G209" t="inlineStr">
        <is>
          <t>YDRE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46322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32635-2025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45838</v>
      </c>
      <c r="E211" s="1" t="n">
        <v>46322</v>
      </c>
      <c r="F211" t="inlineStr">
        <is>
          <t>ÖSTERGÖTLANDS LÄN</t>
        </is>
      </c>
      <c r="G211" t="inlineStr">
        <is>
          <t>YDRE</t>
        </is>
      </c>
      <c r="H211" t="inlineStr">
        <is>
          <t>Övriga Aktiebolag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46322</v>
      </c>
      <c r="F212" t="inlineStr">
        <is>
          <t>ÖSTERGÖTLANDS LÄN</t>
        </is>
      </c>
      <c r="G212" t="inlineStr">
        <is>
          <t>YDRE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46322</v>
      </c>
      <c r="F213" t="inlineStr">
        <is>
          <t>ÖSTERGÖTLANDS LÄN</t>
        </is>
      </c>
      <c r="G213" t="inlineStr">
        <is>
          <t>YDRE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46322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46322</v>
      </c>
      <c r="F215" t="inlineStr">
        <is>
          <t>ÖSTERGÖTLANDS LÄN</t>
        </is>
      </c>
      <c r="G215" t="inlineStr">
        <is>
          <t>YDRE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46322</v>
      </c>
      <c r="F216" t="inlineStr">
        <is>
          <t>ÖSTERGÖTLANDS LÄN</t>
        </is>
      </c>
      <c r="G216" t="inlineStr">
        <is>
          <t>YDRE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46322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46322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46322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46322</v>
      </c>
      <c r="F220" t="inlineStr">
        <is>
          <t>ÖSTERGÖTLANDS LÄN</t>
        </is>
      </c>
      <c r="G220" t="inlineStr">
        <is>
          <t>YDRE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46322</v>
      </c>
      <c r="F221" t="inlineStr">
        <is>
          <t>ÖSTERGÖTLANDS LÄN</t>
        </is>
      </c>
      <c r="G221" t="inlineStr">
        <is>
          <t>YDRE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46322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46322</v>
      </c>
      <c r="F223" t="inlineStr">
        <is>
          <t>ÖSTERGÖTLANDS LÄN</t>
        </is>
      </c>
      <c r="G223" t="inlineStr">
        <is>
          <t>YDRE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46322</v>
      </c>
      <c r="F224" t="inlineStr">
        <is>
          <t>ÖSTERGÖTLANDS LÄN</t>
        </is>
      </c>
      <c r="G224" t="inlineStr">
        <is>
          <t>YDRE</t>
        </is>
      </c>
      <c r="H224" t="inlineStr">
        <is>
          <t>Övriga Aktiebolag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46322</v>
      </c>
      <c r="F225" t="inlineStr">
        <is>
          <t>ÖSTERGÖTLANDS LÄN</t>
        </is>
      </c>
      <c r="G225" t="inlineStr">
        <is>
          <t>YDRE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46322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46322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46322</v>
      </c>
      <c r="F228" t="inlineStr">
        <is>
          <t>ÖSTERGÖTLANDS LÄN</t>
        </is>
      </c>
      <c r="G228" t="inlineStr">
        <is>
          <t>YDRE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44980</v>
      </c>
      <c r="E229" s="1" t="n">
        <v>46322</v>
      </c>
      <c r="F229" t="inlineStr">
        <is>
          <t>ÖSTERGÖTLANDS LÄN</t>
        </is>
      </c>
      <c r="G229" t="inlineStr">
        <is>
          <t>YDRE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46055</v>
      </c>
      <c r="E230" s="1" t="n">
        <v>46322</v>
      </c>
      <c r="F230" t="inlineStr">
        <is>
          <t>ÖSTERGÖTLANDS LÄN</t>
        </is>
      </c>
      <c r="G230" t="inlineStr">
        <is>
          <t>YDRE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45091</v>
      </c>
      <c r="E231" s="1" t="n">
        <v>46322</v>
      </c>
      <c r="F231" t="inlineStr">
        <is>
          <t>ÖSTERGÖTLANDS LÄN</t>
        </is>
      </c>
      <c r="G231" t="inlineStr">
        <is>
          <t>YDRE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46322</v>
      </c>
      <c r="F232" t="inlineStr">
        <is>
          <t>ÖSTERGÖTLANDS LÄN</t>
        </is>
      </c>
      <c r="G232" t="inlineStr">
        <is>
          <t>YDRE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44576</v>
      </c>
      <c r="E233" s="1" t="n">
        <v>46322</v>
      </c>
      <c r="F233" t="inlineStr">
        <is>
          <t>ÖSTERGÖTLANDS LÄN</t>
        </is>
      </c>
      <c r="G233" t="inlineStr">
        <is>
          <t>YDRE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46322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46322</v>
      </c>
      <c r="F235" t="inlineStr">
        <is>
          <t>ÖSTERGÖTLANDS LÄN</t>
        </is>
      </c>
      <c r="G235" t="inlineStr">
        <is>
          <t>YDRE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44635</v>
      </c>
      <c r="E236" s="1" t="n">
        <v>46322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46322</v>
      </c>
      <c r="F237" t="inlineStr">
        <is>
          <t>ÖSTERGÖTLANDS LÄN</t>
        </is>
      </c>
      <c r="G237" t="inlineStr">
        <is>
          <t>YDRE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44789</v>
      </c>
      <c r="E238" s="1" t="n">
        <v>46322</v>
      </c>
      <c r="F238" t="inlineStr">
        <is>
          <t>ÖSTERGÖTLANDS LÄN</t>
        </is>
      </c>
      <c r="G238" t="inlineStr">
        <is>
          <t>YDRE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7619-2026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46322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46322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46322</v>
      </c>
      <c r="F241" t="inlineStr">
        <is>
          <t>ÖSTERGÖTLANDS LÄN</t>
        </is>
      </c>
      <c r="G241" t="inlineStr">
        <is>
          <t>YDRE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46322</v>
      </c>
      <c r="F242" t="inlineStr">
        <is>
          <t>ÖSTERGÖTLANDS LÄN</t>
        </is>
      </c>
      <c r="G242" t="inlineStr">
        <is>
          <t>YDRE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46322</v>
      </c>
      <c r="F243" t="inlineStr">
        <is>
          <t>ÖSTERGÖTLANDS LÄN</t>
        </is>
      </c>
      <c r="G243" t="inlineStr">
        <is>
          <t>YDRE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46322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36711-2023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45153</v>
      </c>
      <c r="E245" s="1" t="n">
        <v>46322</v>
      </c>
      <c r="F245" t="inlineStr">
        <is>
          <t>ÖSTERGÖTLANDS LÄN</t>
        </is>
      </c>
      <c r="G245" t="inlineStr">
        <is>
          <t>YDRE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46322</v>
      </c>
      <c r="F246" t="inlineStr">
        <is>
          <t>ÖSTERGÖTLANDS LÄN</t>
        </is>
      </c>
      <c r="G246" t="inlineStr">
        <is>
          <t>YDRE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46322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46322</v>
      </c>
      <c r="F248" t="inlineStr">
        <is>
          <t>ÖSTERGÖTLANDS LÄN</t>
        </is>
      </c>
      <c r="G248" t="inlineStr">
        <is>
          <t>YDRE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45647</v>
      </c>
      <c r="E249" s="1" t="n">
        <v>46322</v>
      </c>
      <c r="F249" t="inlineStr">
        <is>
          <t>ÖSTERGÖTLANDS LÄN</t>
        </is>
      </c>
      <c r="G249" t="inlineStr">
        <is>
          <t>YDRE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45634</v>
      </c>
      <c r="E250" s="1" t="n">
        <v>46322</v>
      </c>
      <c r="F250" t="inlineStr">
        <is>
          <t>ÖSTERGÖTLANDS LÄN</t>
        </is>
      </c>
      <c r="G250" t="inlineStr">
        <is>
          <t>YDRE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45406</v>
      </c>
      <c r="E251" s="1" t="n">
        <v>46322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46322</v>
      </c>
      <c r="F252" t="inlineStr">
        <is>
          <t>ÖSTERGÖTLANDS LÄN</t>
        </is>
      </c>
      <c r="G252" t="inlineStr">
        <is>
          <t>YDRE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45096</v>
      </c>
      <c r="E253" s="1" t="n">
        <v>46322</v>
      </c>
      <c r="F253" t="inlineStr">
        <is>
          <t>ÖSTERGÖTLANDS LÄN</t>
        </is>
      </c>
      <c r="G253" t="inlineStr">
        <is>
          <t>YDRE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46322</v>
      </c>
      <c r="F254" t="inlineStr">
        <is>
          <t>ÖSTERGÖTLANDS LÄN</t>
        </is>
      </c>
      <c r="G254" t="inlineStr">
        <is>
          <t>YDRE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63242-2023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46322</v>
      </c>
      <c r="F255" t="inlineStr">
        <is>
          <t>ÖSTERGÖTLANDS LÄN</t>
        </is>
      </c>
      <c r="G255" t="inlineStr">
        <is>
          <t>YDRE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44953</v>
      </c>
      <c r="E256" s="1" t="n">
        <v>46322</v>
      </c>
      <c r="F256" t="inlineStr">
        <is>
          <t>ÖSTERGÖTLANDS LÄN</t>
        </is>
      </c>
      <c r="G256" t="inlineStr">
        <is>
          <t>YDRE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44600</v>
      </c>
      <c r="E257" s="1" t="n">
        <v>46322</v>
      </c>
      <c r="F257" t="inlineStr">
        <is>
          <t>ÖSTERGÖTLANDS LÄN</t>
        </is>
      </c>
      <c r="G257" t="inlineStr">
        <is>
          <t>YDRE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56900-2022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44894</v>
      </c>
      <c r="E258" s="1" t="n">
        <v>46322</v>
      </c>
      <c r="F258" t="inlineStr">
        <is>
          <t>ÖSTERGÖTLANDS LÄN</t>
        </is>
      </c>
      <c r="G258" t="inlineStr">
        <is>
          <t>YDRE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46099</v>
      </c>
      <c r="E259" s="1" t="n">
        <v>46322</v>
      </c>
      <c r="F259" t="inlineStr">
        <is>
          <t>ÖSTERGÖTLANDS LÄN</t>
        </is>
      </c>
      <c r="G259" t="inlineStr">
        <is>
          <t>YDRE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46322</v>
      </c>
      <c r="F260" t="inlineStr">
        <is>
          <t>ÖSTERGÖTLANDS LÄN</t>
        </is>
      </c>
      <c r="G260" t="inlineStr">
        <is>
          <t>YDRE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46322</v>
      </c>
      <c r="F261" t="inlineStr">
        <is>
          <t>ÖSTERGÖTLANDS LÄN</t>
        </is>
      </c>
      <c r="G261" t="inlineStr">
        <is>
          <t>YDRE</t>
        </is>
      </c>
      <c r="I261" t="n">
        <v>9.9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46322</v>
      </c>
      <c r="F262" t="inlineStr">
        <is>
          <t>ÖSTERGÖTLANDS LÄN</t>
        </is>
      </c>
      <c r="G262" t="inlineStr">
        <is>
          <t>YDRE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45666</v>
      </c>
      <c r="E263" s="1" t="n">
        <v>46322</v>
      </c>
      <c r="F263" t="inlineStr">
        <is>
          <t>ÖSTERGÖTLANDS LÄN</t>
        </is>
      </c>
      <c r="G263" t="inlineStr">
        <is>
          <t>YDRE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46322</v>
      </c>
      <c r="F264" t="inlineStr">
        <is>
          <t>ÖSTERGÖTLANDS LÄN</t>
        </is>
      </c>
      <c r="G264" t="inlineStr">
        <is>
          <t>YDRE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46322</v>
      </c>
      <c r="F265" t="inlineStr">
        <is>
          <t>ÖSTERGÖTLANDS LÄN</t>
        </is>
      </c>
      <c r="G265" t="inlineStr">
        <is>
          <t>YDRE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9155-2025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45714</v>
      </c>
      <c r="E266" s="1" t="n">
        <v>46322</v>
      </c>
      <c r="F266" t="inlineStr">
        <is>
          <t>ÖSTERGÖTLANDS LÄN</t>
        </is>
      </c>
      <c r="G266" t="inlineStr">
        <is>
          <t>YDRE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46322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45054</v>
      </c>
      <c r="E268" s="1" t="n">
        <v>46322</v>
      </c>
      <c r="F268" t="inlineStr">
        <is>
          <t>ÖSTERGÖTLANDS LÄN</t>
        </is>
      </c>
      <c r="G268" t="inlineStr">
        <is>
          <t>YDRE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46322</v>
      </c>
      <c r="F269" t="inlineStr">
        <is>
          <t>ÖSTERGÖTLANDS LÄN</t>
        </is>
      </c>
      <c r="G269" t="inlineStr">
        <is>
          <t>YDRE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46322</v>
      </c>
      <c r="F270" t="inlineStr">
        <is>
          <t>ÖSTERGÖTLANDS LÄN</t>
        </is>
      </c>
      <c r="G270" t="inlineStr">
        <is>
          <t>YDRE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61942-2021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44502</v>
      </c>
      <c r="E271" s="1" t="n">
        <v>46322</v>
      </c>
      <c r="F271" t="inlineStr">
        <is>
          <t>ÖSTERGÖTLANDS LÄN</t>
        </is>
      </c>
      <c r="G271" t="inlineStr">
        <is>
          <t>YDRE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44965</v>
      </c>
      <c r="E272" s="1" t="n">
        <v>46322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46283</v>
      </c>
      <c r="E273" s="1" t="n">
        <v>46322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46322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46322</v>
      </c>
      <c r="F275" t="inlineStr">
        <is>
          <t>ÖSTERGÖTLANDS LÄN</t>
        </is>
      </c>
      <c r="G275" t="inlineStr">
        <is>
          <t>YDRE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46282</v>
      </c>
      <c r="E276" s="1" t="n">
        <v>46322</v>
      </c>
      <c r="F276" t="inlineStr">
        <is>
          <t>ÖSTERGÖTLANDS LÄN</t>
        </is>
      </c>
      <c r="G276" t="inlineStr">
        <is>
          <t>YDRE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46322</v>
      </c>
      <c r="F277" t="inlineStr">
        <is>
          <t>ÖSTERGÖTLANDS LÄN</t>
        </is>
      </c>
      <c r="G277" t="inlineStr">
        <is>
          <t>YDRE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46322</v>
      </c>
      <c r="F278" t="inlineStr">
        <is>
          <t>ÖSTERGÖTLANDS LÄN</t>
        </is>
      </c>
      <c r="G278" t="inlineStr">
        <is>
          <t>YDRE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46322</v>
      </c>
      <c r="F279" t="inlineStr">
        <is>
          <t>ÖSTERGÖTLANDS LÄN</t>
        </is>
      </c>
      <c r="G279" t="inlineStr">
        <is>
          <t>YDRE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46282</v>
      </c>
      <c r="E280" s="1" t="n">
        <v>46322</v>
      </c>
      <c r="F280" t="inlineStr">
        <is>
          <t>ÖSTERGÖTLANDS LÄN</t>
        </is>
      </c>
      <c r="G280" t="inlineStr">
        <is>
          <t>YDRE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46322</v>
      </c>
      <c r="F281" t="inlineStr">
        <is>
          <t>ÖSTERGÖTLANDS LÄN</t>
        </is>
      </c>
      <c r="G281" t="inlineStr">
        <is>
          <t>YDRE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46322</v>
      </c>
      <c r="F282" t="inlineStr">
        <is>
          <t>ÖSTERGÖTLANDS LÄN</t>
        </is>
      </c>
      <c r="G282" t="inlineStr">
        <is>
          <t>YDRE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45428</v>
      </c>
      <c r="E283" s="1" t="n">
        <v>46322</v>
      </c>
      <c r="F283" t="inlineStr">
        <is>
          <t>ÖSTERGÖTLANDS LÄN</t>
        </is>
      </c>
      <c r="G283" t="inlineStr">
        <is>
          <t>YDRE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46322</v>
      </c>
      <c r="F284" t="inlineStr">
        <is>
          <t>ÖSTERGÖTLANDS LÄN</t>
        </is>
      </c>
      <c r="G284" t="inlineStr">
        <is>
          <t>YDRE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46240</v>
      </c>
      <c r="E285" s="1" t="n">
        <v>46322</v>
      </c>
      <c r="F285" t="inlineStr">
        <is>
          <t>ÖSTERGÖTLANDS LÄN</t>
        </is>
      </c>
      <c r="G285" t="inlineStr">
        <is>
          <t>YDRE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46322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46283</v>
      </c>
      <c r="E287" s="1" t="n">
        <v>46322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46283</v>
      </c>
      <c r="E288" s="1" t="n">
        <v>46322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46282</v>
      </c>
      <c r="E289" s="1" t="n">
        <v>46322</v>
      </c>
      <c r="F289" t="inlineStr">
        <is>
          <t>ÖSTERGÖTLANDS LÄN</t>
        </is>
      </c>
      <c r="G289" t="inlineStr">
        <is>
          <t>YDRE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46240</v>
      </c>
      <c r="E290" s="1" t="n">
        <v>46322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46322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38478-2026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46282</v>
      </c>
      <c r="E292" s="1" t="n">
        <v>46322</v>
      </c>
      <c r="F292" t="inlineStr">
        <is>
          <t>ÖSTERGÖTLANDS LÄN</t>
        </is>
      </c>
      <c r="G292" t="inlineStr">
        <is>
          <t>YDRE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46283</v>
      </c>
      <c r="E293" s="1" t="n">
        <v>46322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45449-2023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45194</v>
      </c>
      <c r="E294" s="1" t="n">
        <v>46322</v>
      </c>
      <c r="F294" t="inlineStr">
        <is>
          <t>ÖSTERGÖTLANDS LÄN</t>
        </is>
      </c>
      <c r="G294" t="inlineStr">
        <is>
          <t>YDRE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45587</v>
      </c>
      <c r="E295" s="1" t="n">
        <v>46322</v>
      </c>
      <c r="F295" t="inlineStr">
        <is>
          <t>ÖSTERGÖTLANDS LÄN</t>
        </is>
      </c>
      <c r="G295" t="inlineStr">
        <is>
          <t>YDRE</t>
        </is>
      </c>
      <c r="H295" t="inlineStr">
        <is>
          <t>Kyrkan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46322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44916</v>
      </c>
      <c r="E297" s="1" t="n">
        <v>46322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46322</v>
      </c>
      <c r="F298" t="inlineStr">
        <is>
          <t>ÖSTERGÖTLANDS LÄN</t>
        </is>
      </c>
      <c r="G298" t="inlineStr">
        <is>
          <t>YDRE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44562</v>
      </c>
      <c r="E299" s="1" t="n">
        <v>46322</v>
      </c>
      <c r="F299" t="inlineStr">
        <is>
          <t>ÖSTERGÖTLANDS LÄN</t>
        </is>
      </c>
      <c r="G299" t="inlineStr">
        <is>
          <t>YDRE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45916</v>
      </c>
      <c r="E300" s="1" t="n">
        <v>46322</v>
      </c>
      <c r="F300" t="inlineStr">
        <is>
          <t>ÖSTERGÖTLANDS LÄN</t>
        </is>
      </c>
      <c r="G300" t="inlineStr">
        <is>
          <t>YDRE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46322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46322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46286</v>
      </c>
      <c r="E303" s="1" t="n">
        <v>46322</v>
      </c>
      <c r="F303" t="inlineStr">
        <is>
          <t>ÖSTERGÖTLANDS LÄN</t>
        </is>
      </c>
      <c r="G303" t="inlineStr">
        <is>
          <t>YDRE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46286</v>
      </c>
      <c r="E304" s="1" t="n">
        <v>46322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46322</v>
      </c>
      <c r="F305" t="inlineStr">
        <is>
          <t>ÖSTERGÖTLANDS LÄN</t>
        </is>
      </c>
      <c r="G305" t="inlineStr">
        <is>
          <t>YDRE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17277-2024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45414</v>
      </c>
      <c r="E306" s="1" t="n">
        <v>46322</v>
      </c>
      <c r="F306" t="inlineStr">
        <is>
          <t>ÖSTERGÖTLANDS LÄN</t>
        </is>
      </c>
      <c r="G306" t="inlineStr">
        <is>
          <t>YDRE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46322</v>
      </c>
      <c r="F307" t="inlineStr">
        <is>
          <t>ÖSTERGÖTLANDS LÄN</t>
        </is>
      </c>
      <c r="G307" t="inlineStr">
        <is>
          <t>YDRE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70448-2021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44536</v>
      </c>
      <c r="E308" s="1" t="n">
        <v>46322</v>
      </c>
      <c r="F308" t="inlineStr">
        <is>
          <t>ÖSTERGÖTLANDS LÄN</t>
        </is>
      </c>
      <c r="G308" t="inlineStr">
        <is>
          <t>YDRE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46322</v>
      </c>
      <c r="F309" t="inlineStr">
        <is>
          <t>ÖSTERGÖTLANDS LÄN</t>
        </is>
      </c>
      <c r="G309" t="inlineStr">
        <is>
          <t>YDRE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43335-2025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46322</v>
      </c>
      <c r="F310" t="inlineStr">
        <is>
          <t>ÖSTERGÖTLANDS LÄN</t>
        </is>
      </c>
      <c r="G310" t="inlineStr">
        <is>
          <t>YDRE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46322</v>
      </c>
      <c r="F311" t="inlineStr">
        <is>
          <t>ÖSTERGÖTLANDS LÄN</t>
        </is>
      </c>
      <c r="G311" t="inlineStr">
        <is>
          <t>YDRE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45871</v>
      </c>
      <c r="E312" s="1" t="n">
        <v>46322</v>
      </c>
      <c r="F312" t="inlineStr">
        <is>
          <t>ÖSTERGÖTLANDS LÄN</t>
        </is>
      </c>
      <c r="G312" t="inlineStr">
        <is>
          <t>YDRE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46322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46322</v>
      </c>
      <c r="F314" t="inlineStr">
        <is>
          <t>ÖSTERGÖTLANDS LÄN</t>
        </is>
      </c>
      <c r="G314" t="inlineStr">
        <is>
          <t>YDRE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44908</v>
      </c>
      <c r="E315" s="1" t="n">
        <v>46322</v>
      </c>
      <c r="F315" t="inlineStr">
        <is>
          <t>ÖSTERGÖTLANDS LÄN</t>
        </is>
      </c>
      <c r="G315" t="inlineStr">
        <is>
          <t>YDRE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46322</v>
      </c>
      <c r="F316" t="inlineStr">
        <is>
          <t>ÖSTERGÖTLANDS LÄN</t>
        </is>
      </c>
      <c r="G316" t="inlineStr">
        <is>
          <t>YDRE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45793</v>
      </c>
      <c r="E317" s="1" t="n">
        <v>46322</v>
      </c>
      <c r="F317" t="inlineStr">
        <is>
          <t>ÖSTERGÖTLANDS LÄN</t>
        </is>
      </c>
      <c r="G317" t="inlineStr">
        <is>
          <t>YDRE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45246</v>
      </c>
      <c r="E318" s="1" t="n">
        <v>46322</v>
      </c>
      <c r="F318" t="inlineStr">
        <is>
          <t>ÖSTERGÖTLANDS LÄN</t>
        </is>
      </c>
      <c r="G318" t="inlineStr">
        <is>
          <t>YDRE</t>
        </is>
      </c>
      <c r="H318" t="inlineStr">
        <is>
          <t>Sveaskog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33589-2025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46322</v>
      </c>
      <c r="F319" t="inlineStr">
        <is>
          <t>ÖSTERGÖTLANDS LÄN</t>
        </is>
      </c>
      <c r="G319" t="inlineStr">
        <is>
          <t>YDRE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10699-2022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46322</v>
      </c>
      <c r="F320" t="inlineStr">
        <is>
          <t>ÖSTERGÖTLANDS LÄN</t>
        </is>
      </c>
      <c r="G320" t="inlineStr">
        <is>
          <t>YDRE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46322</v>
      </c>
      <c r="F321" t="inlineStr">
        <is>
          <t>ÖSTERGÖTLANDS LÄN</t>
        </is>
      </c>
      <c r="G321" t="inlineStr">
        <is>
          <t>YDRE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46322</v>
      </c>
      <c r="F322" t="inlineStr">
        <is>
          <t>ÖSTERGÖTLANDS LÄN</t>
        </is>
      </c>
      <c r="G322" t="inlineStr">
        <is>
          <t>YDRE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46322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44994</v>
      </c>
      <c r="E324" s="1" t="n">
        <v>46322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46322</v>
      </c>
      <c r="F325" t="inlineStr">
        <is>
          <t>ÖSTERGÖTLANDS LÄN</t>
        </is>
      </c>
      <c r="G325" t="inlineStr">
        <is>
          <t>YDRE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46322</v>
      </c>
      <c r="F326" t="inlineStr">
        <is>
          <t>ÖSTERGÖTLANDS LÄN</t>
        </is>
      </c>
      <c r="G326" t="inlineStr">
        <is>
          <t>YDRE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11185-2024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46322</v>
      </c>
      <c r="F327" t="inlineStr">
        <is>
          <t>ÖSTERGÖTLANDS LÄN</t>
        </is>
      </c>
      <c r="G327" t="inlineStr">
        <is>
          <t>YDRE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46322</v>
      </c>
      <c r="F328" t="inlineStr">
        <is>
          <t>ÖSTERGÖTLANDS LÄN</t>
        </is>
      </c>
      <c r="G328" t="inlineStr">
        <is>
          <t>YDRE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46322</v>
      </c>
      <c r="F329" t="inlineStr">
        <is>
          <t>ÖSTERGÖTLANDS LÄN</t>
        </is>
      </c>
      <c r="G329" t="inlineStr">
        <is>
          <t>YDRE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21070-2026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46322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46322</v>
      </c>
      <c r="F331" t="inlineStr">
        <is>
          <t>ÖSTERGÖTLANDS LÄN</t>
        </is>
      </c>
      <c r="G331" t="inlineStr">
        <is>
          <t>YDRE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46322</v>
      </c>
      <c r="F332" t="inlineStr">
        <is>
          <t>ÖSTERGÖTLANDS LÄN</t>
        </is>
      </c>
      <c r="G332" t="inlineStr">
        <is>
          <t>YDRE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46290</v>
      </c>
      <c r="E333" s="1" t="n">
        <v>46322</v>
      </c>
      <c r="F333" t="inlineStr">
        <is>
          <t>ÖSTERGÖTLANDS LÄN</t>
        </is>
      </c>
      <c r="G333" t="inlineStr">
        <is>
          <t>YDRE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46322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46322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22312-2026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46154</v>
      </c>
      <c r="E336" s="1" t="n">
        <v>46322</v>
      </c>
      <c r="F336" t="inlineStr">
        <is>
          <t>ÖSTERGÖTLANDS LÄN</t>
        </is>
      </c>
      <c r="G336" t="inlineStr">
        <is>
          <t>YDRE</t>
        </is>
      </c>
      <c r="H336" t="inlineStr">
        <is>
          <t>Övriga Aktiebolag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46322</v>
      </c>
      <c r="F337" t="inlineStr">
        <is>
          <t>ÖSTERGÖTLANDS LÄN</t>
        </is>
      </c>
      <c r="G337" t="inlineStr">
        <is>
          <t>YDRE</t>
        </is>
      </c>
      <c r="H337" t="inlineStr">
        <is>
          <t>Övriga Aktiebolag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46322</v>
      </c>
      <c r="F338" t="inlineStr">
        <is>
          <t>ÖSTERGÖTLANDS LÄN</t>
        </is>
      </c>
      <c r="G338" t="inlineStr">
        <is>
          <t>YDRE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45583</v>
      </c>
      <c r="E339" s="1" t="n">
        <v>46322</v>
      </c>
      <c r="F339" t="inlineStr">
        <is>
          <t>ÖSTERGÖTLANDS LÄN</t>
        </is>
      </c>
      <c r="G339" t="inlineStr">
        <is>
          <t>YDRE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46322</v>
      </c>
      <c r="F340" t="inlineStr">
        <is>
          <t>ÖSTERGÖTLANDS LÄN</t>
        </is>
      </c>
      <c r="G340" t="inlineStr">
        <is>
          <t>YDRE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45595</v>
      </c>
      <c r="E341" s="1" t="n">
        <v>46322</v>
      </c>
      <c r="F341" t="inlineStr">
        <is>
          <t>ÖSTERGÖTLANDS LÄN</t>
        </is>
      </c>
      <c r="G341" t="inlineStr">
        <is>
          <t>YDRE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2745-2026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46038</v>
      </c>
      <c r="E342" s="1" t="n">
        <v>46322</v>
      </c>
      <c r="F342" t="inlineStr">
        <is>
          <t>ÖSTERGÖTLANDS LÄN</t>
        </is>
      </c>
      <c r="G342" t="inlineStr">
        <is>
          <t>YDRE</t>
        </is>
      </c>
      <c r="H342" t="inlineStr">
        <is>
          <t>Övriga Aktiebolag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46322</v>
      </c>
      <c r="F343" t="inlineStr">
        <is>
          <t>ÖSTERGÖTLANDS LÄN</t>
        </is>
      </c>
      <c r="G343" t="inlineStr">
        <is>
          <t>YDRE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46322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46322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24780-2026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46171</v>
      </c>
      <c r="E346" s="1" t="n">
        <v>46322</v>
      </c>
      <c r="F346" t="inlineStr">
        <is>
          <t>ÖSTERGÖTLANDS LÄN</t>
        </is>
      </c>
      <c r="G346" t="inlineStr">
        <is>
          <t>YDRE</t>
        </is>
      </c>
      <c r="H346" t="inlineStr">
        <is>
          <t>Övriga Aktiebolag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61636-2021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44501</v>
      </c>
      <c r="E347" s="1" t="n">
        <v>46322</v>
      </c>
      <c r="F347" t="inlineStr">
        <is>
          <t>ÖSTERGÖTLANDS LÄN</t>
        </is>
      </c>
      <c r="G347" t="inlineStr">
        <is>
          <t>YDRE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46322</v>
      </c>
      <c r="F348" t="inlineStr">
        <is>
          <t>ÖSTERGÖTLANDS LÄN</t>
        </is>
      </c>
      <c r="G348" t="inlineStr">
        <is>
          <t>YDRE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45335</v>
      </c>
      <c r="E349" s="1" t="n">
        <v>46322</v>
      </c>
      <c r="F349" t="inlineStr">
        <is>
          <t>ÖSTERGÖTLANDS LÄN</t>
        </is>
      </c>
      <c r="G349" t="inlineStr">
        <is>
          <t>YDRE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45575</v>
      </c>
      <c r="E350" s="1" t="n">
        <v>46322</v>
      </c>
      <c r="F350" t="inlineStr">
        <is>
          <t>ÖSTERGÖTLANDS LÄN</t>
        </is>
      </c>
      <c r="G350" t="inlineStr">
        <is>
          <t>YDRE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46177</v>
      </c>
      <c r="E351" s="1" t="n">
        <v>46322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44874</v>
      </c>
      <c r="E352" s="1" t="n">
        <v>46322</v>
      </c>
      <c r="F352" t="inlineStr">
        <is>
          <t>ÖSTERGÖTLANDS LÄN</t>
        </is>
      </c>
      <c r="G352" t="inlineStr">
        <is>
          <t>YDRE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46183</v>
      </c>
      <c r="E353" s="1" t="n">
        <v>46322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46322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46258</v>
      </c>
      <c r="E355" s="1" t="n">
        <v>46322</v>
      </c>
      <c r="F355" t="inlineStr">
        <is>
          <t>ÖSTERGÖTLANDS LÄN</t>
        </is>
      </c>
      <c r="G355" t="inlineStr">
        <is>
          <t>YDRE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46322</v>
      </c>
      <c r="F356" t="inlineStr">
        <is>
          <t>ÖSTERGÖTLANDS LÄN</t>
        </is>
      </c>
      <c r="G356" t="inlineStr">
        <is>
          <t>YDRE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46322</v>
      </c>
      <c r="F357" t="inlineStr">
        <is>
          <t>ÖSTERGÖTLANDS LÄN</t>
        </is>
      </c>
      <c r="G357" t="inlineStr">
        <is>
          <t>YDRE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46303</v>
      </c>
      <c r="E358" s="1" t="n">
        <v>46322</v>
      </c>
      <c r="F358" t="inlineStr">
        <is>
          <t>ÖSTERGÖTLANDS LÄN</t>
        </is>
      </c>
      <c r="G358" t="inlineStr">
        <is>
          <t>YDRE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46303</v>
      </c>
      <c r="E359" s="1" t="n">
        <v>46322</v>
      </c>
      <c r="F359" t="inlineStr">
        <is>
          <t>ÖSTERGÖTLANDS LÄN</t>
        </is>
      </c>
      <c r="G359" t="inlineStr">
        <is>
          <t>YDRE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61753-2024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45649</v>
      </c>
      <c r="E360" s="1" t="n">
        <v>46322</v>
      </c>
      <c r="F360" t="inlineStr">
        <is>
          <t>ÖSTERGÖTLANDS LÄN</t>
        </is>
      </c>
      <c r="G360" t="inlineStr">
        <is>
          <t>YDRE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46322</v>
      </c>
      <c r="F361" t="inlineStr">
        <is>
          <t>ÖSTERGÖTLANDS LÄN</t>
        </is>
      </c>
      <c r="G361" t="inlineStr">
        <is>
          <t>YDRE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45460</v>
      </c>
      <c r="E362" s="1" t="n">
        <v>46322</v>
      </c>
      <c r="F362" t="inlineStr">
        <is>
          <t>ÖSTERGÖTLANDS LÄN</t>
        </is>
      </c>
      <c r="G362" t="inlineStr">
        <is>
          <t>YDRE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45580</v>
      </c>
      <c r="E363" s="1" t="n">
        <v>46322</v>
      </c>
      <c r="F363" t="inlineStr">
        <is>
          <t>ÖSTERGÖTLANDS LÄN</t>
        </is>
      </c>
      <c r="G363" t="inlineStr">
        <is>
          <t>YDRE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40676-2023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46322</v>
      </c>
      <c r="F364" t="inlineStr">
        <is>
          <t>ÖSTERGÖTLANDS LÄN</t>
        </is>
      </c>
      <c r="G364" t="inlineStr">
        <is>
          <t>YDRE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46322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46304</v>
      </c>
      <c r="E366" s="1" t="n">
        <v>46322</v>
      </c>
      <c r="F366" t="inlineStr">
        <is>
          <t>ÖSTERGÖTLANDS LÄN</t>
        </is>
      </c>
      <c r="G366" t="inlineStr">
        <is>
          <t>YDRE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45664</v>
      </c>
      <c r="E367" s="1" t="n">
        <v>46322</v>
      </c>
      <c r="F367" t="inlineStr">
        <is>
          <t>ÖSTERGÖTLANDS LÄN</t>
        </is>
      </c>
      <c r="G367" t="inlineStr">
        <is>
          <t>YDRE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45436</v>
      </c>
      <c r="E368" s="1" t="n">
        <v>46322</v>
      </c>
      <c r="F368" t="inlineStr">
        <is>
          <t>ÖSTERGÖTLANDS LÄN</t>
        </is>
      </c>
      <c r="G368" t="inlineStr">
        <is>
          <t>YDRE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46304</v>
      </c>
      <c r="E369" s="1" t="n">
        <v>46322</v>
      </c>
      <c r="F369" t="inlineStr">
        <is>
          <t>ÖSTERGÖTLANDS LÄN</t>
        </is>
      </c>
      <c r="G369" t="inlineStr">
        <is>
          <t>YDRE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46308</v>
      </c>
      <c r="E370" s="1" t="n">
        <v>46322</v>
      </c>
      <c r="F370" t="inlineStr">
        <is>
          <t>ÖSTERGÖTLANDS LÄN</t>
        </is>
      </c>
      <c r="G370" t="inlineStr">
        <is>
          <t>YDRE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68983-2021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44530</v>
      </c>
      <c r="E371" s="1" t="n">
        <v>46322</v>
      </c>
      <c r="F371" t="inlineStr">
        <is>
          <t>ÖSTERGÖTLANDS LÄN</t>
        </is>
      </c>
      <c r="G371" t="inlineStr">
        <is>
          <t>YDRE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45261</v>
      </c>
      <c r="E372" s="1" t="n">
        <v>46322</v>
      </c>
      <c r="F372" t="inlineStr">
        <is>
          <t>ÖSTERGÖTLANDS LÄN</t>
        </is>
      </c>
      <c r="G372" t="inlineStr">
        <is>
          <t>YDRE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45649</v>
      </c>
      <c r="E373" s="1" t="n">
        <v>46322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45398</v>
      </c>
      <c r="E374" s="1" t="n">
        <v>46322</v>
      </c>
      <c r="F374" t="inlineStr">
        <is>
          <t>ÖSTERGÖTLANDS LÄN</t>
        </is>
      </c>
      <c r="G374" t="inlineStr">
        <is>
          <t>YDRE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10402-2023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44987</v>
      </c>
      <c r="E375" s="1" t="n">
        <v>46322</v>
      </c>
      <c r="F375" t="inlineStr">
        <is>
          <t>ÖSTERGÖTLANDS LÄN</t>
        </is>
      </c>
      <c r="G375" t="inlineStr">
        <is>
          <t>YDRE</t>
        </is>
      </c>
      <c r="I375" t="n">
        <v>10.2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46322</v>
      </c>
      <c r="F376" t="inlineStr">
        <is>
          <t>ÖSTERGÖTLANDS LÄN</t>
        </is>
      </c>
      <c r="G376" t="inlineStr">
        <is>
          <t>YDRE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45758</v>
      </c>
      <c r="E377" s="1" t="n">
        <v>46322</v>
      </c>
      <c r="F377" t="inlineStr">
        <is>
          <t>ÖSTERGÖTLANDS LÄN</t>
        </is>
      </c>
      <c r="G377" t="inlineStr">
        <is>
          <t>YDRE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46322</v>
      </c>
      <c r="F378" t="inlineStr">
        <is>
          <t>ÖSTERGÖTLANDS LÄN</t>
        </is>
      </c>
      <c r="G378" t="inlineStr">
        <is>
          <t>YDRE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46322</v>
      </c>
      <c r="F379" t="inlineStr">
        <is>
          <t>ÖSTERGÖTLANDS LÄN</t>
        </is>
      </c>
      <c r="G379" t="inlineStr">
        <is>
          <t>YDRE</t>
        </is>
      </c>
      <c r="H379" t="inlineStr">
        <is>
          <t>Kyrkan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59589-2024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45638</v>
      </c>
      <c r="E380" s="1" t="n">
        <v>46322</v>
      </c>
      <c r="F380" t="inlineStr">
        <is>
          <t>ÖSTERGÖTLANDS LÄN</t>
        </is>
      </c>
      <c r="G380" t="inlineStr">
        <is>
          <t>YDRE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46310</v>
      </c>
      <c r="E381" s="1" t="n">
        <v>46322</v>
      </c>
      <c r="F381" t="inlineStr">
        <is>
          <t>ÖSTERGÖTLANDS LÄN</t>
        </is>
      </c>
      <c r="G381" t="inlineStr">
        <is>
          <t>YDRE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17301-2024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46322</v>
      </c>
      <c r="F382" t="inlineStr">
        <is>
          <t>ÖSTERGÖTLANDS LÄN</t>
        </is>
      </c>
      <c r="G382" t="inlineStr">
        <is>
          <t>YDRE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45334</v>
      </c>
      <c r="E383" s="1" t="n">
        <v>46322</v>
      </c>
      <c r="F383" t="inlineStr">
        <is>
          <t>ÖSTERGÖTLANDS LÄN</t>
        </is>
      </c>
      <c r="G383" t="inlineStr">
        <is>
          <t>YDRE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44816</v>
      </c>
      <c r="E384" s="1" t="n">
        <v>46322</v>
      </c>
      <c r="F384" t="inlineStr">
        <is>
          <t>ÖSTERGÖTLANDS LÄN</t>
        </is>
      </c>
      <c r="G384" t="inlineStr">
        <is>
          <t>YDRE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45016</v>
      </c>
      <c r="E385" s="1" t="n">
        <v>46322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46269</v>
      </c>
      <c r="E386" s="1" t="n">
        <v>46322</v>
      </c>
      <c r="F386" t="inlineStr">
        <is>
          <t>ÖSTERGÖTLANDS LÄN</t>
        </is>
      </c>
      <c r="G386" t="inlineStr">
        <is>
          <t>YDRE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44655</v>
      </c>
      <c r="E387" s="1" t="n">
        <v>46322</v>
      </c>
      <c r="F387" t="inlineStr">
        <is>
          <t>ÖSTERGÖTLANDS LÄN</t>
        </is>
      </c>
      <c r="G387" t="inlineStr">
        <is>
          <t>YDRE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46269</v>
      </c>
      <c r="E388" s="1" t="n">
        <v>46322</v>
      </c>
      <c r="F388" t="inlineStr">
        <is>
          <t>ÖSTERGÖTLANDS LÄN</t>
        </is>
      </c>
      <c r="G388" t="inlineStr">
        <is>
          <t>YDRE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46322</v>
      </c>
      <c r="F389" t="inlineStr">
        <is>
          <t>ÖSTERGÖTLANDS LÄN</t>
        </is>
      </c>
      <c r="G389" t="inlineStr">
        <is>
          <t>YDRE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46322</v>
      </c>
      <c r="F390" t="inlineStr">
        <is>
          <t>ÖSTERGÖTLANDS LÄN</t>
        </is>
      </c>
      <c r="G390" t="inlineStr">
        <is>
          <t>YDRE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46322</v>
      </c>
      <c r="F391" t="inlineStr">
        <is>
          <t>ÖSTERGÖTLANDS LÄN</t>
        </is>
      </c>
      <c r="G391" t="inlineStr">
        <is>
          <t>YDRE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46317</v>
      </c>
      <c r="E392" s="1" t="n">
        <v>46322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46321</v>
      </c>
      <c r="E393" s="1" t="n">
        <v>46322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44097-2026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46314</v>
      </c>
      <c r="E394" s="1" t="n">
        <v>46322</v>
      </c>
      <c r="F394" t="inlineStr">
        <is>
          <t>ÖSTERGÖTLANDS LÄN</t>
        </is>
      </c>
      <c r="G394" t="inlineStr">
        <is>
          <t>YDRE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37342-2026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46275</v>
      </c>
      <c r="E395" s="1" t="n">
        <v>46322</v>
      </c>
      <c r="F395" t="inlineStr">
        <is>
          <t>ÖSTERGÖTLANDS LÄN</t>
        </is>
      </c>
      <c r="G395" t="inlineStr">
        <is>
          <t>YDRE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416-2022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44585</v>
      </c>
      <c r="E396" s="1" t="n">
        <v>46322</v>
      </c>
      <c r="F396" t="inlineStr">
        <is>
          <t>ÖSTERGÖTLANDS LÄN</t>
        </is>
      </c>
      <c r="G396" t="inlineStr">
        <is>
          <t>YDRE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2053-2025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45839</v>
      </c>
      <c r="E397" s="1" t="n">
        <v>46322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2604-2025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45916</v>
      </c>
      <c r="E398" s="1" t="n">
        <v>46322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3063-2025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45964</v>
      </c>
      <c r="E399" s="1" t="n">
        <v>46322</v>
      </c>
      <c r="F399" t="inlineStr">
        <is>
          <t>ÖSTERGÖTLANDS LÄN</t>
        </is>
      </c>
      <c r="G399" t="inlineStr">
        <is>
          <t>YDRE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384-2026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46066</v>
      </c>
      <c r="E400" s="1" t="n">
        <v>46322</v>
      </c>
      <c r="F400" t="inlineStr">
        <is>
          <t>ÖSTERGÖTLANDS LÄN</t>
        </is>
      </c>
      <c r="G400" t="inlineStr">
        <is>
          <t>YDRE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2485-2026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46287</v>
      </c>
      <c r="E401" s="1" t="n">
        <v>46322</v>
      </c>
      <c r="F401" t="inlineStr">
        <is>
          <t>ÖSTERGÖTLANDS LÄN</t>
        </is>
      </c>
      <c r="G401" t="inlineStr">
        <is>
          <t>YDRE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2026-10-27T03:10:41Z</dcterms:created>
  <dcterms:modified xmlns:dcterms="http://purl.org/dc/terms/" xmlns:xsi="http://www.w3.org/2001/XMLSchema-instance" xsi:type="dcterms:W3CDTF">2026-10-27T03:10:42Z</dcterms:modified>
</cp:coreProperties>
</file>