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46270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46270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46270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46270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46270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46270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46270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46270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46270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46270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46270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46270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46270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46270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46270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46270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46270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46270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46270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46270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46270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46270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46270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46270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46270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4248-2026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46270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HYPERLINK("https://klasma.github.io/Logging_0512/artfynd/A 4248-2026 artfynd.xlsx", "A 4248-2026")</f>
        <v/>
      </c>
      <c r="X29">
        <f>HYPERLINK("https://klasma.github.io/Logging_0512/kartor/A 4248-2026 karta.png", "A 4248-2026")</f>
        <v/>
      </c>
      <c r="Y29">
        <f>HYPERLINK("https://klasma.github.io/Logging_0512/kartor_geotiff/A 4248-2026 georefererad karta.tif", "A 4248-2026")</f>
        <v/>
      </c>
      <c r="AA29">
        <f>HYPERLINK("https://klasma.github.io/Logging_0512/klagomål/A 4248-2026 FSC-klagomål.docx", "A 4248-2026")</f>
        <v/>
      </c>
      <c r="AB29">
        <f>HYPERLINK("https://klasma.github.io/Logging_0512/klagomålsmail/A 4248-2026 FSC-klagomål mail.docx", "A 4248-2026")</f>
        <v/>
      </c>
      <c r="AC29">
        <f>HYPERLINK("https://klasma.github.io/Logging_0512/tillsyn/A 4248-2026 tillsynsbegäran.docx", "A 4248-2026")</f>
        <v/>
      </c>
      <c r="AD29">
        <f>HYPERLINK("https://klasma.github.io/Logging_0512/tillsynsmail/A 4248-2026 tillsynsbegäran mail.docx", "A 4248-2026")</f>
        <v/>
      </c>
      <c r="AE29">
        <f>HYPERLINK("https://klasma.github.io/Logging_0512/fåglar/A 4248-2026 prioriterade fågelarter.docx", "A 4248-2026")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46270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54075-2025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45964</v>
      </c>
      <c r="E31" s="1" t="n">
        <v>46270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54075-2025 artfynd.xlsx", "A 54075-2025")</f>
        <v/>
      </c>
      <c r="X31">
        <f>HYPERLINK("https://klasma.github.io/Logging_0512/kartor/A 54075-2025 karta.png", "A 54075-2025")</f>
        <v/>
      </c>
      <c r="Y31">
        <f>HYPERLINK("https://klasma.github.io/Logging_0512/kartor_geotiff/A 54075-2025 georefererad karta.tif", "A 54075-2025")</f>
        <v/>
      </c>
      <c r="AA31">
        <f>HYPERLINK("https://klasma.github.io/Logging_0512/klagomål/A 54075-2025 FSC-klagomål.docx", "A 54075-2025")</f>
        <v/>
      </c>
      <c r="AB31">
        <f>HYPERLINK("https://klasma.github.io/Logging_0512/klagomålsmail/A 54075-2025 FSC-klagomål mail.docx", "A 54075-2025")</f>
        <v/>
      </c>
      <c r="AC31">
        <f>HYPERLINK("https://klasma.github.io/Logging_0512/tillsyn/A 54075-2025 tillsynsbegäran.docx", "A 54075-2025")</f>
        <v/>
      </c>
      <c r="AD31">
        <f>HYPERLINK("https://klasma.github.io/Logging_0512/tillsynsmail/A 54075-2025 tillsynsbegäran mail.docx", "A 54075-2025")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46270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46270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46270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46270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Mosippa</t>
        </is>
      </c>
      <c r="W35">
        <f>HYPERLINK("https://klasma.github.io/Logging_0512/artfynd/A 53049-2024 artfynd.xlsx", "A 53049-2024")</f>
        <v/>
      </c>
      <c r="X35">
        <f>HYPERLINK("https://klasma.github.io/Logging_0512/kartor/A 53049-2024 karta.png", "A 53049-2024")</f>
        <v/>
      </c>
      <c r="Y35">
        <f>HYPERLINK("https://klasma.github.io/Logging_0512/kartor_geotiff/A 53049-2024 georefererad karta.tif", "A 53049-2024")</f>
        <v/>
      </c>
      <c r="AA35">
        <f>HYPERLINK("https://klasma.github.io/Logging_0512/klagomål/A 53049-2024 FSC-klagomål.docx", "A 53049-2024")</f>
        <v/>
      </c>
      <c r="AB35">
        <f>HYPERLINK("https://klasma.github.io/Logging_0512/klagomålsmail/A 53049-2024 FSC-klagomål mail.docx", "A 53049-2024")</f>
        <v/>
      </c>
      <c r="AC35">
        <f>HYPERLINK("https://klasma.github.io/Logging_0512/tillsyn/A 53049-2024 tillsynsbegäran.docx", "A 53049-2024")</f>
        <v/>
      </c>
      <c r="AD35">
        <f>HYPERLINK("https://klasma.github.io/Logging_0512/tillsynsmail/A 53049-2024 tillsynsbegäran mail.docx", "A 53049-2024")</f>
        <v/>
      </c>
    </row>
    <row r="36" ht="15" customHeight="1">
      <c r="A36" t="inlineStr">
        <is>
          <t>A 11273-2024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45371</v>
      </c>
      <c r="E36" s="1" t="n">
        <v>46270</v>
      </c>
      <c r="F36" t="inlineStr">
        <is>
          <t>ÖSTERGÖTLANDS LÄN</t>
        </is>
      </c>
      <c r="G36" t="inlineStr">
        <is>
          <t>YDRE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Lungrot</t>
        </is>
      </c>
      <c r="W36">
        <f>HYPERLINK("https://klasma.github.io/Logging_0512/artfynd/A 11273-2024 artfynd.xlsx", "A 11273-2024")</f>
        <v/>
      </c>
      <c r="X36">
        <f>HYPERLINK("https://klasma.github.io/Logging_0512/kartor/A 11273-2024 karta.png", "A 11273-2024")</f>
        <v/>
      </c>
      <c r="Y36">
        <f>HYPERLINK("https://klasma.github.io/Logging_0512/kartor_geotiff/A 11273-2024 georefererad karta.tif", "A 11273-2024")</f>
        <v/>
      </c>
      <c r="AA36">
        <f>HYPERLINK("https://klasma.github.io/Logging_0512/klagomål/A 11273-2024 FSC-klagomål.docx", "A 11273-2024")</f>
        <v/>
      </c>
      <c r="AB36">
        <f>HYPERLINK("https://klasma.github.io/Logging_0512/klagomålsmail/A 11273-2024 FSC-klagomål mail.docx", "A 11273-2024")</f>
        <v/>
      </c>
      <c r="AC36">
        <f>HYPERLINK("https://klasma.github.io/Logging_0512/tillsyn/A 11273-2024 tillsynsbegäran.docx", "A 11273-2024")</f>
        <v/>
      </c>
      <c r="AD36">
        <f>HYPERLINK("https://klasma.github.io/Logging_0512/tillsynsmail/A 11273-2024 tillsynsbegäran mail.docx", "A 11273-2024")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46270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46270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46270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45765-2025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46270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HYPERLINK("https://klasma.github.io/Logging_0512/artfynd/A 45765-2025 artfynd.xlsx", "A 45765-2025")</f>
        <v/>
      </c>
      <c r="X40">
        <f>HYPERLINK("https://klasma.github.io/Logging_0512/kartor/A 45765-2025 karta.png", "A 45765-2025")</f>
        <v/>
      </c>
      <c r="Y40">
        <f>HYPERLINK("https://klasma.github.io/Logging_0512/kartor_geotiff/A 45765-2025 georefererad karta.tif", "A 45765-2025")</f>
        <v/>
      </c>
      <c r="AA40">
        <f>HYPERLINK("https://klasma.github.io/Logging_0512/klagomål/A 45765-2025 FSC-klagomål.docx", "A 45765-2025")</f>
        <v/>
      </c>
      <c r="AB40">
        <f>HYPERLINK("https://klasma.github.io/Logging_0512/klagomålsmail/A 45765-2025 FSC-klagomål mail.docx", "A 45765-2025")</f>
        <v/>
      </c>
      <c r="AC40">
        <f>HYPERLINK("https://klasma.github.io/Logging_0512/tillsyn/A 45765-2025 tillsynsbegäran.docx", "A 45765-2025")</f>
        <v/>
      </c>
      <c r="AD40">
        <f>HYPERLINK("https://klasma.github.io/Logging_0512/tillsynsmail/A 45765-2025 tillsynsbegäran mail.docx", "A 45765-2025")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46270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46270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47467-2021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44447</v>
      </c>
      <c r="E43" s="1" t="n">
        <v>46270</v>
      </c>
      <c r="F43" t="inlineStr">
        <is>
          <t>ÖSTERGÖTLANDS LÄN</t>
        </is>
      </c>
      <c r="G43" t="inlineStr">
        <is>
          <t>YDRE</t>
        </is>
      </c>
      <c r="H43" t="inlineStr">
        <is>
          <t>Sveaskog</t>
        </is>
      </c>
      <c r="I43" t="n">
        <v>1.8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HYPERLINK("https://klasma.github.io/Logging_0512/artfynd/A 47467-2021 artfynd.xlsx", "A 47467-2021")</f>
        <v/>
      </c>
      <c r="X43">
        <f>HYPERLINK("https://klasma.github.io/Logging_0512/kartor/A 47467-2021 karta.png", "A 47467-2021")</f>
        <v/>
      </c>
      <c r="Y43">
        <f>HYPERLINK("https://klasma.github.io/Logging_0512/kartor_geotiff/A 47467-2021 georefererad karta.tif", "A 47467-2021")</f>
        <v/>
      </c>
      <c r="AA43">
        <f>HYPERLINK("https://klasma.github.io/Logging_0512/klagomål/A 47467-2021 FSC-klagomål.docx", "A 47467-2021")</f>
        <v/>
      </c>
      <c r="AB43">
        <f>HYPERLINK("https://klasma.github.io/Logging_0512/klagomålsmail/A 47467-2021 FSC-klagomål mail.docx", "A 47467-2021")</f>
        <v/>
      </c>
      <c r="AC43">
        <f>HYPERLINK("https://klasma.github.io/Logging_0512/tillsyn/A 47467-2021 tillsynsbegäran.docx", "A 47467-2021")</f>
        <v/>
      </c>
      <c r="AD43">
        <f>HYPERLINK("https://klasma.github.io/Logging_0512/tillsynsmail/A 47467-2021 tillsynsbegäran mail.docx", "A 47467-2021")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46270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46270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46270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46270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46270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46270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46270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46270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46270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46270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46270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46270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46270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46270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46270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46270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46270</v>
      </c>
      <c r="F60" t="inlineStr">
        <is>
          <t>ÖSTERGÖTLANDS LÄN</t>
        </is>
      </c>
      <c r="G60" t="inlineStr">
        <is>
          <t>YDRE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46270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46270</v>
      </c>
      <c r="F62" t="inlineStr">
        <is>
          <t>ÖSTERGÖTLANDS LÄN</t>
        </is>
      </c>
      <c r="G62" t="inlineStr">
        <is>
          <t>YDRE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46270</v>
      </c>
      <c r="F63" t="inlineStr">
        <is>
          <t>ÖSTERGÖTLANDS LÄN</t>
        </is>
      </c>
      <c r="G63" t="inlineStr">
        <is>
          <t>YDRE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46270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33687-2022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44789</v>
      </c>
      <c r="E65" s="1" t="n">
        <v>46270</v>
      </c>
      <c r="F65" t="inlineStr">
        <is>
          <t>ÖSTERGÖTLANDS LÄN</t>
        </is>
      </c>
      <c r="G65" t="inlineStr">
        <is>
          <t>YDRE</t>
        </is>
      </c>
      <c r="H65" t="inlineStr">
        <is>
          <t>Sveaskog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44447</v>
      </c>
      <c r="E66" s="1" t="n">
        <v>46270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46270</v>
      </c>
      <c r="F67" t="inlineStr">
        <is>
          <t>ÖSTERGÖTLANDS LÄN</t>
        </is>
      </c>
      <c r="G67" t="inlineStr">
        <is>
          <t>YDRE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46270</v>
      </c>
      <c r="F68" t="inlineStr">
        <is>
          <t>ÖSTERGÖTLANDS LÄN</t>
        </is>
      </c>
      <c r="G68" t="inlineStr">
        <is>
          <t>YDRE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46270</v>
      </c>
      <c r="F69" t="inlineStr">
        <is>
          <t>ÖSTERGÖTLANDS LÄN</t>
        </is>
      </c>
      <c r="G69" t="inlineStr">
        <is>
          <t>YDRE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46270</v>
      </c>
      <c r="F70" t="inlineStr">
        <is>
          <t>ÖSTERGÖTLANDS LÄN</t>
        </is>
      </c>
      <c r="G70" t="inlineStr">
        <is>
          <t>YDRE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44483</v>
      </c>
      <c r="E71" s="1" t="n">
        <v>46270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46270</v>
      </c>
      <c r="F72" t="inlineStr">
        <is>
          <t>ÖSTERGÖTLANDS LÄN</t>
        </is>
      </c>
      <c r="G72" t="inlineStr">
        <is>
          <t>YDRE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46270</v>
      </c>
      <c r="F73" t="inlineStr">
        <is>
          <t>ÖSTERGÖTLANDS LÄN</t>
        </is>
      </c>
      <c r="G73" t="inlineStr">
        <is>
          <t>YDRE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46270</v>
      </c>
      <c r="F74" t="inlineStr">
        <is>
          <t>ÖSTERGÖTLANDS LÄN</t>
        </is>
      </c>
      <c r="G74" t="inlineStr">
        <is>
          <t>YDRE</t>
        </is>
      </c>
      <c r="H74" t="inlineStr">
        <is>
          <t>Övriga Aktiebolag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46270</v>
      </c>
      <c r="F75" t="inlineStr">
        <is>
          <t>ÖSTERGÖTLANDS LÄN</t>
        </is>
      </c>
      <c r="G75" t="inlineStr">
        <is>
          <t>YDRE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46270</v>
      </c>
      <c r="F76" t="inlineStr">
        <is>
          <t>ÖSTERGÖTLANDS LÄN</t>
        </is>
      </c>
      <c r="G76" t="inlineStr">
        <is>
          <t>YDRE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41536-2022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46270</v>
      </c>
      <c r="F77" t="inlineStr">
        <is>
          <t>ÖSTERGÖTLANDS LÄN</t>
        </is>
      </c>
      <c r="G77" t="inlineStr">
        <is>
          <t>YDRE</t>
        </is>
      </c>
      <c r="H77" t="inlineStr">
        <is>
          <t>Sveaskog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44743</v>
      </c>
      <c r="E78" s="1" t="n">
        <v>46270</v>
      </c>
      <c r="F78" t="inlineStr">
        <is>
          <t>ÖSTERGÖTLANDS LÄN</t>
        </is>
      </c>
      <c r="G78" t="inlineStr">
        <is>
          <t>YDRE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46270</v>
      </c>
      <c r="F79" t="inlineStr">
        <is>
          <t>ÖSTERGÖTLANDS LÄN</t>
        </is>
      </c>
      <c r="G79" t="inlineStr">
        <is>
          <t>YDRE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69307-2021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44531</v>
      </c>
      <c r="E80" s="1" t="n">
        <v>46270</v>
      </c>
      <c r="F80" t="inlineStr">
        <is>
          <t>ÖSTERGÖTLANDS LÄN</t>
        </is>
      </c>
      <c r="G80" t="inlineStr">
        <is>
          <t>YDRE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46270</v>
      </c>
      <c r="F81" t="inlineStr">
        <is>
          <t>ÖSTERGÖTLANDS LÄN</t>
        </is>
      </c>
      <c r="G81" t="inlineStr">
        <is>
          <t>YDRE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46270</v>
      </c>
      <c r="F82" t="inlineStr">
        <is>
          <t>ÖSTERGÖTLANDS LÄN</t>
        </is>
      </c>
      <c r="G82" t="inlineStr">
        <is>
          <t>YDRE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46270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55844-2021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44476</v>
      </c>
      <c r="E84" s="1" t="n">
        <v>46270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46270</v>
      </c>
      <c r="F85" t="inlineStr">
        <is>
          <t>ÖSTERGÖTLANDS LÄN</t>
        </is>
      </c>
      <c r="G85" t="inlineStr">
        <is>
          <t>YDRE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46270</v>
      </c>
      <c r="F86" t="inlineStr">
        <is>
          <t>ÖSTERGÖTLANDS LÄN</t>
        </is>
      </c>
      <c r="G86" t="inlineStr">
        <is>
          <t>YDRE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46270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71524-2021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46270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46270</v>
      </c>
      <c r="F89" t="inlineStr">
        <is>
          <t>ÖSTERGÖTLANDS LÄN</t>
        </is>
      </c>
      <c r="G89" t="inlineStr">
        <is>
          <t>YDRE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46270</v>
      </c>
      <c r="F90" t="inlineStr">
        <is>
          <t>ÖSTERGÖTLANDS LÄN</t>
        </is>
      </c>
      <c r="G90" t="inlineStr">
        <is>
          <t>YDRE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49694-2024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46270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46270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46270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45355</v>
      </c>
      <c r="E94" s="1" t="n">
        <v>46270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45138</v>
      </c>
      <c r="E95" s="1" t="n">
        <v>46270</v>
      </c>
      <c r="F95" t="inlineStr">
        <is>
          <t>ÖSTERGÖTLANDS LÄN</t>
        </is>
      </c>
      <c r="G95" t="inlineStr">
        <is>
          <t>YDRE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44796</v>
      </c>
      <c r="E96" s="1" t="n">
        <v>46270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46270</v>
      </c>
      <c r="F97" t="inlineStr">
        <is>
          <t>ÖSTERGÖTLANDS LÄN</t>
        </is>
      </c>
      <c r="G97" t="inlineStr">
        <is>
          <t>YDRE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45666</v>
      </c>
      <c r="E98" s="1" t="n">
        <v>46270</v>
      </c>
      <c r="F98" t="inlineStr">
        <is>
          <t>ÖSTERGÖTLANDS LÄN</t>
        </is>
      </c>
      <c r="G98" t="inlineStr">
        <is>
          <t>YDRE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46270</v>
      </c>
      <c r="F99" t="inlineStr">
        <is>
          <t>ÖSTERGÖTLANDS LÄN</t>
        </is>
      </c>
      <c r="G99" t="inlineStr">
        <is>
          <t>YDRE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46270</v>
      </c>
      <c r="F100" t="inlineStr">
        <is>
          <t>ÖSTERGÖTLANDS LÄN</t>
        </is>
      </c>
      <c r="G100" t="inlineStr">
        <is>
          <t>YDRE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46270</v>
      </c>
      <c r="F101" t="inlineStr">
        <is>
          <t>ÖSTERGÖTLANDS LÄN</t>
        </is>
      </c>
      <c r="G101" t="inlineStr">
        <is>
          <t>YDRE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46270</v>
      </c>
      <c r="F102" t="inlineStr">
        <is>
          <t>ÖSTERGÖTLANDS LÄN</t>
        </is>
      </c>
      <c r="G102" t="inlineStr">
        <is>
          <t>YDRE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44592</v>
      </c>
      <c r="E103" s="1" t="n">
        <v>46270</v>
      </c>
      <c r="F103" t="inlineStr">
        <is>
          <t>ÖSTERGÖTLANDS LÄN</t>
        </is>
      </c>
      <c r="G103" t="inlineStr">
        <is>
          <t>YDRE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46270</v>
      </c>
      <c r="F104" t="inlineStr">
        <is>
          <t>ÖSTERGÖTLANDS LÄN</t>
        </is>
      </c>
      <c r="G104" t="inlineStr">
        <is>
          <t>YDRE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46270</v>
      </c>
      <c r="F105" t="inlineStr">
        <is>
          <t>ÖSTERGÖTLANDS LÄN</t>
        </is>
      </c>
      <c r="G105" t="inlineStr">
        <is>
          <t>YDRE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45596</v>
      </c>
      <c r="E106" s="1" t="n">
        <v>46270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46021</v>
      </c>
      <c r="E107" s="1" t="n">
        <v>46270</v>
      </c>
      <c r="F107" t="inlineStr">
        <is>
          <t>ÖSTERGÖTLANDS LÄN</t>
        </is>
      </c>
      <c r="G107" t="inlineStr">
        <is>
          <t>YDRE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46270</v>
      </c>
      <c r="F108" t="inlineStr">
        <is>
          <t>ÖSTERGÖTLANDS LÄN</t>
        </is>
      </c>
      <c r="G108" t="inlineStr">
        <is>
          <t>YDRE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46270</v>
      </c>
      <c r="F109" t="inlineStr">
        <is>
          <t>ÖSTERGÖTLANDS LÄN</t>
        </is>
      </c>
      <c r="G109" t="inlineStr">
        <is>
          <t>YDRE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45239</v>
      </c>
      <c r="E110" s="1" t="n">
        <v>46270</v>
      </c>
      <c r="F110" t="inlineStr">
        <is>
          <t>ÖSTERGÖTLANDS LÄN</t>
        </is>
      </c>
      <c r="G110" t="inlineStr">
        <is>
          <t>YDRE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46270</v>
      </c>
      <c r="F111" t="inlineStr">
        <is>
          <t>ÖSTERGÖTLANDS LÄN</t>
        </is>
      </c>
      <c r="G111" t="inlineStr">
        <is>
          <t>YDRE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46270</v>
      </c>
      <c r="F112" t="inlineStr">
        <is>
          <t>ÖSTERGÖTLANDS LÄN</t>
        </is>
      </c>
      <c r="G112" t="inlineStr">
        <is>
          <t>YDRE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45475</v>
      </c>
      <c r="E113" s="1" t="n">
        <v>46270</v>
      </c>
      <c r="F113" t="inlineStr">
        <is>
          <t>ÖSTERGÖTLANDS LÄN</t>
        </is>
      </c>
      <c r="G113" t="inlineStr">
        <is>
          <t>YDRE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46270</v>
      </c>
      <c r="F114" t="inlineStr">
        <is>
          <t>ÖSTERGÖTLANDS LÄN</t>
        </is>
      </c>
      <c r="G114" t="inlineStr">
        <is>
          <t>YDRE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46270</v>
      </c>
      <c r="F115" t="inlineStr">
        <is>
          <t>ÖSTERGÖTLANDS LÄN</t>
        </is>
      </c>
      <c r="G115" t="inlineStr">
        <is>
          <t>YDRE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46270</v>
      </c>
      <c r="F116" t="inlineStr">
        <is>
          <t>ÖSTERGÖTLANDS LÄN</t>
        </is>
      </c>
      <c r="G116" t="inlineStr">
        <is>
          <t>YDRE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45236</v>
      </c>
      <c r="E117" s="1" t="n">
        <v>46270</v>
      </c>
      <c r="F117" t="inlineStr">
        <is>
          <t>ÖSTERGÖTLANDS LÄN</t>
        </is>
      </c>
      <c r="G117" t="inlineStr">
        <is>
          <t>YDRE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46270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30759-2025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46270</v>
      </c>
      <c r="F119" t="inlineStr">
        <is>
          <t>ÖSTERGÖTLANDS LÄN</t>
        </is>
      </c>
      <c r="G119" t="inlineStr">
        <is>
          <t>YDRE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46270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46270</v>
      </c>
      <c r="F121" t="inlineStr">
        <is>
          <t>ÖSTERGÖTLANDS LÄN</t>
        </is>
      </c>
      <c r="G121" t="inlineStr">
        <is>
          <t>YDRE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44504</v>
      </c>
      <c r="E122" s="1" t="n">
        <v>46270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46270</v>
      </c>
      <c r="F123" t="inlineStr">
        <is>
          <t>ÖSTERGÖTLANDS LÄN</t>
        </is>
      </c>
      <c r="G123" t="inlineStr">
        <is>
          <t>YDRE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45000</v>
      </c>
      <c r="E124" s="1" t="n">
        <v>46270</v>
      </c>
      <c r="F124" t="inlineStr">
        <is>
          <t>ÖSTERGÖTLANDS LÄN</t>
        </is>
      </c>
      <c r="G124" t="inlineStr">
        <is>
          <t>YDRE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46270</v>
      </c>
      <c r="F125" t="inlineStr">
        <is>
          <t>ÖSTERGÖTLANDS LÄN</t>
        </is>
      </c>
      <c r="G125" t="inlineStr">
        <is>
          <t>YDRE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46270</v>
      </c>
      <c r="F126" t="inlineStr">
        <is>
          <t>ÖSTERGÖTLANDS LÄN</t>
        </is>
      </c>
      <c r="G126" t="inlineStr">
        <is>
          <t>YDRE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46270</v>
      </c>
      <c r="F127" t="inlineStr">
        <is>
          <t>ÖSTERGÖTLANDS LÄN</t>
        </is>
      </c>
      <c r="G127" t="inlineStr">
        <is>
          <t>YDRE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46270</v>
      </c>
      <c r="F128" t="inlineStr">
        <is>
          <t>ÖSTERGÖTLANDS LÄN</t>
        </is>
      </c>
      <c r="G128" t="inlineStr">
        <is>
          <t>YDRE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46270</v>
      </c>
      <c r="F129" t="inlineStr">
        <is>
          <t>ÖSTERGÖTLANDS LÄN</t>
        </is>
      </c>
      <c r="G129" t="inlineStr">
        <is>
          <t>YDRE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17309-2024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45414</v>
      </c>
      <c r="E130" s="1" t="n">
        <v>46270</v>
      </c>
      <c r="F130" t="inlineStr">
        <is>
          <t>ÖSTERGÖTLANDS LÄN</t>
        </is>
      </c>
      <c r="G130" t="inlineStr">
        <is>
          <t>YDRE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43100-2025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46270</v>
      </c>
      <c r="F131" t="inlineStr">
        <is>
          <t>ÖSTERGÖTLANDS LÄN</t>
        </is>
      </c>
      <c r="G131" t="inlineStr">
        <is>
          <t>YDRE</t>
        </is>
      </c>
      <c r="H131" t="inlineStr">
        <is>
          <t>Övriga Aktiebolag</t>
        </is>
      </c>
      <c r="I131" t="n">
        <v>12.4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46270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46270</v>
      </c>
      <c r="F133" t="inlineStr">
        <is>
          <t>ÖSTERGÖTLANDS LÄN</t>
        </is>
      </c>
      <c r="G133" t="inlineStr">
        <is>
          <t>YDRE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46270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46270</v>
      </c>
      <c r="F135" t="inlineStr">
        <is>
          <t>ÖSTERGÖTLANDS LÄN</t>
        </is>
      </c>
      <c r="G135" t="inlineStr">
        <is>
          <t>YDRE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46270</v>
      </c>
      <c r="F136" t="inlineStr">
        <is>
          <t>ÖSTERGÖTLANDS LÄN</t>
        </is>
      </c>
      <c r="G136" t="inlineStr">
        <is>
          <t>YDRE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45910</v>
      </c>
      <c r="E137" s="1" t="n">
        <v>46270</v>
      </c>
      <c r="F137" t="inlineStr">
        <is>
          <t>ÖSTERGÖTLANDS LÄN</t>
        </is>
      </c>
      <c r="G137" t="inlineStr">
        <is>
          <t>YDRE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32635-2025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45838</v>
      </c>
      <c r="E138" s="1" t="n">
        <v>46270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46270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46270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47464-2021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44447</v>
      </c>
      <c r="E141" s="1" t="n">
        <v>46270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46270</v>
      </c>
      <c r="F142" t="inlineStr">
        <is>
          <t>ÖSTERGÖTLANDS LÄN</t>
        </is>
      </c>
      <c r="G142" t="inlineStr">
        <is>
          <t>YDRE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46270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45752-2025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46270</v>
      </c>
      <c r="F144" t="inlineStr">
        <is>
          <t>ÖSTERGÖTLANDS LÄN</t>
        </is>
      </c>
      <c r="G144" t="inlineStr">
        <is>
          <t>YDRE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62485-2021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46270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46270</v>
      </c>
      <c r="F146" t="inlineStr">
        <is>
          <t>ÖSTERGÖTLANDS LÄN</t>
        </is>
      </c>
      <c r="G146" t="inlineStr">
        <is>
          <t>YDRE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46270</v>
      </c>
      <c r="F147" t="inlineStr">
        <is>
          <t>ÖSTERGÖTLANDS LÄN</t>
        </is>
      </c>
      <c r="G147" t="inlineStr">
        <is>
          <t>YDRE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46270</v>
      </c>
      <c r="F148" t="inlineStr">
        <is>
          <t>ÖSTERGÖTLANDS LÄN</t>
        </is>
      </c>
      <c r="G148" t="inlineStr">
        <is>
          <t>YDRE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46270</v>
      </c>
      <c r="F149" t="inlineStr">
        <is>
          <t>ÖSTERGÖTLANDS LÄN</t>
        </is>
      </c>
      <c r="G149" t="inlineStr">
        <is>
          <t>YDRE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46086-2025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45924</v>
      </c>
      <c r="E150" s="1" t="n">
        <v>46270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46270</v>
      </c>
      <c r="F151" t="inlineStr">
        <is>
          <t>ÖSTERGÖTLANDS LÄN</t>
        </is>
      </c>
      <c r="G151" t="inlineStr">
        <is>
          <t>YDRE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44743</v>
      </c>
      <c r="E152" s="1" t="n">
        <v>46270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44749</v>
      </c>
      <c r="E153" s="1" t="n">
        <v>46270</v>
      </c>
      <c r="F153" t="inlineStr">
        <is>
          <t>ÖSTERGÖTLANDS LÄN</t>
        </is>
      </c>
      <c r="G153" t="inlineStr">
        <is>
          <t>YDRE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46270</v>
      </c>
      <c r="F154" t="inlineStr">
        <is>
          <t>ÖSTERGÖTLANDS LÄN</t>
        </is>
      </c>
      <c r="G154" t="inlineStr">
        <is>
          <t>YDRE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45931</v>
      </c>
      <c r="E155" s="1" t="n">
        <v>46270</v>
      </c>
      <c r="F155" t="inlineStr">
        <is>
          <t>ÖSTERGÖTLANDS LÄN</t>
        </is>
      </c>
      <c r="G155" t="inlineStr">
        <is>
          <t>YDRE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45434</v>
      </c>
      <c r="E156" s="1" t="n">
        <v>46270</v>
      </c>
      <c r="F156" t="inlineStr">
        <is>
          <t>ÖSTERGÖTLANDS LÄN</t>
        </is>
      </c>
      <c r="G156" t="inlineStr">
        <is>
          <t>YDRE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46270</v>
      </c>
      <c r="F157" t="inlineStr">
        <is>
          <t>ÖSTERGÖTLANDS LÄN</t>
        </is>
      </c>
      <c r="G157" t="inlineStr">
        <is>
          <t>YDRE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46270</v>
      </c>
      <c r="F158" t="inlineStr">
        <is>
          <t>ÖSTERGÖTLANDS LÄN</t>
        </is>
      </c>
      <c r="G158" t="inlineStr">
        <is>
          <t>YDRE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45510</v>
      </c>
      <c r="E159" s="1" t="n">
        <v>46270</v>
      </c>
      <c r="F159" t="inlineStr">
        <is>
          <t>ÖSTERGÖTLANDS LÄN</t>
        </is>
      </c>
      <c r="G159" t="inlineStr">
        <is>
          <t>YDRE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45216</v>
      </c>
      <c r="E160" s="1" t="n">
        <v>46270</v>
      </c>
      <c r="F160" t="inlineStr">
        <is>
          <t>ÖSTERGÖTLANDS LÄN</t>
        </is>
      </c>
      <c r="G160" t="inlineStr">
        <is>
          <t>YDRE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45216</v>
      </c>
      <c r="E161" s="1" t="n">
        <v>46270</v>
      </c>
      <c r="F161" t="inlineStr">
        <is>
          <t>ÖSTERGÖTLANDS LÄN</t>
        </is>
      </c>
      <c r="G161" t="inlineStr">
        <is>
          <t>YDRE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46270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46270</v>
      </c>
      <c r="F163" t="inlineStr">
        <is>
          <t>ÖSTERGÖTLANDS LÄN</t>
        </is>
      </c>
      <c r="G163" t="inlineStr">
        <is>
          <t>YDRE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46270</v>
      </c>
      <c r="F164" t="inlineStr">
        <is>
          <t>ÖSTERGÖTLANDS LÄN</t>
        </is>
      </c>
      <c r="G164" t="inlineStr">
        <is>
          <t>YDRE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46270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45943</v>
      </c>
      <c r="E166" s="1" t="n">
        <v>46270</v>
      </c>
      <c r="F166" t="inlineStr">
        <is>
          <t>ÖSTERGÖTLANDS LÄN</t>
        </is>
      </c>
      <c r="G166" t="inlineStr">
        <is>
          <t>YDRE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45940</v>
      </c>
      <c r="E167" s="1" t="n">
        <v>46270</v>
      </c>
      <c r="F167" t="inlineStr">
        <is>
          <t>ÖSTERGÖTLANDS LÄN</t>
        </is>
      </c>
      <c r="G167" t="inlineStr">
        <is>
          <t>YDRE</t>
        </is>
      </c>
      <c r="H167" t="inlineStr">
        <is>
          <t>Kyrkan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46270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46270</v>
      </c>
      <c r="F169" t="inlineStr">
        <is>
          <t>ÖSTERGÖTLANDS LÄN</t>
        </is>
      </c>
      <c r="G169" t="inlineStr">
        <is>
          <t>YDRE</t>
        </is>
      </c>
      <c r="H169" t="inlineStr">
        <is>
          <t>Kyrkan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46270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46270</v>
      </c>
      <c r="F171" t="inlineStr">
        <is>
          <t>ÖSTERGÖTLANDS LÄN</t>
        </is>
      </c>
      <c r="G171" t="inlineStr">
        <is>
          <t>YDRE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56313-2021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44480</v>
      </c>
      <c r="E172" s="1" t="n">
        <v>46270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46270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46270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46270</v>
      </c>
      <c r="F175" t="inlineStr">
        <is>
          <t>ÖSTERGÖTLANDS LÄN</t>
        </is>
      </c>
      <c r="G175" t="inlineStr">
        <is>
          <t>YDRE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46270</v>
      </c>
      <c r="F176" t="inlineStr">
        <is>
          <t>ÖSTERGÖTLANDS LÄN</t>
        </is>
      </c>
      <c r="G176" t="inlineStr">
        <is>
          <t>YDRE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46270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46270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6293-2026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46055</v>
      </c>
      <c r="E179" s="1" t="n">
        <v>46270</v>
      </c>
      <c r="F179" t="inlineStr">
        <is>
          <t>ÖSTERGÖTLANDS LÄN</t>
        </is>
      </c>
      <c r="G179" t="inlineStr">
        <is>
          <t>YDRE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46270</v>
      </c>
      <c r="F180" t="inlineStr">
        <is>
          <t>ÖSTERGÖTLANDS LÄN</t>
        </is>
      </c>
      <c r="G180" t="inlineStr">
        <is>
          <t>YDRE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46270</v>
      </c>
      <c r="F181" t="inlineStr">
        <is>
          <t>ÖSTERGÖTLANDS LÄN</t>
        </is>
      </c>
      <c r="G181" t="inlineStr">
        <is>
          <t>YDRE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45091</v>
      </c>
      <c r="E182" s="1" t="n">
        <v>46270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44480</v>
      </c>
      <c r="E183" s="1" t="n">
        <v>46270</v>
      </c>
      <c r="F183" t="inlineStr">
        <is>
          <t>ÖSTERGÖTLANDS LÄN</t>
        </is>
      </c>
      <c r="G183" t="inlineStr">
        <is>
          <t>YDRE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46270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46270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46270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46270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46270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46270</v>
      </c>
      <c r="F189" t="inlineStr">
        <is>
          <t>ÖSTERGÖTLANDS LÄN</t>
        </is>
      </c>
      <c r="G189" t="inlineStr">
        <is>
          <t>YDRE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46270</v>
      </c>
      <c r="F190" t="inlineStr">
        <is>
          <t>ÖSTERGÖTLANDS LÄN</t>
        </is>
      </c>
      <c r="G190" t="inlineStr">
        <is>
          <t>YDRE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44576</v>
      </c>
      <c r="E191" s="1" t="n">
        <v>46270</v>
      </c>
      <c r="F191" t="inlineStr">
        <is>
          <t>ÖSTERGÖTLANDS LÄN</t>
        </is>
      </c>
      <c r="G191" t="inlineStr">
        <is>
          <t>YDRE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46270</v>
      </c>
      <c r="F192" t="inlineStr">
        <is>
          <t>ÖSTERGÖTLANDS LÄN</t>
        </is>
      </c>
      <c r="G192" t="inlineStr">
        <is>
          <t>YDRE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46270</v>
      </c>
      <c r="F193" t="inlineStr">
        <is>
          <t>ÖSTERGÖTLANDS LÄN</t>
        </is>
      </c>
      <c r="G193" t="inlineStr">
        <is>
          <t>YDRE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46270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46270</v>
      </c>
      <c r="F195" t="inlineStr">
        <is>
          <t>ÖSTERGÖTLANDS LÄN</t>
        </is>
      </c>
      <c r="G195" t="inlineStr">
        <is>
          <t>YDRE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46270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44635</v>
      </c>
      <c r="E197" s="1" t="n">
        <v>46270</v>
      </c>
      <c r="F197" t="inlineStr">
        <is>
          <t>ÖSTERGÖTLANDS LÄN</t>
        </is>
      </c>
      <c r="G197" t="inlineStr">
        <is>
          <t>YDRE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46270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46270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46270</v>
      </c>
      <c r="F200" t="inlineStr">
        <is>
          <t>ÖSTERGÖTLANDS LÄN</t>
        </is>
      </c>
      <c r="G200" t="inlineStr">
        <is>
          <t>YDRE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44789</v>
      </c>
      <c r="E201" s="1" t="n">
        <v>46270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46270</v>
      </c>
      <c r="F202" t="inlineStr">
        <is>
          <t>ÖSTERGÖTLANDS LÄN</t>
        </is>
      </c>
      <c r="G202" t="inlineStr">
        <is>
          <t>YDRE</t>
        </is>
      </c>
      <c r="H202" t="inlineStr">
        <is>
          <t>Övriga Aktiebolag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46270</v>
      </c>
      <c r="F203" t="inlineStr">
        <is>
          <t>ÖSTERGÖTLANDS LÄN</t>
        </is>
      </c>
      <c r="G203" t="inlineStr">
        <is>
          <t>YDRE</t>
        </is>
      </c>
      <c r="H203" t="inlineStr">
        <is>
          <t>Övriga Aktiebolag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46270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46270</v>
      </c>
      <c r="F205" t="inlineStr">
        <is>
          <t>ÖSTERGÖTLANDS LÄN</t>
        </is>
      </c>
      <c r="G205" t="inlineStr">
        <is>
          <t>YDRE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46270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46270</v>
      </c>
      <c r="F207" t="inlineStr">
        <is>
          <t>ÖSTERGÖTLANDS LÄN</t>
        </is>
      </c>
      <c r="G207" t="inlineStr">
        <is>
          <t>YDRE</t>
        </is>
      </c>
      <c r="H207" t="inlineStr">
        <is>
          <t>Övriga Aktiebolag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46270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36711-2023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45153</v>
      </c>
      <c r="E209" s="1" t="n">
        <v>46270</v>
      </c>
      <c r="F209" t="inlineStr">
        <is>
          <t>ÖSTERGÖTLANDS LÄN</t>
        </is>
      </c>
      <c r="G209" t="inlineStr">
        <is>
          <t>YDRE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46270</v>
      </c>
      <c r="F210" t="inlineStr">
        <is>
          <t>ÖSTERGÖTLANDS LÄN</t>
        </is>
      </c>
      <c r="G210" t="inlineStr">
        <is>
          <t>YDRE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46270</v>
      </c>
      <c r="F211" t="inlineStr">
        <is>
          <t>ÖSTERGÖTLANDS LÄN</t>
        </is>
      </c>
      <c r="G211" t="inlineStr">
        <is>
          <t>YDRE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46270</v>
      </c>
      <c r="F212" t="inlineStr">
        <is>
          <t>ÖSTERGÖTLANDS LÄN</t>
        </is>
      </c>
      <c r="G212" t="inlineStr">
        <is>
          <t>YDRE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46270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46077</v>
      </c>
      <c r="E214" s="1" t="n">
        <v>46270</v>
      </c>
      <c r="F214" t="inlineStr">
        <is>
          <t>ÖSTERGÖTLANDS LÄN</t>
        </is>
      </c>
      <c r="G214" t="inlineStr">
        <is>
          <t>YDRE</t>
        </is>
      </c>
      <c r="H214" t="inlineStr">
        <is>
          <t>Övriga Aktiebolag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10288-2026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46270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46270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45647</v>
      </c>
      <c r="E217" s="1" t="n">
        <v>46270</v>
      </c>
      <c r="F217" t="inlineStr">
        <is>
          <t>ÖSTERGÖTLANDS LÄN</t>
        </is>
      </c>
      <c r="G217" t="inlineStr">
        <is>
          <t>YDRE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45634</v>
      </c>
      <c r="E218" s="1" t="n">
        <v>46270</v>
      </c>
      <c r="F218" t="inlineStr">
        <is>
          <t>ÖSTERGÖTLANDS LÄN</t>
        </is>
      </c>
      <c r="G218" t="inlineStr">
        <is>
          <t>YDRE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45406</v>
      </c>
      <c r="E219" s="1" t="n">
        <v>46270</v>
      </c>
      <c r="F219" t="inlineStr">
        <is>
          <t>ÖSTERGÖTLANDS LÄN</t>
        </is>
      </c>
      <c r="G219" t="inlineStr">
        <is>
          <t>YDRE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24693-2024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45460</v>
      </c>
      <c r="E220" s="1" t="n">
        <v>46270</v>
      </c>
      <c r="F220" t="inlineStr">
        <is>
          <t>ÖSTERGÖTLANDS LÄN</t>
        </is>
      </c>
      <c r="G220" t="inlineStr">
        <is>
          <t>YDRE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46270</v>
      </c>
      <c r="F221" t="inlineStr">
        <is>
          <t>ÖSTERGÖTLANDS LÄN</t>
        </is>
      </c>
      <c r="G221" t="inlineStr">
        <is>
          <t>YDRE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46270</v>
      </c>
      <c r="F222" t="inlineStr">
        <is>
          <t>ÖSTERGÖTLANDS LÄN</t>
        </is>
      </c>
      <c r="G222" t="inlineStr">
        <is>
          <t>YDRE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46270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46270</v>
      </c>
      <c r="F224" t="inlineStr">
        <is>
          <t>ÖSTERGÖTLANDS LÄN</t>
        </is>
      </c>
      <c r="G224" t="inlineStr">
        <is>
          <t>YDRE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46270</v>
      </c>
      <c r="F225" t="inlineStr">
        <is>
          <t>ÖSTERGÖTLANDS LÄN</t>
        </is>
      </c>
      <c r="G225" t="inlineStr">
        <is>
          <t>YDRE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46270</v>
      </c>
      <c r="F226" t="inlineStr">
        <is>
          <t>ÖSTERGÖTLANDS LÄN</t>
        </is>
      </c>
      <c r="G226" t="inlineStr">
        <is>
          <t>YDRE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46270</v>
      </c>
      <c r="F227" t="inlineStr">
        <is>
          <t>ÖSTERGÖTLANDS LÄN</t>
        </is>
      </c>
      <c r="G227" t="inlineStr">
        <is>
          <t>YDRE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46270</v>
      </c>
      <c r="F228" t="inlineStr">
        <is>
          <t>ÖSTERGÖTLANDS LÄN</t>
        </is>
      </c>
      <c r="G228" t="inlineStr">
        <is>
          <t>YDRE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56900-2022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44894</v>
      </c>
      <c r="E229" s="1" t="n">
        <v>46270</v>
      </c>
      <c r="F229" t="inlineStr">
        <is>
          <t>ÖSTERGÖTLANDS LÄN</t>
        </is>
      </c>
      <c r="G229" t="inlineStr">
        <is>
          <t>YDRE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46270</v>
      </c>
      <c r="F230" t="inlineStr">
        <is>
          <t>ÖSTERGÖTLANDS LÄN</t>
        </is>
      </c>
      <c r="G230" t="inlineStr">
        <is>
          <t>YDRE</t>
        </is>
      </c>
      <c r="H230" t="inlineStr">
        <is>
          <t>Övriga Aktiebolag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56323-2021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44480</v>
      </c>
      <c r="E231" s="1" t="n">
        <v>46270</v>
      </c>
      <c r="F231" t="inlineStr">
        <is>
          <t>ÖSTERGÖTLANDS LÄN</t>
        </is>
      </c>
      <c r="G231" t="inlineStr">
        <is>
          <t>YDRE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HYPERLINK("https://klasma.github.io/Logging_0512/knärot/A 56323-2021 karta knärot.png", "A 56323-2021")</f>
        <v/>
      </c>
      <c r="AA231">
        <f>HYPERLINK("https://klasma.github.io/Logging_0512/klagomål/A 56323-2021 FSC-klagomål.docx", "A 56323-2021")</f>
        <v/>
      </c>
      <c r="AB231">
        <f>HYPERLINK("https://klasma.github.io/Logging_0512/klagomålsmail/A 56323-2021 FSC-klagomål mail.docx", "A 56323-2021")</f>
        <v/>
      </c>
      <c r="AC231">
        <f>HYPERLINK("https://klasma.github.io/Logging_0512/tillsyn/A 56323-2021 tillsynsbegäran.docx", "A 56323-2021")</f>
        <v/>
      </c>
      <c r="AD231">
        <f>HYPERLINK("https://klasma.github.io/Logging_0512/tillsynsmail/A 56323-2021 tillsynsbegäran mail.docx", "A 56323-2021")</f>
        <v/>
      </c>
    </row>
    <row r="232" ht="15" customHeight="1">
      <c r="A232" t="inlineStr">
        <is>
          <t>A 35209-2023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46270</v>
      </c>
      <c r="F232" t="inlineStr">
        <is>
          <t>ÖSTERGÖTLANDS LÄN</t>
        </is>
      </c>
      <c r="G232" t="inlineStr">
        <is>
          <t>YDRE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45666</v>
      </c>
      <c r="E233" s="1" t="n">
        <v>46270</v>
      </c>
      <c r="F233" t="inlineStr">
        <is>
          <t>ÖSTERGÖTLANDS LÄN</t>
        </is>
      </c>
      <c r="G233" t="inlineStr">
        <is>
          <t>YDRE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46270</v>
      </c>
      <c r="F234" t="inlineStr">
        <is>
          <t>ÖSTERGÖTLANDS LÄN</t>
        </is>
      </c>
      <c r="G234" t="inlineStr">
        <is>
          <t>YDRE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46006</v>
      </c>
      <c r="E235" s="1" t="n">
        <v>46270</v>
      </c>
      <c r="F235" t="inlineStr">
        <is>
          <t>ÖSTERGÖTLANDS LÄN</t>
        </is>
      </c>
      <c r="G235" t="inlineStr">
        <is>
          <t>YDRE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46270</v>
      </c>
      <c r="F236" t="inlineStr">
        <is>
          <t>ÖSTERGÖTLANDS LÄN</t>
        </is>
      </c>
      <c r="G236" t="inlineStr">
        <is>
          <t>YDRE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46270</v>
      </c>
      <c r="F237" t="inlineStr">
        <is>
          <t>ÖSTERGÖTLANDS LÄN</t>
        </is>
      </c>
      <c r="G237" t="inlineStr">
        <is>
          <t>YDRE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46270</v>
      </c>
      <c r="F238" t="inlineStr">
        <is>
          <t>ÖSTERGÖTLANDS LÄN</t>
        </is>
      </c>
      <c r="G238" t="inlineStr">
        <is>
          <t>YDRE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46270</v>
      </c>
      <c r="F239" t="inlineStr">
        <is>
          <t>ÖSTERGÖTLANDS LÄN</t>
        </is>
      </c>
      <c r="G239" t="inlineStr">
        <is>
          <t>YDRE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45714</v>
      </c>
      <c r="E240" s="1" t="n">
        <v>46270</v>
      </c>
      <c r="F240" t="inlineStr">
        <is>
          <t>ÖSTERGÖTLANDS LÄN</t>
        </is>
      </c>
      <c r="G240" t="inlineStr">
        <is>
          <t>YDRE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46270</v>
      </c>
      <c r="F241" t="inlineStr">
        <is>
          <t>ÖSTERGÖTLANDS LÄN</t>
        </is>
      </c>
      <c r="G241" t="inlineStr">
        <is>
          <t>YDRE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46270</v>
      </c>
      <c r="F242" t="inlineStr">
        <is>
          <t>ÖSTERGÖTLANDS LÄN</t>
        </is>
      </c>
      <c r="G242" t="inlineStr">
        <is>
          <t>YDRE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46270</v>
      </c>
      <c r="F243" t="inlineStr">
        <is>
          <t>ÖSTERGÖTLANDS LÄN</t>
        </is>
      </c>
      <c r="G243" t="inlineStr">
        <is>
          <t>YDRE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46270</v>
      </c>
      <c r="F244" t="inlineStr">
        <is>
          <t>ÖSTERGÖTLANDS LÄN</t>
        </is>
      </c>
      <c r="G244" t="inlineStr">
        <is>
          <t>YDRE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46270</v>
      </c>
      <c r="F245" t="inlineStr">
        <is>
          <t>ÖSTERGÖTLANDS LÄN</t>
        </is>
      </c>
      <c r="G245" t="inlineStr">
        <is>
          <t>YDRE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46270</v>
      </c>
      <c r="F246" t="inlineStr">
        <is>
          <t>ÖSTERGÖTLANDS LÄN</t>
        </is>
      </c>
      <c r="G246" t="inlineStr">
        <is>
          <t>YDRE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46270</v>
      </c>
      <c r="F247" t="inlineStr">
        <is>
          <t>ÖSTERGÖTLANDS LÄN</t>
        </is>
      </c>
      <c r="G247" t="inlineStr">
        <is>
          <t>YDRE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45054</v>
      </c>
      <c r="E248" s="1" t="n">
        <v>46270</v>
      </c>
      <c r="F248" t="inlineStr">
        <is>
          <t>ÖSTERGÖTLANDS LÄN</t>
        </is>
      </c>
      <c r="G248" t="inlineStr">
        <is>
          <t>YDRE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61942-2021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44502</v>
      </c>
      <c r="E249" s="1" t="n">
        <v>46270</v>
      </c>
      <c r="F249" t="inlineStr">
        <is>
          <t>ÖSTERGÖTLANDS LÄN</t>
        </is>
      </c>
      <c r="G249" t="inlineStr">
        <is>
          <t>YDRE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46270</v>
      </c>
      <c r="F250" t="inlineStr">
        <is>
          <t>ÖSTERGÖTLANDS LÄN</t>
        </is>
      </c>
      <c r="G250" t="inlineStr">
        <is>
          <t>YDRE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46270</v>
      </c>
      <c r="F251" t="inlineStr">
        <is>
          <t>ÖSTERGÖTLANDS LÄN</t>
        </is>
      </c>
      <c r="G251" t="inlineStr">
        <is>
          <t>YDRE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46270</v>
      </c>
      <c r="F252" t="inlineStr">
        <is>
          <t>ÖSTERGÖTLANDS LÄN</t>
        </is>
      </c>
      <c r="G252" t="inlineStr">
        <is>
          <t>YDRE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46270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45428</v>
      </c>
      <c r="E254" s="1" t="n">
        <v>46270</v>
      </c>
      <c r="F254" t="inlineStr">
        <is>
          <t>ÖSTERGÖTLANDS LÄN</t>
        </is>
      </c>
      <c r="G254" t="inlineStr">
        <is>
          <t>YDRE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46270</v>
      </c>
      <c r="F255" t="inlineStr">
        <is>
          <t>ÖSTERGÖTLANDS LÄN</t>
        </is>
      </c>
      <c r="G255" t="inlineStr">
        <is>
          <t>YDRE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46270</v>
      </c>
      <c r="F256" t="inlineStr">
        <is>
          <t>ÖSTERGÖTLANDS LÄN</t>
        </is>
      </c>
      <c r="G256" t="inlineStr">
        <is>
          <t>YDRE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46270</v>
      </c>
      <c r="F257" t="inlineStr">
        <is>
          <t>ÖSTERGÖTLANDS LÄN</t>
        </is>
      </c>
      <c r="G257" t="inlineStr">
        <is>
          <t>YDRE</t>
        </is>
      </c>
      <c r="I257" t="n">
        <v>9.9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46270</v>
      </c>
      <c r="F258" t="inlineStr">
        <is>
          <t>ÖSTERGÖTLANDS LÄN</t>
        </is>
      </c>
      <c r="G258" t="inlineStr">
        <is>
          <t>YDRE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45449-2023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45194</v>
      </c>
      <c r="E259" s="1" t="n">
        <v>46270</v>
      </c>
      <c r="F259" t="inlineStr">
        <is>
          <t>ÖSTERGÖTLANDS LÄN</t>
        </is>
      </c>
      <c r="G259" t="inlineStr">
        <is>
          <t>YDRE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46270</v>
      </c>
      <c r="F260" t="inlineStr">
        <is>
          <t>ÖSTERGÖTLANDS LÄN</t>
        </is>
      </c>
      <c r="G260" t="inlineStr">
        <is>
          <t>YDRE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45587</v>
      </c>
      <c r="E261" s="1" t="n">
        <v>46270</v>
      </c>
      <c r="F261" t="inlineStr">
        <is>
          <t>ÖSTERGÖTLANDS LÄN</t>
        </is>
      </c>
      <c r="G261" t="inlineStr">
        <is>
          <t>YDRE</t>
        </is>
      </c>
      <c r="H261" t="inlineStr">
        <is>
          <t>Kyrkan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46270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61589-2022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44916</v>
      </c>
      <c r="E263" s="1" t="n">
        <v>46270</v>
      </c>
      <c r="F263" t="inlineStr">
        <is>
          <t>ÖSTERGÖTLANDS LÄN</t>
        </is>
      </c>
      <c r="G263" t="inlineStr">
        <is>
          <t>YDRE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44562</v>
      </c>
      <c r="E264" s="1" t="n">
        <v>46270</v>
      </c>
      <c r="F264" t="inlineStr">
        <is>
          <t>ÖSTERGÖTLANDS LÄN</t>
        </is>
      </c>
      <c r="G264" t="inlineStr">
        <is>
          <t>YDRE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45272</v>
      </c>
      <c r="E265" s="1" t="n">
        <v>46270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45414</v>
      </c>
      <c r="E266" s="1" t="n">
        <v>46270</v>
      </c>
      <c r="F266" t="inlineStr">
        <is>
          <t>ÖSTERGÖTLANDS LÄN</t>
        </is>
      </c>
      <c r="G266" t="inlineStr">
        <is>
          <t>YDRE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46116</v>
      </c>
      <c r="E267" s="1" t="n">
        <v>46270</v>
      </c>
      <c r="F267" t="inlineStr">
        <is>
          <t>ÖSTERGÖTLANDS LÄN</t>
        </is>
      </c>
      <c r="G267" t="inlineStr">
        <is>
          <t>YDRE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70448-2021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46270</v>
      </c>
      <c r="F268" t="inlineStr">
        <is>
          <t>ÖSTERGÖTLANDS LÄN</t>
        </is>
      </c>
      <c r="G268" t="inlineStr">
        <is>
          <t>YDRE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46270</v>
      </c>
      <c r="F269" t="inlineStr">
        <is>
          <t>ÖSTERGÖTLANDS LÄN</t>
        </is>
      </c>
      <c r="G269" t="inlineStr">
        <is>
          <t>YDRE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46270</v>
      </c>
      <c r="F270" t="inlineStr">
        <is>
          <t>ÖSTERGÖTLANDS LÄN</t>
        </is>
      </c>
      <c r="G270" t="inlineStr">
        <is>
          <t>YDRE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46270</v>
      </c>
      <c r="F271" t="inlineStr">
        <is>
          <t>ÖSTERGÖTLANDS LÄN</t>
        </is>
      </c>
      <c r="G271" t="inlineStr">
        <is>
          <t>YDRE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46270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46270</v>
      </c>
      <c r="F273" t="inlineStr">
        <is>
          <t>ÖSTERGÖTLANDS LÄN</t>
        </is>
      </c>
      <c r="G273" t="inlineStr">
        <is>
          <t>YDRE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46270</v>
      </c>
      <c r="F274" t="inlineStr">
        <is>
          <t>ÖSTERGÖTLANDS LÄN</t>
        </is>
      </c>
      <c r="G274" t="inlineStr">
        <is>
          <t>YDRE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46270</v>
      </c>
      <c r="F275" t="inlineStr">
        <is>
          <t>ÖSTERGÖTLANDS LÄN</t>
        </is>
      </c>
      <c r="G275" t="inlineStr">
        <is>
          <t>YDRE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46270</v>
      </c>
      <c r="F276" t="inlineStr">
        <is>
          <t>ÖSTERGÖTLANDS LÄN</t>
        </is>
      </c>
      <c r="G276" t="inlineStr">
        <is>
          <t>YDRE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46270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59811-2022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44908</v>
      </c>
      <c r="E278" s="1" t="n">
        <v>46270</v>
      </c>
      <c r="F278" t="inlineStr">
        <is>
          <t>ÖSTERGÖTLANDS LÄN</t>
        </is>
      </c>
      <c r="G278" t="inlineStr">
        <is>
          <t>YDRE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44908</v>
      </c>
      <c r="E279" s="1" t="n">
        <v>46270</v>
      </c>
      <c r="F279" t="inlineStr">
        <is>
          <t>ÖSTERGÖTLANDS LÄN</t>
        </is>
      </c>
      <c r="G279" t="inlineStr">
        <is>
          <t>YDRE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44624</v>
      </c>
      <c r="E280" s="1" t="n">
        <v>46270</v>
      </c>
      <c r="F280" t="inlineStr">
        <is>
          <t>ÖSTERGÖTLANDS LÄN</t>
        </is>
      </c>
      <c r="G280" t="inlineStr">
        <is>
          <t>YDRE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46270</v>
      </c>
      <c r="F281" t="inlineStr">
        <is>
          <t>ÖSTERGÖTLANDS LÄN</t>
        </is>
      </c>
      <c r="G281" t="inlineStr">
        <is>
          <t>YDRE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45916</v>
      </c>
      <c r="E282" s="1" t="n">
        <v>46270</v>
      </c>
      <c r="F282" t="inlineStr">
        <is>
          <t>ÖSTERGÖTLANDS LÄN</t>
        </is>
      </c>
      <c r="G282" t="inlineStr">
        <is>
          <t>YDRE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46270</v>
      </c>
      <c r="F283" t="inlineStr">
        <is>
          <t>ÖSTERGÖTLANDS LÄN</t>
        </is>
      </c>
      <c r="G283" t="inlineStr">
        <is>
          <t>YDRE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44555-2025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45917</v>
      </c>
      <c r="E284" s="1" t="n">
        <v>46270</v>
      </c>
      <c r="F284" t="inlineStr">
        <is>
          <t>ÖSTERGÖTLANDS LÄN</t>
        </is>
      </c>
      <c r="G284" t="inlineStr">
        <is>
          <t>YDRE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45302</v>
      </c>
      <c r="E285" s="1" t="n">
        <v>46270</v>
      </c>
      <c r="F285" t="inlineStr">
        <is>
          <t>ÖSTERGÖTLANDS LÄN</t>
        </is>
      </c>
      <c r="G285" t="inlineStr">
        <is>
          <t>YDRE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45616</v>
      </c>
      <c r="E286" s="1" t="n">
        <v>46270</v>
      </c>
      <c r="F286" t="inlineStr">
        <is>
          <t>ÖSTERGÖTLANDS LÄN</t>
        </is>
      </c>
      <c r="G286" t="inlineStr">
        <is>
          <t>YDRE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44994</v>
      </c>
      <c r="E287" s="1" t="n">
        <v>46270</v>
      </c>
      <c r="F287" t="inlineStr">
        <is>
          <t>ÖSTERGÖTLANDS LÄN</t>
        </is>
      </c>
      <c r="G287" t="inlineStr">
        <is>
          <t>YDRE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45371</v>
      </c>
      <c r="E288" s="1" t="n">
        <v>46270</v>
      </c>
      <c r="F288" t="inlineStr">
        <is>
          <t>ÖSTERGÖTLANDS LÄN</t>
        </is>
      </c>
      <c r="G288" t="inlineStr">
        <is>
          <t>YDRE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45910</v>
      </c>
      <c r="E289" s="1" t="n">
        <v>46270</v>
      </c>
      <c r="F289" t="inlineStr">
        <is>
          <t>ÖSTERGÖTLANDS LÄN</t>
        </is>
      </c>
      <c r="G289" t="inlineStr">
        <is>
          <t>YDRE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46270</v>
      </c>
      <c r="F290" t="inlineStr">
        <is>
          <t>ÖSTERGÖTLANDS LÄN</t>
        </is>
      </c>
      <c r="G290" t="inlineStr">
        <is>
          <t>YDRE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46270</v>
      </c>
      <c r="F291" t="inlineStr">
        <is>
          <t>ÖSTERGÖTLANDS LÄN</t>
        </is>
      </c>
      <c r="G291" t="inlineStr">
        <is>
          <t>YDRE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45871</v>
      </c>
      <c r="E292" s="1" t="n">
        <v>46270</v>
      </c>
      <c r="F292" t="inlineStr">
        <is>
          <t>ÖSTERGÖTLANDS LÄN</t>
        </is>
      </c>
      <c r="G292" t="inlineStr">
        <is>
          <t>YDRE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46270</v>
      </c>
      <c r="F293" t="inlineStr">
        <is>
          <t>ÖSTERGÖTLANDS LÄN</t>
        </is>
      </c>
      <c r="G293" t="inlineStr">
        <is>
          <t>YDRE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45793</v>
      </c>
      <c r="E294" s="1" t="n">
        <v>46270</v>
      </c>
      <c r="F294" t="inlineStr">
        <is>
          <t>ÖSTERGÖTLANDS LÄN</t>
        </is>
      </c>
      <c r="G294" t="inlineStr">
        <is>
          <t>YDRE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46270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46270</v>
      </c>
      <c r="F296" t="inlineStr">
        <is>
          <t>ÖSTERGÖTLANDS LÄN</t>
        </is>
      </c>
      <c r="G296" t="inlineStr">
        <is>
          <t>YDRE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51153-2022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44868</v>
      </c>
      <c r="E297" s="1" t="n">
        <v>46270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46270</v>
      </c>
      <c r="F298" t="inlineStr">
        <is>
          <t>ÖSTERGÖTLANDS LÄN</t>
        </is>
      </c>
      <c r="G298" t="inlineStr">
        <is>
          <t>YDRE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45701</v>
      </c>
      <c r="E299" s="1" t="n">
        <v>46270</v>
      </c>
      <c r="F299" t="inlineStr">
        <is>
          <t>ÖSTERGÖTLANDS LÄN</t>
        </is>
      </c>
      <c r="G299" t="inlineStr">
        <is>
          <t>YDRE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45583</v>
      </c>
      <c r="E300" s="1" t="n">
        <v>46270</v>
      </c>
      <c r="F300" t="inlineStr">
        <is>
          <t>ÖSTERGÖTLANDS LÄN</t>
        </is>
      </c>
      <c r="G300" t="inlineStr">
        <is>
          <t>YDRE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45099</v>
      </c>
      <c r="E301" s="1" t="n">
        <v>46270</v>
      </c>
      <c r="F301" t="inlineStr">
        <is>
          <t>ÖSTERGÖTLANDS LÄN</t>
        </is>
      </c>
      <c r="G301" t="inlineStr">
        <is>
          <t>YDRE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49441-2024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45595</v>
      </c>
      <c r="E302" s="1" t="n">
        <v>46270</v>
      </c>
      <c r="F302" t="inlineStr">
        <is>
          <t>ÖSTERGÖTLANDS LÄN</t>
        </is>
      </c>
      <c r="G302" t="inlineStr">
        <is>
          <t>YDRE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44966</v>
      </c>
      <c r="E303" s="1" t="n">
        <v>46270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44572</v>
      </c>
      <c r="E304" s="1" t="n">
        <v>46270</v>
      </c>
      <c r="F304" t="inlineStr">
        <is>
          <t>ÖSTERGÖTLANDS LÄN</t>
        </is>
      </c>
      <c r="G304" t="inlineStr">
        <is>
          <t>YDRE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46270</v>
      </c>
      <c r="F305" t="inlineStr">
        <is>
          <t>ÖSTERGÖTLANDS LÄN</t>
        </is>
      </c>
      <c r="G305" t="inlineStr">
        <is>
          <t>YDRE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59407-2021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44491</v>
      </c>
      <c r="E306" s="1" t="n">
        <v>46270</v>
      </c>
      <c r="F306" t="inlineStr">
        <is>
          <t>ÖSTERGÖTLANDS LÄN</t>
        </is>
      </c>
      <c r="G306" t="inlineStr">
        <is>
          <t>YDRE</t>
        </is>
      </c>
      <c r="H306" t="inlineStr">
        <is>
          <t>Sveaskog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21063-2026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46270</v>
      </c>
      <c r="F307" t="inlineStr">
        <is>
          <t>ÖSTERGÖTLANDS LÄN</t>
        </is>
      </c>
      <c r="G307" t="inlineStr">
        <is>
          <t>YDRE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21069-2026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46270</v>
      </c>
      <c r="F308" t="inlineStr">
        <is>
          <t>ÖSTERGÖTLANDS LÄN</t>
        </is>
      </c>
      <c r="G308" t="inlineStr">
        <is>
          <t>YDRE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21070-2026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46270</v>
      </c>
      <c r="F309" t="inlineStr">
        <is>
          <t>ÖSTERGÖTLANDS LÄN</t>
        </is>
      </c>
      <c r="G309" t="inlineStr">
        <is>
          <t>YDRE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46270</v>
      </c>
      <c r="F310" t="inlineStr">
        <is>
          <t>ÖSTERGÖTLANDS LÄN</t>
        </is>
      </c>
      <c r="G310" t="inlineStr">
        <is>
          <t>YDRE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46270</v>
      </c>
      <c r="F311" t="inlineStr">
        <is>
          <t>ÖSTERGÖTLANDS LÄN</t>
        </is>
      </c>
      <c r="G311" t="inlineStr">
        <is>
          <t>YDRE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61636-2021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44501</v>
      </c>
      <c r="E312" s="1" t="n">
        <v>46270</v>
      </c>
      <c r="F312" t="inlineStr">
        <is>
          <t>ÖSTERGÖTLANDS LÄN</t>
        </is>
      </c>
      <c r="G312" t="inlineStr">
        <is>
          <t>YDRE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22175-2026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46270</v>
      </c>
      <c r="F313" t="inlineStr">
        <is>
          <t>ÖSTERGÖTLANDS LÄN</t>
        </is>
      </c>
      <c r="G313" t="inlineStr">
        <is>
          <t>YDRE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45701</v>
      </c>
      <c r="E314" s="1" t="n">
        <v>46270</v>
      </c>
      <c r="F314" t="inlineStr">
        <is>
          <t>ÖSTERGÖTLANDS LÄN</t>
        </is>
      </c>
      <c r="G314" t="inlineStr">
        <is>
          <t>YDRE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45335</v>
      </c>
      <c r="E315" s="1" t="n">
        <v>46270</v>
      </c>
      <c r="F315" t="inlineStr">
        <is>
          <t>ÖSTERGÖTLANDS LÄN</t>
        </is>
      </c>
      <c r="G315" t="inlineStr">
        <is>
          <t>YDRE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22312-2026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46154</v>
      </c>
      <c r="E316" s="1" t="n">
        <v>46270</v>
      </c>
      <c r="F316" t="inlineStr">
        <is>
          <t>ÖSTERGÖTLANDS LÄN</t>
        </is>
      </c>
      <c r="G316" t="inlineStr">
        <is>
          <t>YDRE</t>
        </is>
      </c>
      <c r="H316" t="inlineStr">
        <is>
          <t>Övriga Aktiebolag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45198-2024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45575</v>
      </c>
      <c r="E317" s="1" t="n">
        <v>46270</v>
      </c>
      <c r="F317" t="inlineStr">
        <is>
          <t>ÖSTERGÖTLANDS LÄN</t>
        </is>
      </c>
      <c r="G317" t="inlineStr">
        <is>
          <t>YDRE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53534-2022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44874</v>
      </c>
      <c r="E318" s="1" t="n">
        <v>46270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46270</v>
      </c>
      <c r="F319" t="inlineStr">
        <is>
          <t>ÖSTERGÖTLANDS LÄN</t>
        </is>
      </c>
      <c r="G319" t="inlineStr">
        <is>
          <t>YDRE</t>
        </is>
      </c>
      <c r="H319" t="inlineStr">
        <is>
          <t>Övriga Aktiebolag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45649</v>
      </c>
      <c r="E320" s="1" t="n">
        <v>46270</v>
      </c>
      <c r="F320" t="inlineStr">
        <is>
          <t>ÖSTERGÖTLANDS LÄN</t>
        </is>
      </c>
      <c r="G320" t="inlineStr">
        <is>
          <t>YDRE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2745-2026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46038</v>
      </c>
      <c r="E321" s="1" t="n">
        <v>46270</v>
      </c>
      <c r="F321" t="inlineStr">
        <is>
          <t>ÖSTERGÖTLANDS LÄN</t>
        </is>
      </c>
      <c r="G321" t="inlineStr">
        <is>
          <t>YDRE</t>
        </is>
      </c>
      <c r="H321" t="inlineStr">
        <is>
          <t>Övriga Aktiebolag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46270</v>
      </c>
      <c r="F322" t="inlineStr">
        <is>
          <t>ÖSTERGÖTLANDS LÄN</t>
        </is>
      </c>
      <c r="G322" t="inlineStr">
        <is>
          <t>YDRE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45580</v>
      </c>
      <c r="E323" s="1" t="n">
        <v>46270</v>
      </c>
      <c r="F323" t="inlineStr">
        <is>
          <t>ÖSTERGÖTLANDS LÄN</t>
        </is>
      </c>
      <c r="G323" t="inlineStr">
        <is>
          <t>YDRE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46270</v>
      </c>
      <c r="F324" t="inlineStr">
        <is>
          <t>ÖSTERGÖTLANDS LÄN</t>
        </is>
      </c>
      <c r="G324" t="inlineStr">
        <is>
          <t>YDRE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45707</v>
      </c>
      <c r="E325" s="1" t="n">
        <v>46270</v>
      </c>
      <c r="F325" t="inlineStr">
        <is>
          <t>ÖSTERGÖTLANDS LÄN</t>
        </is>
      </c>
      <c r="G325" t="inlineStr">
        <is>
          <t>YDRE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45664</v>
      </c>
      <c r="E326" s="1" t="n">
        <v>46270</v>
      </c>
      <c r="F326" t="inlineStr">
        <is>
          <t>ÖSTERGÖTLANDS LÄN</t>
        </is>
      </c>
      <c r="G326" t="inlineStr">
        <is>
          <t>YDRE</t>
        </is>
      </c>
      <c r="I326" t="n">
        <v>8.6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46270</v>
      </c>
      <c r="F327" t="inlineStr">
        <is>
          <t>ÖSTERGÖTLANDS LÄN</t>
        </is>
      </c>
      <c r="G327" t="inlineStr">
        <is>
          <t>YDRE</t>
        </is>
      </c>
      <c r="H327" t="inlineStr">
        <is>
          <t>Sveaskog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24780-2026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46171</v>
      </c>
      <c r="E328" s="1" t="n">
        <v>46270</v>
      </c>
      <c r="F328" t="inlineStr">
        <is>
          <t>ÖSTERGÖTLANDS LÄN</t>
        </is>
      </c>
      <c r="G328" t="inlineStr">
        <is>
          <t>YDRE</t>
        </is>
      </c>
      <c r="H328" t="inlineStr">
        <is>
          <t>Övriga Aktiebolag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46270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68983-2021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44530</v>
      </c>
      <c r="E330" s="1" t="n">
        <v>46270</v>
      </c>
      <c r="F330" t="inlineStr">
        <is>
          <t>ÖSTERGÖTLANDS LÄN</t>
        </is>
      </c>
      <c r="G330" t="inlineStr">
        <is>
          <t>YDRE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46270</v>
      </c>
      <c r="F331" t="inlineStr">
        <is>
          <t>ÖSTERGÖTLANDS LÄN</t>
        </is>
      </c>
      <c r="G331" t="inlineStr">
        <is>
          <t>YDRE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61752-2024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46270</v>
      </c>
      <c r="F332" t="inlineStr">
        <is>
          <t>ÖSTERGÖTLANDS LÄN</t>
        </is>
      </c>
      <c r="G332" t="inlineStr">
        <is>
          <t>YDRE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46177</v>
      </c>
      <c r="E333" s="1" t="n">
        <v>46270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45398</v>
      </c>
      <c r="E334" s="1" t="n">
        <v>46270</v>
      </c>
      <c r="F334" t="inlineStr">
        <is>
          <t>ÖSTERGÖTLANDS LÄN</t>
        </is>
      </c>
      <c r="G334" t="inlineStr">
        <is>
          <t>YDRE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46270</v>
      </c>
      <c r="F335" t="inlineStr">
        <is>
          <t>ÖSTERGÖTLANDS LÄN</t>
        </is>
      </c>
      <c r="G335" t="inlineStr">
        <is>
          <t>YDRE</t>
        </is>
      </c>
      <c r="I335" t="n">
        <v>10.2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46270</v>
      </c>
      <c r="F336" t="inlineStr">
        <is>
          <t>ÖSTERGÖTLANDS LÄN</t>
        </is>
      </c>
      <c r="G336" t="inlineStr">
        <is>
          <t>YDRE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46270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45104</v>
      </c>
      <c r="E338" s="1" t="n">
        <v>46270</v>
      </c>
      <c r="F338" t="inlineStr">
        <is>
          <t>ÖSTERGÖTLANDS LÄN</t>
        </is>
      </c>
      <c r="G338" t="inlineStr">
        <is>
          <t>YDRE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50328-2024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46270</v>
      </c>
      <c r="F339" t="inlineStr">
        <is>
          <t>ÖSTERGÖTLANDS LÄN</t>
        </is>
      </c>
      <c r="G339" t="inlineStr">
        <is>
          <t>YDRE</t>
        </is>
      </c>
      <c r="H339" t="inlineStr">
        <is>
          <t>Kyrkan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46270</v>
      </c>
      <c r="F340" t="inlineStr">
        <is>
          <t>ÖSTERGÖTLANDS LÄN</t>
        </is>
      </c>
      <c r="G340" t="inlineStr">
        <is>
          <t>YDRE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46270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46270</v>
      </c>
      <c r="F342" t="inlineStr">
        <is>
          <t>ÖSTERGÖTLANDS LÄN</t>
        </is>
      </c>
      <c r="G342" t="inlineStr">
        <is>
          <t>YDRE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46270</v>
      </c>
      <c r="F343" t="inlineStr">
        <is>
          <t>ÖSTERGÖTLANDS LÄN</t>
        </is>
      </c>
      <c r="G343" t="inlineStr">
        <is>
          <t>YDRE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38928-2022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44816</v>
      </c>
      <c r="E344" s="1" t="n">
        <v>46270</v>
      </c>
      <c r="F344" t="inlineStr">
        <is>
          <t>ÖSTERGÖTLANDS LÄN</t>
        </is>
      </c>
      <c r="G344" t="inlineStr">
        <is>
          <t>YDRE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45016</v>
      </c>
      <c r="E345" s="1" t="n">
        <v>46270</v>
      </c>
      <c r="F345" t="inlineStr">
        <is>
          <t>ÖSTERGÖTLANDS LÄN</t>
        </is>
      </c>
      <c r="G345" t="inlineStr">
        <is>
          <t>YDRE</t>
        </is>
      </c>
      <c r="H345" t="inlineStr">
        <is>
          <t>Övriga Aktiebolag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27700-2026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46190</v>
      </c>
      <c r="E346" s="1" t="n">
        <v>46270</v>
      </c>
      <c r="F346" t="inlineStr">
        <is>
          <t>ÖSTERGÖTLANDS LÄN</t>
        </is>
      </c>
      <c r="G346" t="inlineStr">
        <is>
          <t>YDRE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14645-2022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44655</v>
      </c>
      <c r="E347" s="1" t="n">
        <v>46270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46270</v>
      </c>
      <c r="F348" t="inlineStr">
        <is>
          <t>ÖSTERGÖTLANDS LÄN</t>
        </is>
      </c>
      <c r="G348" t="inlineStr">
        <is>
          <t>YDRE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46270</v>
      </c>
      <c r="F349" t="inlineStr">
        <is>
          <t>ÖSTERGÖTLANDS LÄN</t>
        </is>
      </c>
      <c r="G349" t="inlineStr">
        <is>
          <t>YDRE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45085</v>
      </c>
      <c r="E350" s="1" t="n">
        <v>46270</v>
      </c>
      <c r="F350" t="inlineStr">
        <is>
          <t>ÖSTERGÖTLANDS LÄN</t>
        </is>
      </c>
      <c r="G350" t="inlineStr">
        <is>
          <t>YDRE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46270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46270</v>
      </c>
      <c r="F352" t="inlineStr">
        <is>
          <t>ÖSTERGÖTLANDS LÄN</t>
        </is>
      </c>
      <c r="G352" t="inlineStr">
        <is>
          <t>YDRE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9162-2023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44980</v>
      </c>
      <c r="E353" s="1" t="n">
        <v>46270</v>
      </c>
      <c r="F353" t="inlineStr">
        <is>
          <t>ÖSTERGÖTLANDS LÄN</t>
        </is>
      </c>
      <c r="G353" t="inlineStr">
        <is>
          <t>YDRE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44908</v>
      </c>
      <c r="E354" s="1" t="n">
        <v>46270</v>
      </c>
      <c r="F354" t="inlineStr">
        <is>
          <t>ÖSTERGÖTLANDS LÄN</t>
        </is>
      </c>
      <c r="G354" t="inlineStr">
        <is>
          <t>YDRE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45634</v>
      </c>
      <c r="E355" s="1" t="n">
        <v>46270</v>
      </c>
      <c r="F355" t="inlineStr">
        <is>
          <t>ÖSTERGÖTLANDS LÄN</t>
        </is>
      </c>
      <c r="G355" t="inlineStr">
        <is>
          <t>YDRE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50979-2023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45218</v>
      </c>
      <c r="E356" s="1" t="n">
        <v>46270</v>
      </c>
      <c r="F356" t="inlineStr">
        <is>
          <t>ÖSTERGÖTLANDS LÄN</t>
        </is>
      </c>
      <c r="G356" t="inlineStr">
        <is>
          <t>YDRE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46270</v>
      </c>
      <c r="F357" t="inlineStr">
        <is>
          <t>ÖSTERGÖTLANDS LÄN</t>
        </is>
      </c>
      <c r="G357" t="inlineStr">
        <is>
          <t>YDRE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46240</v>
      </c>
      <c r="E358" s="1" t="n">
        <v>46270</v>
      </c>
      <c r="F358" t="inlineStr">
        <is>
          <t>ÖSTERGÖTLANDS LÄN</t>
        </is>
      </c>
      <c r="G358" t="inlineStr">
        <is>
          <t>YDRE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46240</v>
      </c>
      <c r="E359" s="1" t="n">
        <v>46270</v>
      </c>
      <c r="F359" t="inlineStr">
        <is>
          <t>ÖSTERGÖTLANDS LÄN</t>
        </is>
      </c>
      <c r="G359" t="inlineStr">
        <is>
          <t>YDRE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14184-2022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44651</v>
      </c>
      <c r="E360" s="1" t="n">
        <v>46270</v>
      </c>
      <c r="F360" t="inlineStr">
        <is>
          <t>ÖSTERGÖTLANDS LÄN</t>
        </is>
      </c>
      <c r="G360" t="inlineStr">
        <is>
          <t>YDRE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45395-2022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44844</v>
      </c>
      <c r="E361" s="1" t="n">
        <v>46270</v>
      </c>
      <c r="F361" t="inlineStr">
        <is>
          <t>ÖSTERGÖTLANDS LÄN</t>
        </is>
      </c>
      <c r="G361" t="inlineStr">
        <is>
          <t>YDRE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46270</v>
      </c>
      <c r="F362" t="inlineStr">
        <is>
          <t>ÖSTERGÖTLANDS LÄN</t>
        </is>
      </c>
      <c r="G362" t="inlineStr">
        <is>
          <t>YDRE</t>
        </is>
      </c>
      <c r="I362" t="n">
        <v>17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46270</v>
      </c>
      <c r="F363" t="inlineStr">
        <is>
          <t>ÖSTERGÖTLANDS LÄN</t>
        </is>
      </c>
      <c r="G363" t="inlineStr">
        <is>
          <t>YDRE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46270</v>
      </c>
      <c r="F364" t="inlineStr">
        <is>
          <t>ÖSTERGÖTLANDS LÄN</t>
        </is>
      </c>
      <c r="G364" t="inlineStr">
        <is>
          <t>YDRE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45159</v>
      </c>
      <c r="E365" s="1" t="n">
        <v>46270</v>
      </c>
      <c r="F365" t="inlineStr">
        <is>
          <t>ÖSTERGÖTLANDS LÄN</t>
        </is>
      </c>
      <c r="G365" t="inlineStr">
        <is>
          <t>YDRE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46270</v>
      </c>
      <c r="F366" t="inlineStr">
        <is>
          <t>ÖSTERGÖTLANDS LÄN</t>
        </is>
      </c>
      <c r="G366" t="inlineStr">
        <is>
          <t>YDRE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45558</v>
      </c>
      <c r="E367" s="1" t="n">
        <v>46270</v>
      </c>
      <c r="F367" t="inlineStr">
        <is>
          <t>ÖSTERGÖTLANDS LÄN</t>
        </is>
      </c>
      <c r="G367" t="inlineStr">
        <is>
          <t>YDRE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46270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46270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29280-2026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46270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45054</v>
      </c>
      <c r="E371" s="1" t="n">
        <v>46270</v>
      </c>
      <c r="F371" t="inlineStr">
        <is>
          <t>ÖSTERGÖTLANDS LÄN</t>
        </is>
      </c>
      <c r="G371" t="inlineStr">
        <is>
          <t>YDRE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45755</v>
      </c>
      <c r="E372" s="1" t="n">
        <v>46270</v>
      </c>
      <c r="F372" t="inlineStr">
        <is>
          <t>ÖSTERGÖTLANDS LÄN</t>
        </is>
      </c>
      <c r="G372" t="inlineStr">
        <is>
          <t>YDRE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44994</v>
      </c>
      <c r="E373" s="1" t="n">
        <v>46270</v>
      </c>
      <c r="F373" t="inlineStr">
        <is>
          <t>ÖSTERGÖTLANDS LÄN</t>
        </is>
      </c>
      <c r="G373" t="inlineStr">
        <is>
          <t>YDRE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45273</v>
      </c>
      <c r="E374" s="1" t="n">
        <v>46270</v>
      </c>
      <c r="F374" t="inlineStr">
        <is>
          <t>ÖSTERGÖTLANDS LÄN</t>
        </is>
      </c>
      <c r="G374" t="inlineStr">
        <is>
          <t>YDRE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46270</v>
      </c>
      <c r="F375" t="inlineStr">
        <is>
          <t>ÖSTERGÖTLANDS LÄN</t>
        </is>
      </c>
      <c r="G375" t="inlineStr">
        <is>
          <t>YDRE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16289-2022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44670</v>
      </c>
      <c r="E376" s="1" t="n">
        <v>46270</v>
      </c>
      <c r="F376" t="inlineStr">
        <is>
          <t>ÖSTERGÖTLANDS LÄN</t>
        </is>
      </c>
      <c r="G376" t="inlineStr">
        <is>
          <t>YDRE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44953</v>
      </c>
      <c r="E377" s="1" t="n">
        <v>46270</v>
      </c>
      <c r="F377" t="inlineStr">
        <is>
          <t>ÖSTERGÖTLANDS LÄN</t>
        </is>
      </c>
      <c r="G377" t="inlineStr">
        <is>
          <t>YDRE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14101-2022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44651</v>
      </c>
      <c r="E378" s="1" t="n">
        <v>46270</v>
      </c>
      <c r="F378" t="inlineStr">
        <is>
          <t>ÖSTERGÖTLANDS LÄN</t>
        </is>
      </c>
      <c r="G378" t="inlineStr">
        <is>
          <t>YDRE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46270</v>
      </c>
      <c r="F379" t="inlineStr">
        <is>
          <t>ÖSTERGÖTLANDS LÄN</t>
        </is>
      </c>
      <c r="G379" t="inlineStr">
        <is>
          <t>YDRE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59296-2021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44490</v>
      </c>
      <c r="E380" s="1" t="n">
        <v>46270</v>
      </c>
      <c r="F380" t="inlineStr">
        <is>
          <t>ÖSTERGÖTLANDS LÄN</t>
        </is>
      </c>
      <c r="G380" t="inlineStr">
        <is>
          <t>YDRE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45159</v>
      </c>
      <c r="E381" s="1" t="n">
        <v>46270</v>
      </c>
      <c r="F381" t="inlineStr">
        <is>
          <t>ÖSTERGÖTLANDS LÄN</t>
        </is>
      </c>
      <c r="G381" t="inlineStr">
        <is>
          <t>YDRE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46270</v>
      </c>
      <c r="F382" t="inlineStr">
        <is>
          <t>ÖSTERGÖTLANDS LÄN</t>
        </is>
      </c>
      <c r="G382" t="inlineStr">
        <is>
          <t>YDRE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46270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45736</v>
      </c>
      <c r="E384" s="1" t="n">
        <v>46270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45748</v>
      </c>
      <c r="E385" s="1" t="n">
        <v>46270</v>
      </c>
      <c r="F385" t="inlineStr">
        <is>
          <t>ÖSTERGÖTLANDS LÄN</t>
        </is>
      </c>
      <c r="G385" t="inlineStr">
        <is>
          <t>YDRE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61205-2023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45264</v>
      </c>
      <c r="E386" s="1" t="n">
        <v>46270</v>
      </c>
      <c r="F386" t="inlineStr">
        <is>
          <t>ÖSTERGÖTLANDS LÄN</t>
        </is>
      </c>
      <c r="G386" t="inlineStr">
        <is>
          <t>YDRE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57290-2021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44483</v>
      </c>
      <c r="E387" s="1" t="n">
        <v>46270</v>
      </c>
      <c r="F387" t="inlineStr">
        <is>
          <t>ÖSTERGÖTLANDS LÄN</t>
        </is>
      </c>
      <c r="G387" t="inlineStr">
        <is>
          <t>YDRE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45492</v>
      </c>
      <c r="E388" s="1" t="n">
        <v>46270</v>
      </c>
      <c r="F388" t="inlineStr">
        <is>
          <t>ÖSTERGÖTLANDS LÄN</t>
        </is>
      </c>
      <c r="G388" t="inlineStr">
        <is>
          <t>YDRE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26101-2024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45468</v>
      </c>
      <c r="E389" s="1" t="n">
        <v>46270</v>
      </c>
      <c r="F389" t="inlineStr">
        <is>
          <t>ÖSTERGÖTLANDS LÄN</t>
        </is>
      </c>
      <c r="G389" t="inlineStr">
        <is>
          <t>YDRE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46258</v>
      </c>
      <c r="E390" s="1" t="n">
        <v>46270</v>
      </c>
      <c r="F390" t="inlineStr">
        <is>
          <t>ÖSTERGÖTLANDS LÄN</t>
        </is>
      </c>
      <c r="G390" t="inlineStr">
        <is>
          <t>YDRE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46270</v>
      </c>
      <c r="F391" t="inlineStr">
        <is>
          <t>ÖSTERGÖTLANDS LÄN</t>
        </is>
      </c>
      <c r="G391" t="inlineStr">
        <is>
          <t>YDRE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46270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46270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46270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18.2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46270</v>
      </c>
      <c r="F395" t="inlineStr">
        <is>
          <t>ÖSTERGÖTLANDS LÄN</t>
        </is>
      </c>
      <c r="G395" t="inlineStr">
        <is>
          <t>YDRE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10414-2024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46270</v>
      </c>
      <c r="F396" t="inlineStr">
        <is>
          <t>ÖSTERGÖTLANDS LÄN</t>
        </is>
      </c>
      <c r="G396" t="inlineStr">
        <is>
          <t>YDRE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46270</v>
      </c>
      <c r="F397" t="inlineStr">
        <is>
          <t>ÖSTERGÖTLANDS LÄN</t>
        </is>
      </c>
      <c r="G397" t="inlineStr">
        <is>
          <t>YDRE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45796</v>
      </c>
      <c r="E398" s="1" t="n">
        <v>46270</v>
      </c>
      <c r="F398" t="inlineStr">
        <is>
          <t>ÖSTERGÖTLANDS LÄN</t>
        </is>
      </c>
      <c r="G398" t="inlineStr">
        <is>
          <t>YDRE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46270</v>
      </c>
      <c r="F399" t="inlineStr">
        <is>
          <t>ÖSTERGÖTLANDS LÄN</t>
        </is>
      </c>
      <c r="G399" t="inlineStr">
        <is>
          <t>YDRE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46269</v>
      </c>
      <c r="E400" s="1" t="n">
        <v>46270</v>
      </c>
      <c r="F400" t="inlineStr">
        <is>
          <t>ÖSTERGÖTLANDS LÄN</t>
        </is>
      </c>
      <c r="G400" t="inlineStr">
        <is>
          <t>YDRE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36610-2026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46269</v>
      </c>
      <c r="E401" s="1" t="n">
        <v>46270</v>
      </c>
      <c r="F401" t="inlineStr">
        <is>
          <t>ÖSTERGÖTLANDS LÄN</t>
        </is>
      </c>
      <c r="G401" t="inlineStr">
        <is>
          <t>YDRE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416-2022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44585</v>
      </c>
      <c r="E402" s="1" t="n">
        <v>46270</v>
      </c>
      <c r="F402" t="inlineStr">
        <is>
          <t>ÖSTERGÖTLANDS LÄN</t>
        </is>
      </c>
      <c r="G402" t="inlineStr">
        <is>
          <t>YDRE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2053-2025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45839</v>
      </c>
      <c r="E403" s="1" t="n">
        <v>46270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2604-2025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45916</v>
      </c>
      <c r="E404" s="1" t="n">
        <v>46270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3063-2025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45964</v>
      </c>
      <c r="E405" s="1" t="n">
        <v>46270</v>
      </c>
      <c r="F405" t="inlineStr">
        <is>
          <t>ÖSTERGÖTLANDS LÄN</t>
        </is>
      </c>
      <c r="G405" t="inlineStr">
        <is>
          <t>YDRE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384-2026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46066</v>
      </c>
      <c r="E406" s="1" t="n">
        <v>46270</v>
      </c>
      <c r="F406" t="inlineStr">
        <is>
          <t>ÖSTERGÖTLANDS LÄN</t>
        </is>
      </c>
      <c r="G406" t="inlineStr">
        <is>
          <t>YDRE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2026-09-05T02:09:09Z</dcterms:created>
  <dcterms:modified xmlns:dcterms="http://purl.org/dc/terms/" xmlns:xsi="http://www.w3.org/2001/XMLSchema-instance" xsi:type="dcterms:W3CDTF">2026-09-05T02:09:10Z</dcterms:modified>
</cp:coreProperties>
</file>