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46251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46251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46251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46251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46251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46251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46251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46251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46251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46251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46251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46251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46251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46251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25498-2022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44732</v>
      </c>
      <c r="E18" s="1" t="n">
        <v>46251</v>
      </c>
      <c r="F18" t="inlineStr">
        <is>
          <t>ÖSTERGÖTLANDS LÄN</t>
        </is>
      </c>
      <c r="G18" t="inlineStr">
        <is>
          <t>YDRE</t>
        </is>
      </c>
      <c r="H18" t="inlineStr">
        <is>
          <t>Kyrkan</t>
        </is>
      </c>
      <c r="I18" t="n">
        <v>71.09999999999999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Brunpudrad nållav</t>
        </is>
      </c>
      <c r="W18">
        <f>HYPERLINK("https://klasma.github.io/Logging_0512/artfynd/A 25498-2022 artfynd.xlsx", "A 25498-2022")</f>
        <v/>
      </c>
      <c r="X18">
        <f>HYPERLINK("https://klasma.github.io/Logging_0512/kartor/A 25498-2022 karta.png", "A 25498-2022")</f>
        <v/>
      </c>
      <c r="Y18">
        <f>HYPERLINK("https://klasma.github.io/Logging_0512/kartor_geotiff/A 25498-2022 georefererad karta.tif", "A 25498-2022")</f>
        <v/>
      </c>
      <c r="AA18">
        <f>HYPERLINK("https://klasma.github.io/Logging_0512/klagomål/A 25498-2022 FSC-klagomål.docx", "A 25498-2022")</f>
        <v/>
      </c>
      <c r="AB18">
        <f>HYPERLINK("https://klasma.github.io/Logging_0512/klagomålsmail/A 25498-2022 FSC-klagomål mail.docx", "A 25498-2022")</f>
        <v/>
      </c>
      <c r="AC18">
        <f>HYPERLINK("https://klasma.github.io/Logging_0512/tillsyn/A 25498-2022 tillsynsbegäran.docx", "A 25498-2022")</f>
        <v/>
      </c>
      <c r="AD18">
        <f>HYPERLINK("https://klasma.github.io/Logging_0512/tillsynsmail/A 25498-2022 tillsynsbegäran mail.docx", "A 25498-2022")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46251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46251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46251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46251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46251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46251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46251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46251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46251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12669-2025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45733</v>
      </c>
      <c r="E28" s="1" t="n">
        <v>46251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Nattviol</t>
        </is>
      </c>
      <c r="W28">
        <f>HYPERLINK("https://klasma.github.io/Logging_0512/artfynd/A 12669-2025 artfynd.xlsx", "A 12669-2025")</f>
        <v/>
      </c>
      <c r="X28">
        <f>HYPERLINK("https://klasma.github.io/Logging_0512/kartor/A 12669-2025 karta.png", "A 12669-2025")</f>
        <v/>
      </c>
      <c r="Y28">
        <f>HYPERLINK("https://klasma.github.io/Logging_0512/kartor_geotiff/A 12669-2025 georefererad karta.tif", "A 12669-2025")</f>
        <v/>
      </c>
      <c r="AA28">
        <f>HYPERLINK("https://klasma.github.io/Logging_0512/klagomål/A 12669-2025 FSC-klagomål.docx", "A 12669-2025")</f>
        <v/>
      </c>
      <c r="AB28">
        <f>HYPERLINK("https://klasma.github.io/Logging_0512/klagomålsmail/A 12669-2025 FSC-klagomål mail.docx", "A 12669-2025")</f>
        <v/>
      </c>
      <c r="AC28">
        <f>HYPERLINK("https://klasma.github.io/Logging_0512/tillsyn/A 12669-2025 tillsynsbegäran.docx", "A 12669-2025")</f>
        <v/>
      </c>
      <c r="AD28">
        <f>HYPERLINK("https://klasma.github.io/Logging_0512/tillsynsmail/A 12669-2025 tillsynsbegäran mail.docx", "A 12669-2025")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46251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46251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46251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46251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46251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46251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45765-2025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46251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HYPERLINK("https://klasma.github.io/Logging_0512/artfynd/A 45765-2025 artfynd.xlsx", "A 45765-2025")</f>
        <v/>
      </c>
      <c r="X35">
        <f>HYPERLINK("https://klasma.github.io/Logging_0512/kartor/A 45765-2025 karta.png", "A 45765-2025")</f>
        <v/>
      </c>
      <c r="Y35">
        <f>HYPERLINK("https://klasma.github.io/Logging_0512/kartor_geotiff/A 45765-2025 georefererad karta.tif", "A 45765-2025")</f>
        <v/>
      </c>
      <c r="AA35">
        <f>HYPERLINK("https://klasma.github.io/Logging_0512/klagomål/A 45765-2025 FSC-klagomål.docx", "A 45765-2025")</f>
        <v/>
      </c>
      <c r="AB35">
        <f>HYPERLINK("https://klasma.github.io/Logging_0512/klagomålsmail/A 45765-2025 FSC-klagomål mail.docx", "A 45765-2025")</f>
        <v/>
      </c>
      <c r="AC35">
        <f>HYPERLINK("https://klasma.github.io/Logging_0512/tillsyn/A 45765-2025 tillsynsbegäran.docx", "A 45765-2025")</f>
        <v/>
      </c>
      <c r="AD35">
        <f>HYPERLINK("https://klasma.github.io/Logging_0512/tillsynsmail/A 45765-2025 tillsynsbegäran mail.docx", "A 45765-2025")</f>
        <v/>
      </c>
    </row>
    <row r="36" ht="15" customHeight="1">
      <c r="A36" t="inlineStr">
        <is>
          <t>A 11716-2025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46251</v>
      </c>
      <c r="F36" t="inlineStr">
        <is>
          <t>ÖSTERGÖTLANDS LÄN</t>
        </is>
      </c>
      <c r="G36" t="inlineStr">
        <is>
          <t>YDRE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Kryddspindling</t>
        </is>
      </c>
      <c r="W36">
        <f>HYPERLINK("https://klasma.github.io/Logging_0512/artfynd/A 11716-2025 artfynd.xlsx", "A 11716-2025")</f>
        <v/>
      </c>
      <c r="X36">
        <f>HYPERLINK("https://klasma.github.io/Logging_0512/kartor/A 11716-2025 karta.png", "A 11716-2025")</f>
        <v/>
      </c>
      <c r="Y36">
        <f>HYPERLINK("https://klasma.github.io/Logging_0512/kartor_geotiff/A 11716-2025 georefererad karta.tif", "A 11716-2025")</f>
        <v/>
      </c>
      <c r="AA36">
        <f>HYPERLINK("https://klasma.github.io/Logging_0512/klagomål/A 11716-2025 FSC-klagomål.docx", "A 11716-2025")</f>
        <v/>
      </c>
      <c r="AB36">
        <f>HYPERLINK("https://klasma.github.io/Logging_0512/klagomålsmail/A 11716-2025 FSC-klagomål mail.docx", "A 11716-2025")</f>
        <v/>
      </c>
      <c r="AC36">
        <f>HYPERLINK("https://klasma.github.io/Logging_0512/tillsyn/A 11716-2025 tillsynsbegäran.docx", "A 11716-2025")</f>
        <v/>
      </c>
      <c r="AD36">
        <f>HYPERLINK("https://klasma.github.io/Logging_0512/tillsynsmail/A 11716-2025 tillsynsbegäran mail.docx", "A 11716-2025")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46251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46251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46251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46251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48344-2022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46251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7.6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HYPERLINK("https://klasma.github.io/Logging_0512/artfynd/A 48344-2022 artfynd.xlsx", "A 48344-2022")</f>
        <v/>
      </c>
      <c r="X41">
        <f>HYPERLINK("https://klasma.github.io/Logging_0512/kartor/A 48344-2022 karta.png", "A 48344-2022")</f>
        <v/>
      </c>
      <c r="Y41">
        <f>HYPERLINK("https://klasma.github.io/Logging_0512/kartor_geotiff/A 48344-2022 georefererad karta.tif", "A 48344-2022")</f>
        <v/>
      </c>
      <c r="AA41">
        <f>HYPERLINK("https://klasma.github.io/Logging_0512/klagomål/A 48344-2022 FSC-klagomål.docx", "A 48344-2022")</f>
        <v/>
      </c>
      <c r="AB41">
        <f>HYPERLINK("https://klasma.github.io/Logging_0512/klagomålsmail/A 48344-2022 FSC-klagomål mail.docx", "A 48344-2022")</f>
        <v/>
      </c>
      <c r="AC41">
        <f>HYPERLINK("https://klasma.github.io/Logging_0512/tillsyn/A 48344-2022 tillsynsbegäran.docx", "A 48344-2022")</f>
        <v/>
      </c>
      <c r="AD41">
        <f>HYPERLINK("https://klasma.github.io/Logging_0512/tillsynsmail/A 48344-2022 tillsynsbegäran mail.docx", "A 48344-2022")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46251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46251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46251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A 29200-2026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46251</v>
      </c>
      <c r="F45" t="inlineStr">
        <is>
          <t>ÖSTERGÖTLANDS LÄN</t>
        </is>
      </c>
      <c r="G45" t="inlineStr">
        <is>
          <t>YDRE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HYPERLINK("https://klasma.github.io/Logging_0512/artfynd/A 29200-2026 artfynd.xlsx", "A 29200-2026")</f>
        <v/>
      </c>
      <c r="X45">
        <f>HYPERLINK("https://klasma.github.io/Logging_0512/kartor/A 29200-2026 karta.png", "A 29200-2026")</f>
        <v/>
      </c>
      <c r="Y45">
        <f>HYPERLINK("https://klasma.github.io/Logging_0512/kartor_geotiff/A 29200-2026 georefererad karta.tif", "A 29200-2026")</f>
        <v/>
      </c>
      <c r="AA45">
        <f>HYPERLINK("https://klasma.github.io/Logging_0512/klagomål/A 29200-2026 FSC-klagomål.docx", "A 29200-2026")</f>
        <v/>
      </c>
      <c r="AB45">
        <f>HYPERLINK("https://klasma.github.io/Logging_0512/klagomålsmail/A 29200-2026 FSC-klagomål mail.docx", "A 29200-2026")</f>
        <v/>
      </c>
      <c r="AC45">
        <f>HYPERLINK("https://klasma.github.io/Logging_0512/tillsyn/A 29200-2026 tillsynsbegäran.docx", "A 29200-2026")</f>
        <v/>
      </c>
      <c r="AD45">
        <f>HYPERLINK("https://klasma.github.io/Logging_0512/tillsynsmail/A 29200-2026 tillsynsbegäran mail.docx", "A 29200-2026")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46251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46251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46251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46251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46251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46251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46251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46251</v>
      </c>
      <c r="F55" t="inlineStr">
        <is>
          <t>ÖSTERGÖTLANDS LÄN</t>
        </is>
      </c>
      <c r="G55" t="inlineStr">
        <is>
          <t>YDRE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46251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46251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46251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46251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46251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46251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46251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46251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46251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46251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46251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46251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46251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46251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46251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46251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46251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46251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46251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46251</v>
      </c>
      <c r="F75" t="inlineStr">
        <is>
          <t>ÖSTERGÖTLANDS LÄN</t>
        </is>
      </c>
      <c r="G75" t="inlineStr">
        <is>
          <t>YDRE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46251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46251</v>
      </c>
      <c r="F77" t="inlineStr">
        <is>
          <t>ÖSTERGÖTLANDS LÄN</t>
        </is>
      </c>
      <c r="G77" t="inlineStr">
        <is>
          <t>YDRE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46251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37568-2023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46251</v>
      </c>
      <c r="F79" t="inlineStr">
        <is>
          <t>ÖSTERGÖTLANDS LÄN</t>
        </is>
      </c>
      <c r="G79" t="inlineStr">
        <is>
          <t>YDRE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46251</v>
      </c>
      <c r="F80" t="inlineStr">
        <is>
          <t>ÖSTERGÖTLANDS LÄN</t>
        </is>
      </c>
      <c r="G80" t="inlineStr">
        <is>
          <t>YDRE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46251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46251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44749</v>
      </c>
      <c r="E83" s="1" t="n">
        <v>46251</v>
      </c>
      <c r="F83" t="inlineStr">
        <is>
          <t>ÖSTERGÖTLANDS LÄN</t>
        </is>
      </c>
      <c r="G83" t="inlineStr">
        <is>
          <t>YDRE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17309-2024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45414</v>
      </c>
      <c r="E84" s="1" t="n">
        <v>46251</v>
      </c>
      <c r="F84" t="inlineStr">
        <is>
          <t>ÖSTERGÖTLANDS LÄN</t>
        </is>
      </c>
      <c r="G84" t="inlineStr">
        <is>
          <t>YDRE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44796</v>
      </c>
      <c r="E85" s="1" t="n">
        <v>46251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46251</v>
      </c>
      <c r="F86" t="inlineStr">
        <is>
          <t>ÖSTERGÖTLANDS LÄN</t>
        </is>
      </c>
      <c r="G86" t="inlineStr">
        <is>
          <t>YDRE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46251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44827</v>
      </c>
      <c r="E88" s="1" t="n">
        <v>46251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46251</v>
      </c>
      <c r="F89" t="inlineStr">
        <is>
          <t>ÖSTERGÖTLANDS LÄN</t>
        </is>
      </c>
      <c r="G89" t="inlineStr">
        <is>
          <t>YDRE</t>
        </is>
      </c>
      <c r="H89" t="inlineStr">
        <is>
          <t>Övriga Aktiebolag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46251</v>
      </c>
      <c r="F90" t="inlineStr">
        <is>
          <t>ÖSTERGÖTLANDS LÄN</t>
        </is>
      </c>
      <c r="G90" t="inlineStr">
        <is>
          <t>YDRE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46251</v>
      </c>
      <c r="F91" t="inlineStr">
        <is>
          <t>ÖSTERGÖTLANDS LÄN</t>
        </is>
      </c>
      <c r="G91" t="inlineStr">
        <is>
          <t>YDRE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46251</v>
      </c>
      <c r="F92" t="inlineStr">
        <is>
          <t>ÖSTERGÖTLANDS LÄN</t>
        </is>
      </c>
      <c r="G92" t="inlineStr">
        <is>
          <t>YDRE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71041-2021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46251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44916</v>
      </c>
      <c r="E94" s="1" t="n">
        <v>46251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53909-2021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46251</v>
      </c>
      <c r="F95" t="inlineStr">
        <is>
          <t>ÖSTERGÖTLANDS LÄN</t>
        </is>
      </c>
      <c r="G95" t="inlineStr">
        <is>
          <t>YDRE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63830-2023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45278</v>
      </c>
      <c r="E96" s="1" t="n">
        <v>46251</v>
      </c>
      <c r="F96" t="inlineStr">
        <is>
          <t>ÖSTERGÖTLANDS LÄN</t>
        </is>
      </c>
      <c r="G96" t="inlineStr">
        <is>
          <t>YDRE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69307-2021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44531</v>
      </c>
      <c r="E97" s="1" t="n">
        <v>46251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44426</v>
      </c>
      <c r="E98" s="1" t="n">
        <v>46251</v>
      </c>
      <c r="F98" t="inlineStr">
        <is>
          <t>ÖSTERGÖTLANDS LÄN</t>
        </is>
      </c>
      <c r="G98" t="inlineStr">
        <is>
          <t>YDRE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46251</v>
      </c>
      <c r="F99" t="inlineStr">
        <is>
          <t>ÖSTERGÖTLANDS LÄN</t>
        </is>
      </c>
      <c r="G99" t="inlineStr">
        <is>
          <t>YDRE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46251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46251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46251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46251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46251</v>
      </c>
      <c r="F104" t="inlineStr">
        <is>
          <t>ÖSTERGÖTLANDS LÄN</t>
        </is>
      </c>
      <c r="G104" t="inlineStr">
        <is>
          <t>YDRE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46251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44844</v>
      </c>
      <c r="E106" s="1" t="n">
        <v>46251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46251</v>
      </c>
      <c r="F107" t="inlineStr">
        <is>
          <t>ÖSTERGÖTLANDS LÄN</t>
        </is>
      </c>
      <c r="G107" t="inlineStr">
        <is>
          <t>YDRE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46251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46251</v>
      </c>
      <c r="F109" t="inlineStr">
        <is>
          <t>ÖSTERGÖTLANDS LÄN</t>
        </is>
      </c>
      <c r="G109" t="inlineStr">
        <is>
          <t>YDRE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46251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46251</v>
      </c>
      <c r="F111" t="inlineStr">
        <is>
          <t>ÖSTERGÖTLANDS LÄN</t>
        </is>
      </c>
      <c r="G111" t="inlineStr">
        <is>
          <t>YDRE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46251</v>
      </c>
      <c r="F112" t="inlineStr">
        <is>
          <t>ÖSTERGÖTLANDS LÄN</t>
        </is>
      </c>
      <c r="G112" t="inlineStr">
        <is>
          <t>YDRE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44491</v>
      </c>
      <c r="E113" s="1" t="n">
        <v>46251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46251</v>
      </c>
      <c r="F114" t="inlineStr">
        <is>
          <t>ÖSTERGÖTLANDS LÄN</t>
        </is>
      </c>
      <c r="G114" t="inlineStr">
        <is>
          <t>YDRE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46251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46251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46251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46251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45647</v>
      </c>
      <c r="E119" s="1" t="n">
        <v>46251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46251</v>
      </c>
      <c r="F120" t="inlineStr">
        <is>
          <t>ÖSTERGÖTLANDS LÄN</t>
        </is>
      </c>
      <c r="G120" t="inlineStr">
        <is>
          <t>YDRE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45649</v>
      </c>
      <c r="E121" s="1" t="n">
        <v>46251</v>
      </c>
      <c r="F121" t="inlineStr">
        <is>
          <t>ÖSTERGÖTLANDS LÄN</t>
        </is>
      </c>
      <c r="G121" t="inlineStr">
        <is>
          <t>YDRE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45475</v>
      </c>
      <c r="E122" s="1" t="n">
        <v>46251</v>
      </c>
      <c r="F122" t="inlineStr">
        <is>
          <t>ÖSTERGÖTLANDS LÄN</t>
        </is>
      </c>
      <c r="G122" t="inlineStr">
        <is>
          <t>YDRE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45924</v>
      </c>
      <c r="E123" s="1" t="n">
        <v>46251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46251</v>
      </c>
      <c r="F124" t="inlineStr">
        <is>
          <t>ÖSTERGÖTLANDS LÄN</t>
        </is>
      </c>
      <c r="G124" t="inlineStr">
        <is>
          <t>YDRE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46251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46251</v>
      </c>
      <c r="F126" t="inlineStr">
        <is>
          <t>ÖSTERGÖTLANDS LÄN</t>
        </is>
      </c>
      <c r="G126" t="inlineStr">
        <is>
          <t>YDRE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46251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46251</v>
      </c>
      <c r="F128" t="inlineStr">
        <is>
          <t>ÖSTERGÖTLANDS LÄN</t>
        </is>
      </c>
      <c r="G128" t="inlineStr">
        <is>
          <t>YDRE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46251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46251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44670</v>
      </c>
      <c r="E131" s="1" t="n">
        <v>46251</v>
      </c>
      <c r="F131" t="inlineStr">
        <is>
          <t>ÖSTERGÖTLANDS LÄN</t>
        </is>
      </c>
      <c r="G131" t="inlineStr">
        <is>
          <t>YDRE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46251</v>
      </c>
      <c r="F132" t="inlineStr">
        <is>
          <t>ÖSTERGÖTLANDS LÄN</t>
        </is>
      </c>
      <c r="G132" t="inlineStr">
        <is>
          <t>YDRE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44908</v>
      </c>
      <c r="E133" s="1" t="n">
        <v>46251</v>
      </c>
      <c r="F133" t="inlineStr">
        <is>
          <t>ÖSTERGÖTLANDS LÄN</t>
        </is>
      </c>
      <c r="G133" t="inlineStr">
        <is>
          <t>YDRE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59816-2022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46251</v>
      </c>
      <c r="F134" t="inlineStr">
        <is>
          <t>ÖSTERGÖTLANDS LÄN</t>
        </is>
      </c>
      <c r="G134" t="inlineStr">
        <is>
          <t>YDRE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45302</v>
      </c>
      <c r="E135" s="1" t="n">
        <v>46251</v>
      </c>
      <c r="F135" t="inlineStr">
        <is>
          <t>ÖSTERGÖTLANDS LÄN</t>
        </is>
      </c>
      <c r="G135" t="inlineStr">
        <is>
          <t>YDRE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46251</v>
      </c>
      <c r="F136" t="inlineStr">
        <is>
          <t>ÖSTERGÖTLANDS LÄN</t>
        </is>
      </c>
      <c r="G136" t="inlineStr">
        <is>
          <t>YDRE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46251</v>
      </c>
      <c r="F137" t="inlineStr">
        <is>
          <t>ÖSTERGÖTLANDS LÄN</t>
        </is>
      </c>
      <c r="G137" t="inlineStr">
        <is>
          <t>YDRE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44624</v>
      </c>
      <c r="E138" s="1" t="n">
        <v>46251</v>
      </c>
      <c r="F138" t="inlineStr">
        <is>
          <t>ÖSTERGÖTLANDS LÄN</t>
        </is>
      </c>
      <c r="G138" t="inlineStr">
        <is>
          <t>YDRE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46251</v>
      </c>
      <c r="F139" t="inlineStr">
        <is>
          <t>ÖSTERGÖTLANDS LÄN</t>
        </is>
      </c>
      <c r="G139" t="inlineStr">
        <is>
          <t>YDRE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46251</v>
      </c>
      <c r="F140" t="inlineStr">
        <is>
          <t>ÖSTERGÖTLANDS LÄN</t>
        </is>
      </c>
      <c r="G140" t="inlineStr">
        <is>
          <t>YDRE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46251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46251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46251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46251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46251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46251</v>
      </c>
      <c r="F146" t="inlineStr">
        <is>
          <t>ÖSTERGÖTLANDS LÄN</t>
        </is>
      </c>
      <c r="G146" t="inlineStr">
        <is>
          <t>YDRE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46251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46251</v>
      </c>
      <c r="F148" t="inlineStr">
        <is>
          <t>ÖSTERGÖTLANDS LÄN</t>
        </is>
      </c>
      <c r="G148" t="inlineStr">
        <is>
          <t>YDRE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46251</v>
      </c>
      <c r="F149" t="inlineStr">
        <is>
          <t>ÖSTERGÖTLANDS LÄN</t>
        </is>
      </c>
      <c r="G149" t="inlineStr">
        <is>
          <t>YDRE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44939</v>
      </c>
      <c r="E150" s="1" t="n">
        <v>46251</v>
      </c>
      <c r="F150" t="inlineStr">
        <is>
          <t>ÖSTERGÖTLANDS LÄN</t>
        </is>
      </c>
      <c r="G150" t="inlineStr">
        <is>
          <t>YDRE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44435</v>
      </c>
      <c r="E151" s="1" t="n">
        <v>46251</v>
      </c>
      <c r="F151" t="inlineStr">
        <is>
          <t>ÖSTERGÖTLANDS LÄN</t>
        </is>
      </c>
      <c r="G151" t="inlineStr">
        <is>
          <t>YDRE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46251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46251</v>
      </c>
      <c r="F153" t="inlineStr">
        <is>
          <t>ÖSTERGÖTLANDS LÄN</t>
        </is>
      </c>
      <c r="G153" t="inlineStr">
        <is>
          <t>YDRE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46097</v>
      </c>
      <c r="E154" s="1" t="n">
        <v>46251</v>
      </c>
      <c r="F154" t="inlineStr">
        <is>
          <t>ÖSTERGÖTLANDS LÄN</t>
        </is>
      </c>
      <c r="G154" t="inlineStr">
        <is>
          <t>YDRE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46251</v>
      </c>
      <c r="F155" t="inlineStr">
        <is>
          <t>ÖSTERGÖTLANDS LÄN</t>
        </is>
      </c>
      <c r="G155" t="inlineStr">
        <is>
          <t>YDRE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46251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46099</v>
      </c>
      <c r="E157" s="1" t="n">
        <v>46251</v>
      </c>
      <c r="F157" t="inlineStr">
        <is>
          <t>ÖSTERGÖTLANDS LÄN</t>
        </is>
      </c>
      <c r="G157" t="inlineStr">
        <is>
          <t>YDRE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46251</v>
      </c>
      <c r="F158" t="inlineStr">
        <is>
          <t>ÖSTERGÖTLANDS LÄN</t>
        </is>
      </c>
      <c r="G158" t="inlineStr">
        <is>
          <t>YDRE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71524-2021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46251</v>
      </c>
      <c r="F159" t="inlineStr">
        <is>
          <t>ÖSTERGÖTLANDS LÄN</t>
        </is>
      </c>
      <c r="G159" t="inlineStr">
        <is>
          <t>YDRE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46251</v>
      </c>
      <c r="F160" t="inlineStr">
        <is>
          <t>ÖSTERGÖTLANDS LÄN</t>
        </is>
      </c>
      <c r="G160" t="inlineStr">
        <is>
          <t>YDRE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46251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44987</v>
      </c>
      <c r="E162" s="1" t="n">
        <v>46251</v>
      </c>
      <c r="F162" t="inlineStr">
        <is>
          <t>ÖSTERGÖTLANDS LÄN</t>
        </is>
      </c>
      <c r="G162" t="inlineStr">
        <is>
          <t>YDRE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46251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45634</v>
      </c>
      <c r="E164" s="1" t="n">
        <v>46251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46251</v>
      </c>
      <c r="F165" t="inlineStr">
        <is>
          <t>ÖSTERGÖTLANDS LÄN</t>
        </is>
      </c>
      <c r="G165" t="inlineStr">
        <is>
          <t>YDRE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46251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46251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46251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46251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46251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46251</v>
      </c>
      <c r="F171" t="inlineStr">
        <is>
          <t>ÖSTERGÖTLANDS LÄN</t>
        </is>
      </c>
      <c r="G171" t="inlineStr">
        <is>
          <t>YDRE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46251</v>
      </c>
      <c r="F172" t="inlineStr">
        <is>
          <t>ÖSTERGÖTLANDS LÄN</t>
        </is>
      </c>
      <c r="G172" t="inlineStr">
        <is>
          <t>YDRE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46251</v>
      </c>
      <c r="F173" t="inlineStr">
        <is>
          <t>ÖSTERGÖTLANDS LÄN</t>
        </is>
      </c>
      <c r="G173" t="inlineStr">
        <is>
          <t>YDRE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46251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46251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46251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46251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46251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46251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44965</v>
      </c>
      <c r="E180" s="1" t="n">
        <v>46251</v>
      </c>
      <c r="F180" t="inlineStr">
        <is>
          <t>ÖSTERGÖTLANDS LÄN</t>
        </is>
      </c>
      <c r="G180" t="inlineStr">
        <is>
          <t>YDRE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44490</v>
      </c>
      <c r="E181" s="1" t="n">
        <v>46251</v>
      </c>
      <c r="F181" t="inlineStr">
        <is>
          <t>ÖSTERGÖTLANDS LÄN</t>
        </is>
      </c>
      <c r="G181" t="inlineStr">
        <is>
          <t>YDRE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46251</v>
      </c>
      <c r="F182" t="inlineStr">
        <is>
          <t>ÖSTERGÖTLANDS LÄN</t>
        </is>
      </c>
      <c r="G182" t="inlineStr">
        <is>
          <t>YDRE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46251</v>
      </c>
      <c r="F183" t="inlineStr">
        <is>
          <t>ÖSTERGÖTLANDS LÄN</t>
        </is>
      </c>
      <c r="G183" t="inlineStr">
        <is>
          <t>YDRE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14101-2022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44651</v>
      </c>
      <c r="E184" s="1" t="n">
        <v>46251</v>
      </c>
      <c r="F184" t="inlineStr">
        <is>
          <t>ÖSTERGÖTLANDS LÄN</t>
        </is>
      </c>
      <c r="G184" t="inlineStr">
        <is>
          <t>YDRE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46116</v>
      </c>
      <c r="E185" s="1" t="n">
        <v>46251</v>
      </c>
      <c r="F185" t="inlineStr">
        <is>
          <t>ÖSTERGÖTLANDS LÄN</t>
        </is>
      </c>
      <c r="G185" t="inlineStr">
        <is>
          <t>YDRE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46251</v>
      </c>
      <c r="F186" t="inlineStr">
        <is>
          <t>ÖSTERGÖTLANDS LÄN</t>
        </is>
      </c>
      <c r="G186" t="inlineStr">
        <is>
          <t>YDRE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46251</v>
      </c>
      <c r="F187" t="inlineStr">
        <is>
          <t>ÖSTERGÖTLANDS LÄN</t>
        </is>
      </c>
      <c r="G187" t="inlineStr">
        <is>
          <t>YDRE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46251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46251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46251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46251</v>
      </c>
      <c r="F191" t="inlineStr">
        <is>
          <t>ÖSTERGÖTLANDS LÄN</t>
        </is>
      </c>
      <c r="G191" t="inlineStr">
        <is>
          <t>YDRE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46251</v>
      </c>
      <c r="F192" t="inlineStr">
        <is>
          <t>ÖSTERGÖTLANDS LÄN</t>
        </is>
      </c>
      <c r="G192" t="inlineStr">
        <is>
          <t>YDRE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46119</v>
      </c>
      <c r="E193" s="1" t="n">
        <v>46251</v>
      </c>
      <c r="F193" t="inlineStr">
        <is>
          <t>ÖSTERGÖTLANDS LÄN</t>
        </is>
      </c>
      <c r="G193" t="inlineStr">
        <is>
          <t>YDRE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46251</v>
      </c>
      <c r="F194" t="inlineStr">
        <is>
          <t>ÖSTERGÖTLANDS LÄN</t>
        </is>
      </c>
      <c r="G194" t="inlineStr">
        <is>
          <t>YDRE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46251</v>
      </c>
      <c r="F195" t="inlineStr">
        <is>
          <t>ÖSTERGÖTLANDS LÄN</t>
        </is>
      </c>
      <c r="G195" t="inlineStr">
        <is>
          <t>YDRE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46251</v>
      </c>
      <c r="F196" t="inlineStr">
        <is>
          <t>ÖSTERGÖTLANDS LÄN</t>
        </is>
      </c>
      <c r="G196" t="inlineStr">
        <is>
          <t>YDRE</t>
        </is>
      </c>
      <c r="I196" t="n">
        <v>17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46251</v>
      </c>
      <c r="F197" t="inlineStr">
        <is>
          <t>ÖSTERGÖTLANDS LÄN</t>
        </is>
      </c>
      <c r="G197" t="inlineStr">
        <is>
          <t>YDRE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18181-2026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46251</v>
      </c>
      <c r="F198" t="inlineStr">
        <is>
          <t>ÖSTERGÖTLANDS LÄN</t>
        </is>
      </c>
      <c r="G198" t="inlineStr">
        <is>
          <t>YDRE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46251</v>
      </c>
      <c r="F199" t="inlineStr">
        <is>
          <t>ÖSTERGÖTLANDS LÄN</t>
        </is>
      </c>
      <c r="G199" t="inlineStr">
        <is>
          <t>YDRE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44953</v>
      </c>
      <c r="E200" s="1" t="n">
        <v>46251</v>
      </c>
      <c r="F200" t="inlineStr">
        <is>
          <t>ÖSTERGÖTLANDS LÄN</t>
        </is>
      </c>
      <c r="G200" t="inlineStr">
        <is>
          <t>YDRE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46251</v>
      </c>
      <c r="F201" t="inlineStr">
        <is>
          <t>ÖSTERGÖTLANDS LÄN</t>
        </is>
      </c>
      <c r="G201" t="inlineStr">
        <is>
          <t>YDRE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46251</v>
      </c>
      <c r="F202" t="inlineStr">
        <is>
          <t>ÖSTERGÖTLANDS LÄN</t>
        </is>
      </c>
      <c r="G202" t="inlineStr">
        <is>
          <t>YDRE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46251</v>
      </c>
      <c r="F203" t="inlineStr">
        <is>
          <t>ÖSTERGÖTLANDS LÄN</t>
        </is>
      </c>
      <c r="G203" t="inlineStr">
        <is>
          <t>YDRE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46126</v>
      </c>
      <c r="E204" s="1" t="n">
        <v>46251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46251</v>
      </c>
      <c r="F205" t="inlineStr">
        <is>
          <t>ÖSTERGÖTLANDS LÄN</t>
        </is>
      </c>
      <c r="G205" t="inlineStr">
        <is>
          <t>YDRE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46251</v>
      </c>
      <c r="F206" t="inlineStr">
        <is>
          <t>ÖSTERGÖTLANDS LÄN</t>
        </is>
      </c>
      <c r="G206" t="inlineStr">
        <is>
          <t>YDRE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46251</v>
      </c>
      <c r="F207" t="inlineStr">
        <is>
          <t>ÖSTERGÖTLANDS LÄN</t>
        </is>
      </c>
      <c r="G207" t="inlineStr">
        <is>
          <t>YDRE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46251</v>
      </c>
      <c r="F208" t="inlineStr">
        <is>
          <t>ÖSTERGÖTLANDS LÄN</t>
        </is>
      </c>
      <c r="G208" t="inlineStr">
        <is>
          <t>YDRE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46251</v>
      </c>
      <c r="F209" t="inlineStr">
        <is>
          <t>ÖSTERGÖTLANDS LÄN</t>
        </is>
      </c>
      <c r="G209" t="inlineStr">
        <is>
          <t>YDRE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44438</v>
      </c>
      <c r="E210" s="1" t="n">
        <v>46251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46251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46251</v>
      </c>
      <c r="F212" t="inlineStr">
        <is>
          <t>ÖSTERGÖTLANDS LÄN</t>
        </is>
      </c>
      <c r="G212" t="inlineStr">
        <is>
          <t>YDRE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46251</v>
      </c>
      <c r="F213" t="inlineStr">
        <is>
          <t>ÖSTERGÖTLANDS LÄN</t>
        </is>
      </c>
      <c r="G213" t="inlineStr">
        <is>
          <t>YDRE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46251</v>
      </c>
      <c r="F214" t="inlineStr">
        <is>
          <t>ÖSTERGÖTLANDS LÄN</t>
        </is>
      </c>
      <c r="G214" t="inlineStr">
        <is>
          <t>YDRE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46251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19261-2024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45428</v>
      </c>
      <c r="E216" s="1" t="n">
        <v>46251</v>
      </c>
      <c r="F216" t="inlineStr">
        <is>
          <t>ÖSTERGÖTLANDS LÄN</t>
        </is>
      </c>
      <c r="G216" t="inlineStr">
        <is>
          <t>YDRE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46251</v>
      </c>
      <c r="F217" t="inlineStr">
        <is>
          <t>ÖSTERGÖTLANDS LÄN</t>
        </is>
      </c>
      <c r="G217" t="inlineStr">
        <is>
          <t>YDRE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46251</v>
      </c>
      <c r="F218" t="inlineStr">
        <is>
          <t>ÖSTERGÖTLANDS LÄN</t>
        </is>
      </c>
      <c r="G218" t="inlineStr">
        <is>
          <t>YDRE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46251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46251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46251</v>
      </c>
      <c r="F221" t="inlineStr">
        <is>
          <t>ÖSTERGÖTLANDS LÄN</t>
        </is>
      </c>
      <c r="G221" t="inlineStr">
        <is>
          <t>YDRE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46251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46251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46251</v>
      </c>
      <c r="F224" t="inlineStr">
        <is>
          <t>ÖSTERGÖTLANDS LÄN</t>
        </is>
      </c>
      <c r="G224" t="inlineStr">
        <is>
          <t>YDRE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46251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46251</v>
      </c>
      <c r="F226" t="inlineStr">
        <is>
          <t>ÖSTERGÖTLANDS LÄN</t>
        </is>
      </c>
      <c r="G226" t="inlineStr">
        <is>
          <t>YDRE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46251</v>
      </c>
      <c r="F227" t="inlineStr">
        <is>
          <t>ÖSTERGÖTLANDS LÄN</t>
        </is>
      </c>
      <c r="G227" t="inlineStr">
        <is>
          <t>YDRE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46251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46251</v>
      </c>
      <c r="F229" t="inlineStr">
        <is>
          <t>ÖSTERGÖTLANDS LÄN</t>
        </is>
      </c>
      <c r="G229" t="inlineStr">
        <is>
          <t>YDRE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44428</v>
      </c>
      <c r="E230" s="1" t="n">
        <v>46251</v>
      </c>
      <c r="F230" t="inlineStr">
        <is>
          <t>ÖSTERGÖTLANDS LÄN</t>
        </is>
      </c>
      <c r="G230" t="inlineStr">
        <is>
          <t>YDRE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46251</v>
      </c>
      <c r="F231" t="inlineStr">
        <is>
          <t>ÖSTERGÖTLANDS LÄN</t>
        </is>
      </c>
      <c r="G231" t="inlineStr">
        <is>
          <t>YDRE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46251</v>
      </c>
      <c r="F232" t="inlineStr">
        <is>
          <t>ÖSTERGÖTLANDS LÄN</t>
        </is>
      </c>
      <c r="G232" t="inlineStr">
        <is>
          <t>YDRE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56323-2021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46251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HYPERLINK("https://klasma.github.io/Logging_0512/knärot/A 56323-2021 karta knärot.png", "A 56323-2021")</f>
        <v/>
      </c>
      <c r="AA233">
        <f>HYPERLINK("https://klasma.github.io/Logging_0512/klagomål/A 56323-2021 FSC-klagomål.docx", "A 56323-2021")</f>
        <v/>
      </c>
      <c r="AB233">
        <f>HYPERLINK("https://klasma.github.io/Logging_0512/klagomålsmail/A 56323-2021 FSC-klagomål mail.docx", "A 56323-2021")</f>
        <v/>
      </c>
      <c r="AC233">
        <f>HYPERLINK("https://klasma.github.io/Logging_0512/tillsyn/A 56323-2021 tillsynsbegäran.docx", "A 56323-2021")</f>
        <v/>
      </c>
      <c r="AD233">
        <f>HYPERLINK("https://klasma.github.io/Logging_0512/tillsynsmail/A 56323-2021 tillsynsbegäran mail.docx", "A 56323-2021")</f>
        <v/>
      </c>
    </row>
    <row r="234" ht="15" customHeight="1">
      <c r="A234" t="inlineStr">
        <is>
          <t>A 63536-2025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46251</v>
      </c>
      <c r="F234" t="inlineStr">
        <is>
          <t>ÖSTERGÖTLANDS LÄN</t>
        </is>
      </c>
      <c r="G234" t="inlineStr">
        <is>
          <t>YDRE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46251</v>
      </c>
      <c r="F235" t="inlineStr">
        <is>
          <t>ÖSTERGÖTLANDS LÄN</t>
        </is>
      </c>
      <c r="G235" t="inlineStr">
        <is>
          <t>YDRE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46251</v>
      </c>
      <c r="F236" t="inlineStr">
        <is>
          <t>ÖSTERGÖTLANDS LÄN</t>
        </is>
      </c>
      <c r="G236" t="inlineStr">
        <is>
          <t>YDRE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63544-2025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46251</v>
      </c>
      <c r="F237" t="inlineStr">
        <is>
          <t>ÖSTERGÖTLANDS LÄN</t>
        </is>
      </c>
      <c r="G237" t="inlineStr">
        <is>
          <t>YDRE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45871</v>
      </c>
      <c r="E238" s="1" t="n">
        <v>46251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45596</v>
      </c>
      <c r="E239" s="1" t="n">
        <v>46251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46251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46251</v>
      </c>
      <c r="F241" t="inlineStr">
        <is>
          <t>ÖSTERGÖTLANDS LÄN</t>
        </is>
      </c>
      <c r="G241" t="inlineStr">
        <is>
          <t>YDRE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46251</v>
      </c>
      <c r="F242" t="inlineStr">
        <is>
          <t>ÖSTERGÖTLANDS LÄN</t>
        </is>
      </c>
      <c r="G242" t="inlineStr">
        <is>
          <t>YDRE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44501</v>
      </c>
      <c r="E243" s="1" t="n">
        <v>46251</v>
      </c>
      <c r="F243" t="inlineStr">
        <is>
          <t>ÖSTERGÖTLANDS LÄN</t>
        </is>
      </c>
      <c r="G243" t="inlineStr">
        <is>
          <t>YDRE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45634</v>
      </c>
      <c r="E244" s="1" t="n">
        <v>46251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70448-2021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46251</v>
      </c>
      <c r="F245" t="inlineStr">
        <is>
          <t>ÖSTERGÖTLANDS LÄN</t>
        </is>
      </c>
      <c r="G245" t="inlineStr">
        <is>
          <t>YDRE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45649</v>
      </c>
      <c r="E246" s="1" t="n">
        <v>46251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46251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46251</v>
      </c>
      <c r="F248" t="inlineStr">
        <is>
          <t>ÖSTERGÖTLANDS LÄN</t>
        </is>
      </c>
      <c r="G248" t="inlineStr">
        <is>
          <t>YDRE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46251</v>
      </c>
      <c r="F249" t="inlineStr">
        <is>
          <t>ÖSTERGÖTLANDS LÄN</t>
        </is>
      </c>
      <c r="G249" t="inlineStr">
        <is>
          <t>YDRE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46251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46251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46251</v>
      </c>
      <c r="F252" t="inlineStr">
        <is>
          <t>ÖSTERGÖTLANDS LÄN</t>
        </is>
      </c>
      <c r="G252" t="inlineStr">
        <is>
          <t>YDRE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46251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46251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30535-2025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46251</v>
      </c>
      <c r="F255" t="inlineStr">
        <is>
          <t>ÖSTERGÖTLANDS LÄN</t>
        </is>
      </c>
      <c r="G255" t="inlineStr">
        <is>
          <t>YDRE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44562</v>
      </c>
      <c r="E256" s="1" t="n">
        <v>46251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46251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44502</v>
      </c>
      <c r="E258" s="1" t="n">
        <v>46251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46251</v>
      </c>
      <c r="F259" t="inlineStr">
        <is>
          <t>ÖSTERGÖTLANDS LÄN</t>
        </is>
      </c>
      <c r="G259" t="inlineStr">
        <is>
          <t>YDRE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46251</v>
      </c>
      <c r="F260" t="inlineStr">
        <is>
          <t>ÖSTERGÖTLANDS LÄN</t>
        </is>
      </c>
      <c r="G260" t="inlineStr">
        <is>
          <t>YDRE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46251</v>
      </c>
      <c r="F261" t="inlineStr">
        <is>
          <t>ÖSTERGÖTLANDS LÄN</t>
        </is>
      </c>
      <c r="G261" t="inlineStr">
        <is>
          <t>YDRE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45916</v>
      </c>
      <c r="E262" s="1" t="n">
        <v>46251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46251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8088-2025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46251</v>
      </c>
      <c r="F264" t="inlineStr">
        <is>
          <t>ÖSTERGÖTLANDS LÄN</t>
        </is>
      </c>
      <c r="G264" t="inlineStr">
        <is>
          <t>YDRE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46251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46251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46251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46251</v>
      </c>
      <c r="F268" t="inlineStr">
        <is>
          <t>ÖSTERGÖTLANDS LÄN</t>
        </is>
      </c>
      <c r="G268" t="inlineStr">
        <is>
          <t>YDRE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44894</v>
      </c>
      <c r="E269" s="1" t="n">
        <v>46251</v>
      </c>
      <c r="F269" t="inlineStr">
        <is>
          <t>ÖSTERGÖTLANDS LÄN</t>
        </is>
      </c>
      <c r="G269" t="inlineStr">
        <is>
          <t>YDRE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46251</v>
      </c>
      <c r="F270" t="inlineStr">
        <is>
          <t>ÖSTERGÖTLANDS LÄN</t>
        </is>
      </c>
      <c r="G270" t="inlineStr">
        <is>
          <t>YDRE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46251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46055</v>
      </c>
      <c r="E272" s="1" t="n">
        <v>46251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45334</v>
      </c>
      <c r="E273" s="1" t="n">
        <v>46251</v>
      </c>
      <c r="F273" t="inlineStr">
        <is>
          <t>ÖSTERGÖTLANDS LÄN</t>
        </is>
      </c>
      <c r="G273" t="inlineStr">
        <is>
          <t>YDRE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46251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46251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46251</v>
      </c>
      <c r="F276" t="inlineStr">
        <is>
          <t>ÖSTERGÖTLANDS LÄN</t>
        </is>
      </c>
      <c r="G276" t="inlineStr">
        <is>
          <t>YDRE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46251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46251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46251</v>
      </c>
      <c r="F279" t="inlineStr">
        <is>
          <t>ÖSTERGÖTLANDS LÄN</t>
        </is>
      </c>
      <c r="G279" t="inlineStr">
        <is>
          <t>YDRE</t>
        </is>
      </c>
      <c r="H279" t="inlineStr">
        <is>
          <t>Övriga Aktiebolag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45616</v>
      </c>
      <c r="E280" s="1" t="n">
        <v>46251</v>
      </c>
      <c r="F280" t="inlineStr">
        <is>
          <t>ÖSTERGÖTLANDS LÄN</t>
        </is>
      </c>
      <c r="G280" t="inlineStr">
        <is>
          <t>YDRE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45208</v>
      </c>
      <c r="E281" s="1" t="n">
        <v>46251</v>
      </c>
      <c r="F281" t="inlineStr">
        <is>
          <t>ÖSTERGÖTLANDS LÄN</t>
        </is>
      </c>
      <c r="G281" t="inlineStr">
        <is>
          <t>YDRE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43335-2025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46251</v>
      </c>
      <c r="F282" t="inlineStr">
        <is>
          <t>ÖSTERGÖTLANDS LÄN</t>
        </is>
      </c>
      <c r="G282" t="inlineStr">
        <is>
          <t>YDRE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46251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45595</v>
      </c>
      <c r="E284" s="1" t="n">
        <v>46251</v>
      </c>
      <c r="F284" t="inlineStr">
        <is>
          <t>ÖSTERGÖTLANDS LÄN</t>
        </is>
      </c>
      <c r="G284" t="inlineStr">
        <is>
          <t>YDRE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44908</v>
      </c>
      <c r="E285" s="1" t="n">
        <v>46251</v>
      </c>
      <c r="F285" t="inlineStr">
        <is>
          <t>ÖSTERGÖTLANDS LÄN</t>
        </is>
      </c>
      <c r="G285" t="inlineStr">
        <is>
          <t>YDRE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56313-2021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46251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46251</v>
      </c>
      <c r="F287" t="inlineStr">
        <is>
          <t>ÖSTERGÖTLANDS LÄN</t>
        </is>
      </c>
      <c r="G287" t="inlineStr">
        <is>
          <t>YDRE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46251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46251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51153-2022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44868</v>
      </c>
      <c r="E290" s="1" t="n">
        <v>46251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61205-2023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45264</v>
      </c>
      <c r="E291" s="1" t="n">
        <v>46251</v>
      </c>
      <c r="F291" t="inlineStr">
        <is>
          <t>ÖSTERGÖTLANDS LÄN</t>
        </is>
      </c>
      <c r="G291" t="inlineStr">
        <is>
          <t>YDRE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45698</v>
      </c>
      <c r="E292" s="1" t="n">
        <v>46251</v>
      </c>
      <c r="F292" t="inlineStr">
        <is>
          <t>ÖSTERGÖTLANDS LÄN</t>
        </is>
      </c>
      <c r="G292" t="inlineStr">
        <is>
          <t>YDRE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46251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45355</v>
      </c>
      <c r="E294" s="1" t="n">
        <v>46251</v>
      </c>
      <c r="F294" t="inlineStr">
        <is>
          <t>ÖSTERGÖTLANDS LÄN</t>
        </is>
      </c>
      <c r="G294" t="inlineStr">
        <is>
          <t>YDRE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56606-2021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44480</v>
      </c>
      <c r="E295" s="1" t="n">
        <v>46251</v>
      </c>
      <c r="F295" t="inlineStr">
        <is>
          <t>ÖSTERGÖTLANDS LÄN</t>
        </is>
      </c>
      <c r="G295" t="inlineStr">
        <is>
          <t>YDRE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36711-2023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45153</v>
      </c>
      <c r="E296" s="1" t="n">
        <v>46251</v>
      </c>
      <c r="F296" t="inlineStr">
        <is>
          <t>ÖSTERGÖTLANDS LÄN</t>
        </is>
      </c>
      <c r="G296" t="inlineStr">
        <is>
          <t>YDRE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46251</v>
      </c>
      <c r="F297" t="inlineStr">
        <is>
          <t>ÖSTERGÖTLANDS LÄN</t>
        </is>
      </c>
      <c r="G297" t="inlineStr">
        <is>
          <t>YDRE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46251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46251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46251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62859-2023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45272</v>
      </c>
      <c r="E301" s="1" t="n">
        <v>46251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46251</v>
      </c>
      <c r="F302" t="inlineStr">
        <is>
          <t>ÖSTERGÖTLANDS LÄN</t>
        </is>
      </c>
      <c r="G302" t="inlineStr">
        <is>
          <t>YDRE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49698-2024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46251</v>
      </c>
      <c r="F303" t="inlineStr">
        <is>
          <t>ÖSTERGÖTLANDS LÄN</t>
        </is>
      </c>
      <c r="G303" t="inlineStr">
        <is>
          <t>YDRE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46251</v>
      </c>
      <c r="F304" t="inlineStr">
        <is>
          <t>ÖSTERGÖTLANDS LÄN</t>
        </is>
      </c>
      <c r="G304" t="inlineStr">
        <is>
          <t>YDRE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46251</v>
      </c>
      <c r="F305" t="inlineStr">
        <is>
          <t>ÖSTERGÖTLANDS LÄN</t>
        </is>
      </c>
      <c r="G305" t="inlineStr">
        <is>
          <t>YDRE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46251</v>
      </c>
      <c r="F306" t="inlineStr">
        <is>
          <t>ÖSTERGÖTLANDS LÄN</t>
        </is>
      </c>
      <c r="G306" t="inlineStr">
        <is>
          <t>YDRE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46251</v>
      </c>
      <c r="F307" t="inlineStr">
        <is>
          <t>ÖSTERGÖTLANDS LÄN</t>
        </is>
      </c>
      <c r="G307" t="inlineStr">
        <is>
          <t>YDRE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46251</v>
      </c>
      <c r="F308" t="inlineStr">
        <is>
          <t>ÖSTERGÖTLANDS LÄN</t>
        </is>
      </c>
      <c r="G308" t="inlineStr">
        <is>
          <t>YDRE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46251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46251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46251</v>
      </c>
      <c r="F311" t="inlineStr">
        <is>
          <t>ÖSTERGÖTLANDS LÄN</t>
        </is>
      </c>
      <c r="G311" t="inlineStr">
        <is>
          <t>YDRE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46251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46251</v>
      </c>
      <c r="F313" t="inlineStr">
        <is>
          <t>ÖSTERGÖTLANDS LÄN</t>
        </is>
      </c>
      <c r="G313" t="inlineStr">
        <is>
          <t>YDRE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46251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46251</v>
      </c>
      <c r="F315" t="inlineStr">
        <is>
          <t>ÖSTERGÖTLANDS LÄN</t>
        </is>
      </c>
      <c r="G315" t="inlineStr">
        <is>
          <t>YDRE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45666</v>
      </c>
      <c r="E316" s="1" t="n">
        <v>46251</v>
      </c>
      <c r="F316" t="inlineStr">
        <is>
          <t>ÖSTERGÖTLANDS LÄN</t>
        </is>
      </c>
      <c r="G316" t="inlineStr">
        <is>
          <t>YDRE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46251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44635</v>
      </c>
      <c r="E318" s="1" t="n">
        <v>46251</v>
      </c>
      <c r="F318" t="inlineStr">
        <is>
          <t>ÖSTERGÖTLANDS LÄN</t>
        </is>
      </c>
      <c r="G318" t="inlineStr">
        <is>
          <t>YDRE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46251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46251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46251</v>
      </c>
      <c r="F321" t="inlineStr">
        <is>
          <t>ÖSTERGÖTLANDS LÄN</t>
        </is>
      </c>
      <c r="G321" t="inlineStr">
        <is>
          <t>YDRE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46251</v>
      </c>
      <c r="F322" t="inlineStr">
        <is>
          <t>ÖSTERGÖTLANDS LÄN</t>
        </is>
      </c>
      <c r="G322" t="inlineStr">
        <is>
          <t>YDRE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22312-2026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46154</v>
      </c>
      <c r="E323" s="1" t="n">
        <v>46251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46251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45236</v>
      </c>
      <c r="E325" s="1" t="n">
        <v>46251</v>
      </c>
      <c r="F325" t="inlineStr">
        <is>
          <t>ÖSTERGÖTLANDS LÄN</t>
        </is>
      </c>
      <c r="G325" t="inlineStr">
        <is>
          <t>YDRE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44483</v>
      </c>
      <c r="E326" s="1" t="n">
        <v>46251</v>
      </c>
      <c r="F326" t="inlineStr">
        <is>
          <t>ÖSTERGÖTLANDS LÄN</t>
        </is>
      </c>
      <c r="G326" t="inlineStr">
        <is>
          <t>YDRE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46251</v>
      </c>
      <c r="F327" t="inlineStr">
        <is>
          <t>ÖSTERGÖTLANDS LÄN</t>
        </is>
      </c>
      <c r="G327" t="inlineStr">
        <is>
          <t>YDRE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46251</v>
      </c>
      <c r="F328" t="inlineStr">
        <is>
          <t>ÖSTERGÖTLANDS LÄN</t>
        </is>
      </c>
      <c r="G328" t="inlineStr">
        <is>
          <t>YDRE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45597</v>
      </c>
      <c r="E329" s="1" t="n">
        <v>46251</v>
      </c>
      <c r="F329" t="inlineStr">
        <is>
          <t>ÖSTERGÖTLANDS LÄN</t>
        </is>
      </c>
      <c r="G329" t="inlineStr">
        <is>
          <t>YDRE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46251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45054</v>
      </c>
      <c r="E331" s="1" t="n">
        <v>46251</v>
      </c>
      <c r="F331" t="inlineStr">
        <is>
          <t>ÖSTERGÖTLANDS LÄN</t>
        </is>
      </c>
      <c r="G331" t="inlineStr">
        <is>
          <t>YDRE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46251</v>
      </c>
      <c r="F332" t="inlineStr">
        <is>
          <t>ÖSTERGÖTLANDS LÄN</t>
        </is>
      </c>
      <c r="G332" t="inlineStr">
        <is>
          <t>YDRE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46251</v>
      </c>
      <c r="F333" t="inlineStr">
        <is>
          <t>ÖSTERGÖTLANDS LÄN</t>
        </is>
      </c>
      <c r="G333" t="inlineStr">
        <is>
          <t>YDRE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45677</v>
      </c>
      <c r="E334" s="1" t="n">
        <v>46251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45707</v>
      </c>
      <c r="E335" s="1" t="n">
        <v>46251</v>
      </c>
      <c r="F335" t="inlineStr">
        <is>
          <t>ÖSTERGÖTLANDS LÄN</t>
        </is>
      </c>
      <c r="G335" t="inlineStr">
        <is>
          <t>YDRE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46251</v>
      </c>
      <c r="F336" t="inlineStr">
        <is>
          <t>ÖSTERGÖTLANDS LÄN</t>
        </is>
      </c>
      <c r="G336" t="inlineStr">
        <is>
          <t>YDRE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59589-2024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46251</v>
      </c>
      <c r="F337" t="inlineStr">
        <is>
          <t>ÖSTERGÖTLANDS LÄN</t>
        </is>
      </c>
      <c r="G337" t="inlineStr">
        <is>
          <t>YDRE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45414</v>
      </c>
      <c r="E338" s="1" t="n">
        <v>46251</v>
      </c>
      <c r="F338" t="inlineStr">
        <is>
          <t>ÖSTERGÖTLANDS LÄN</t>
        </is>
      </c>
      <c r="G338" t="inlineStr">
        <is>
          <t>YDRE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46251</v>
      </c>
      <c r="F339" t="inlineStr">
        <is>
          <t>ÖSTERGÖTLANDS LÄN</t>
        </is>
      </c>
      <c r="G339" t="inlineStr">
        <is>
          <t>YDRE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42343-2022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46251</v>
      </c>
      <c r="F340" t="inlineStr">
        <is>
          <t>ÖSTERGÖTLANDS LÄN</t>
        </is>
      </c>
      <c r="G340" t="inlineStr">
        <is>
          <t>YDRE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46251</v>
      </c>
      <c r="F341" t="inlineStr">
        <is>
          <t>ÖSTERGÖTLANDS LÄN</t>
        </is>
      </c>
      <c r="G341" t="inlineStr">
        <is>
          <t>YDRE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46251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68983-2021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46251</v>
      </c>
      <c r="F343" t="inlineStr">
        <is>
          <t>ÖSTERGÖTLANDS LÄN</t>
        </is>
      </c>
      <c r="G343" t="inlineStr">
        <is>
          <t>YDRE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45468</v>
      </c>
      <c r="E344" s="1" t="n">
        <v>46251</v>
      </c>
      <c r="F344" t="inlineStr">
        <is>
          <t>ÖSTERGÖTLANDS LÄN</t>
        </is>
      </c>
      <c r="G344" t="inlineStr">
        <is>
          <t>YDRE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45335</v>
      </c>
      <c r="E345" s="1" t="n">
        <v>46251</v>
      </c>
      <c r="F345" t="inlineStr">
        <is>
          <t>ÖSTERGÖTLANDS LÄN</t>
        </is>
      </c>
      <c r="G345" t="inlineStr">
        <is>
          <t>YDRE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45492</v>
      </c>
      <c r="E346" s="1" t="n">
        <v>46251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46251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45398</v>
      </c>
      <c r="E348" s="1" t="n">
        <v>46251</v>
      </c>
      <c r="F348" t="inlineStr">
        <is>
          <t>ÖSTERGÖTLANDS LÄN</t>
        </is>
      </c>
      <c r="G348" t="inlineStr">
        <is>
          <t>YDRE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2745-2026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46038</v>
      </c>
      <c r="E349" s="1" t="n">
        <v>46251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46251</v>
      </c>
      <c r="F350" t="inlineStr">
        <is>
          <t>ÖSTERGÖTLANDS LÄN</t>
        </is>
      </c>
      <c r="G350" t="inlineStr">
        <is>
          <t>YDRE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46251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45714</v>
      </c>
      <c r="E352" s="1" t="n">
        <v>46251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45138</v>
      </c>
      <c r="E353" s="1" t="n">
        <v>46251</v>
      </c>
      <c r="F353" t="inlineStr">
        <is>
          <t>ÖSTERGÖTLANDS LÄN</t>
        </is>
      </c>
      <c r="G353" t="inlineStr">
        <is>
          <t>YDRE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38045-2024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46251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45719</v>
      </c>
      <c r="E355" s="1" t="n">
        <v>46251</v>
      </c>
      <c r="F355" t="inlineStr">
        <is>
          <t>ÖSTERGÖTLANDS LÄN</t>
        </is>
      </c>
      <c r="G355" t="inlineStr">
        <is>
          <t>YDRE</t>
        </is>
      </c>
      <c r="H355" t="inlineStr">
        <is>
          <t>Övriga Aktiebolag</t>
        </is>
      </c>
      <c r="I355" t="n">
        <v>18.2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62815-2021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44504</v>
      </c>
      <c r="E356" s="1" t="n">
        <v>46251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10414-2024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45365</v>
      </c>
      <c r="E357" s="1" t="n">
        <v>46251</v>
      </c>
      <c r="F357" t="inlineStr">
        <is>
          <t>ÖSTERGÖTLANDS LÄN</t>
        </is>
      </c>
      <c r="G357" t="inlineStr">
        <is>
          <t>YDRE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46251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46251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24780-2026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46171</v>
      </c>
      <c r="E360" s="1" t="n">
        <v>46251</v>
      </c>
      <c r="F360" t="inlineStr">
        <is>
          <t>ÖSTERGÖTLANDS LÄN</t>
        </is>
      </c>
      <c r="G360" t="inlineStr">
        <is>
          <t>YDRE</t>
        </is>
      </c>
      <c r="H360" t="inlineStr">
        <is>
          <t>Övriga Aktiebolag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14184-2022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44651</v>
      </c>
      <c r="E361" s="1" t="n">
        <v>46251</v>
      </c>
      <c r="F361" t="inlineStr">
        <is>
          <t>ÖSTERGÖTLANDS LÄN</t>
        </is>
      </c>
      <c r="G361" t="inlineStr">
        <is>
          <t>YDRE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46251</v>
      </c>
      <c r="F362" t="inlineStr">
        <is>
          <t>ÖSTERGÖTLANDS LÄN</t>
        </is>
      </c>
      <c r="G362" t="inlineStr">
        <is>
          <t>YDRE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62485-2021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44503</v>
      </c>
      <c r="E363" s="1" t="n">
        <v>46251</v>
      </c>
      <c r="F363" t="inlineStr">
        <is>
          <t>ÖSTERGÖTLANDS LÄN</t>
        </is>
      </c>
      <c r="G363" t="inlineStr">
        <is>
          <t>YDRE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46251</v>
      </c>
      <c r="F364" t="inlineStr">
        <is>
          <t>ÖSTERGÖTLANDS LÄN</t>
        </is>
      </c>
      <c r="G364" t="inlineStr">
        <is>
          <t>YDRE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46251</v>
      </c>
      <c r="F365" t="inlineStr">
        <is>
          <t>ÖSTERGÖTLANDS LÄN</t>
        </is>
      </c>
      <c r="G365" t="inlineStr">
        <is>
          <t>YDRE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45726</v>
      </c>
      <c r="E366" s="1" t="n">
        <v>46251</v>
      </c>
      <c r="F366" t="inlineStr">
        <is>
          <t>ÖSTERGÖTLANDS LÄN</t>
        </is>
      </c>
      <c r="G366" t="inlineStr">
        <is>
          <t>YDRE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46251</v>
      </c>
      <c r="F367" t="inlineStr">
        <is>
          <t>ÖSTERGÖTLANDS LÄN</t>
        </is>
      </c>
      <c r="G367" t="inlineStr">
        <is>
          <t>YDRE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44606</v>
      </c>
      <c r="E368" s="1" t="n">
        <v>46251</v>
      </c>
      <c r="F368" t="inlineStr">
        <is>
          <t>ÖSTERGÖTLANDS LÄN</t>
        </is>
      </c>
      <c r="G368" t="inlineStr">
        <is>
          <t>YDRE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46251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46251</v>
      </c>
      <c r="F370" t="inlineStr">
        <is>
          <t>ÖSTERGÖTLANDS LÄN</t>
        </is>
      </c>
      <c r="G370" t="inlineStr">
        <is>
          <t>YDRE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46251</v>
      </c>
      <c r="F371" t="inlineStr">
        <is>
          <t>ÖSTERGÖTLANDS LÄN</t>
        </is>
      </c>
      <c r="G371" t="inlineStr">
        <is>
          <t>YDRE</t>
        </is>
      </c>
      <c r="H371" t="inlineStr">
        <is>
          <t>Sveaskog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46251</v>
      </c>
      <c r="F372" t="inlineStr">
        <is>
          <t>ÖSTERGÖTLANDS LÄN</t>
        </is>
      </c>
      <c r="G372" t="inlineStr">
        <is>
          <t>YDRE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55867-2023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45239</v>
      </c>
      <c r="E373" s="1" t="n">
        <v>46251</v>
      </c>
      <c r="F373" t="inlineStr">
        <is>
          <t>ÖSTERGÖTLANDS LÄN</t>
        </is>
      </c>
      <c r="G373" t="inlineStr">
        <is>
          <t>YDRE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46251</v>
      </c>
      <c r="F374" t="inlineStr">
        <is>
          <t>ÖSTERGÖTLANDS LÄN</t>
        </is>
      </c>
      <c r="G374" t="inlineStr">
        <is>
          <t>YDRE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46251</v>
      </c>
      <c r="F375" t="inlineStr">
        <is>
          <t>ÖSTERGÖTLANDS LÄN</t>
        </is>
      </c>
      <c r="G375" t="inlineStr">
        <is>
          <t>YDRE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45449-2023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45194</v>
      </c>
      <c r="E376" s="1" t="n">
        <v>46251</v>
      </c>
      <c r="F376" t="inlineStr">
        <is>
          <t>ÖSTERGÖTLANDS LÄN</t>
        </is>
      </c>
      <c r="G376" t="inlineStr">
        <is>
          <t>YDRE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46251</v>
      </c>
      <c r="F377" t="inlineStr">
        <is>
          <t>ÖSTERGÖTLANDS LÄN</t>
        </is>
      </c>
      <c r="G377" t="inlineStr">
        <is>
          <t>YDRE</t>
        </is>
      </c>
      <c r="H377" t="inlineStr">
        <is>
          <t>Kyrkan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14645-2022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44655</v>
      </c>
      <c r="E378" s="1" t="n">
        <v>46251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46251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44789</v>
      </c>
      <c r="E380" s="1" t="n">
        <v>46251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46251</v>
      </c>
      <c r="F381" t="inlineStr">
        <is>
          <t>ÖSTERGÖTLANDS LÄN</t>
        </is>
      </c>
      <c r="G381" t="inlineStr">
        <is>
          <t>YDRE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46251</v>
      </c>
      <c r="F382" t="inlineStr">
        <is>
          <t>ÖSTERGÖTLANDS LÄN</t>
        </is>
      </c>
      <c r="G382" t="inlineStr">
        <is>
          <t>YDRE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46251</v>
      </c>
      <c r="F383" t="inlineStr">
        <is>
          <t>ÖSTERGÖTLANDS LÄN</t>
        </is>
      </c>
      <c r="G383" t="inlineStr">
        <is>
          <t>YDRE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46251</v>
      </c>
      <c r="F384" t="inlineStr">
        <is>
          <t>ÖSTERGÖTLANDS LÄN</t>
        </is>
      </c>
      <c r="G384" t="inlineStr">
        <is>
          <t>YDRE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46251</v>
      </c>
      <c r="F385" t="inlineStr">
        <is>
          <t>ÖSTERGÖTLANDS LÄN</t>
        </is>
      </c>
      <c r="G385" t="inlineStr">
        <is>
          <t>YDRE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46251</v>
      </c>
      <c r="F386" t="inlineStr">
        <is>
          <t>ÖSTERGÖTLANDS LÄN</t>
        </is>
      </c>
      <c r="G386" t="inlineStr">
        <is>
          <t>YDRE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46251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46251</v>
      </c>
      <c r="F388" t="inlineStr">
        <is>
          <t>ÖSTERGÖTLANDS LÄN</t>
        </is>
      </c>
      <c r="G388" t="inlineStr">
        <is>
          <t>YDRE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46251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46251</v>
      </c>
      <c r="F390" t="inlineStr">
        <is>
          <t>ÖSTERGÖTLANDS LÄN</t>
        </is>
      </c>
      <c r="G390" t="inlineStr">
        <is>
          <t>YDRE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44576</v>
      </c>
      <c r="E391" s="1" t="n">
        <v>46251</v>
      </c>
      <c r="F391" t="inlineStr">
        <is>
          <t>ÖSTERGÖTLANDS LÄN</t>
        </is>
      </c>
      <c r="G391" t="inlineStr">
        <is>
          <t>YDRE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46251</v>
      </c>
      <c r="F392" t="inlineStr">
        <is>
          <t>ÖSTERGÖTLANDS LÄN</t>
        </is>
      </c>
      <c r="G392" t="inlineStr">
        <is>
          <t>YDRE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27700-2026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46190</v>
      </c>
      <c r="E393" s="1" t="n">
        <v>46251</v>
      </c>
      <c r="F393" t="inlineStr">
        <is>
          <t>ÖSTERGÖTLANDS LÄN</t>
        </is>
      </c>
      <c r="G393" t="inlineStr">
        <is>
          <t>YDRE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45434</v>
      </c>
      <c r="E394" s="1" t="n">
        <v>46251</v>
      </c>
      <c r="F394" t="inlineStr">
        <is>
          <t>ÖSTERGÖTLANDS LÄN</t>
        </is>
      </c>
      <c r="G394" t="inlineStr">
        <is>
          <t>YDRE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46251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32635-2025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45838</v>
      </c>
      <c r="E396" s="1" t="n">
        <v>46251</v>
      </c>
      <c r="F396" t="inlineStr">
        <is>
          <t>ÖSTERGÖTLANDS LÄN</t>
        </is>
      </c>
      <c r="G396" t="inlineStr">
        <is>
          <t>YDRE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45460</v>
      </c>
      <c r="E397" s="1" t="n">
        <v>46251</v>
      </c>
      <c r="F397" t="inlineStr">
        <is>
          <t>ÖSTERGÖTLANDS LÄN</t>
        </is>
      </c>
      <c r="G397" t="inlineStr">
        <is>
          <t>YDRE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44743</v>
      </c>
      <c r="E398" s="1" t="n">
        <v>46251</v>
      </c>
      <c r="F398" t="inlineStr">
        <is>
          <t>ÖSTERGÖTLANDS LÄN</t>
        </is>
      </c>
      <c r="G398" t="inlineStr">
        <is>
          <t>YDRE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45790</v>
      </c>
      <c r="E399" s="1" t="n">
        <v>46251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45810</v>
      </c>
      <c r="E400" s="1" t="n">
        <v>46251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46240</v>
      </c>
      <c r="E401" s="1" t="n">
        <v>46251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46240</v>
      </c>
      <c r="E402" s="1" t="n">
        <v>46251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46251</v>
      </c>
      <c r="F403" t="inlineStr">
        <is>
          <t>ÖSTERGÖTLANDS LÄN</t>
        </is>
      </c>
      <c r="G403" t="inlineStr">
        <is>
          <t>YDRE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29284-2026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46251</v>
      </c>
      <c r="F404" t="inlineStr">
        <is>
          <t>ÖSTERGÖTLANDS LÄN</t>
        </is>
      </c>
      <c r="G404" t="inlineStr">
        <is>
          <t>YDRE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46251</v>
      </c>
      <c r="F405" t="inlineStr">
        <is>
          <t>ÖSTERGÖTLANDS LÄN</t>
        </is>
      </c>
      <c r="G405" t="inlineStr">
        <is>
          <t>YDRE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46251</v>
      </c>
      <c r="F406" t="inlineStr">
        <is>
          <t>ÖSTERGÖTLANDS LÄN</t>
        </is>
      </c>
      <c r="G406" t="inlineStr">
        <is>
          <t>YDRE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46251</v>
      </c>
      <c r="F407" t="inlineStr">
        <is>
          <t>ÖSTERGÖTLANDS LÄN</t>
        </is>
      </c>
      <c r="G407" t="inlineStr">
        <is>
          <t>YDRE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46251</v>
      </c>
      <c r="F408" t="inlineStr">
        <is>
          <t>ÖSTERGÖTLANDS LÄN</t>
        </is>
      </c>
      <c r="G408" t="inlineStr">
        <is>
          <t>YDRE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46251</v>
      </c>
      <c r="F409" t="inlineStr">
        <is>
          <t>ÖSTERGÖTLANDS LÄN</t>
        </is>
      </c>
      <c r="G409" t="inlineStr">
        <is>
          <t>YDRE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46251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5385-2021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44431</v>
      </c>
      <c r="E411" s="1" t="n">
        <v>46251</v>
      </c>
      <c r="F411" t="inlineStr">
        <is>
          <t>ÖSTERGÖTLANDS LÄN</t>
        </is>
      </c>
      <c r="G411" t="inlineStr">
        <is>
          <t>YDRE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46251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46251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46251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46251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2026-08-17T01:47:04Z</dcterms:created>
  <dcterms:modified xmlns:dcterms="http://purl.org/dc/terms/" xmlns:xsi="http://www.w3.org/2001/XMLSchema-instance" xsi:type="dcterms:W3CDTF">2026-08-17T01:47:04Z</dcterms:modified>
</cp:coreProperties>
</file>