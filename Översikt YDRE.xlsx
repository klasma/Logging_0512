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46300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46300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46300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46300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46300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46300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46300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46300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46300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46300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46300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46300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23612-2025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45792</v>
      </c>
      <c r="E16" s="1" t="n">
        <v>46300</v>
      </c>
      <c r="F16" t="inlineStr">
        <is>
          <t>ÖSTERGÖTLANDS LÄN</t>
        </is>
      </c>
      <c r="G16" t="inlineStr">
        <is>
          <t>YDRE</t>
        </is>
      </c>
      <c r="I16" t="n">
        <v>2.1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Blomkålssvamp</t>
        </is>
      </c>
      <c r="W16">
        <f>HYPERLINK("https://klasma.github.io/Logging_0512/artfynd/A 23612-2025 artfynd.xlsx", "A 23612-2025")</f>
        <v/>
      </c>
      <c r="X16">
        <f>HYPERLINK("https://klasma.github.io/Logging_0512/kartor/A 23612-2025 karta.png", "A 23612-2025")</f>
        <v/>
      </c>
      <c r="Y16">
        <f>HYPERLINK("https://klasma.github.io/Logging_0512/kartor_geotiff/A 23612-2025 georefererad karta.tif", "A 23612-2025")</f>
        <v/>
      </c>
      <c r="AA16">
        <f>HYPERLINK("https://klasma.github.io/Logging_0512/klagomål/A 23612-2025 FSC-klagomål.docx", "A 23612-2025")</f>
        <v/>
      </c>
      <c r="AB16">
        <f>HYPERLINK("https://klasma.github.io/Logging_0512/klagomålsmail/A 23612-2025 FSC-klagomål mail.docx", "A 23612-2025")</f>
        <v/>
      </c>
      <c r="AC16">
        <f>HYPERLINK("https://klasma.github.io/Logging_0512/tillsyn/A 23612-2025 tillsynsbegäran.docx", "A 23612-2025")</f>
        <v/>
      </c>
      <c r="AD16">
        <f>HYPERLINK("https://klasma.github.io/Logging_0512/tillsynsmail/A 23612-2025 tillsynsbegäran mail.docx", "A 23612-2025")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46300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46300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46300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46300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46300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46300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46300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46300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46300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46300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46300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46300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46300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46300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46300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46300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46300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46300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46300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53049-2024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45611</v>
      </c>
      <c r="E36" s="1" t="n">
        <v>46300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Mosippa</t>
        </is>
      </c>
      <c r="W36">
        <f>HYPERLINK("https://klasma.github.io/Logging_0512/artfynd/A 53049-2024 artfynd.xlsx", "A 53049-2024")</f>
        <v/>
      </c>
      <c r="X36">
        <f>HYPERLINK("https://klasma.github.io/Logging_0512/kartor/A 53049-2024 karta.png", "A 53049-2024")</f>
        <v/>
      </c>
      <c r="Y36">
        <f>HYPERLINK("https://klasma.github.io/Logging_0512/kartor_geotiff/A 53049-2024 georefererad karta.tif", "A 53049-2024")</f>
        <v/>
      </c>
      <c r="AA36">
        <f>HYPERLINK("https://klasma.github.io/Logging_0512/klagomål/A 53049-2024 FSC-klagomål.docx", "A 53049-2024")</f>
        <v/>
      </c>
      <c r="AB36">
        <f>HYPERLINK("https://klasma.github.io/Logging_0512/klagomålsmail/A 53049-2024 FSC-klagomål mail.docx", "A 53049-2024")</f>
        <v/>
      </c>
      <c r="AC36">
        <f>HYPERLINK("https://klasma.github.io/Logging_0512/tillsyn/A 53049-2024 tillsynsbegäran.docx", "A 53049-2024")</f>
        <v/>
      </c>
      <c r="AD36">
        <f>HYPERLINK("https://klasma.github.io/Logging_0512/tillsynsmail/A 53049-2024 tillsynsbegäran mail.docx", "A 53049-2024")</f>
        <v/>
      </c>
    </row>
    <row r="37" ht="15" customHeight="1">
      <c r="A37" t="inlineStr">
        <is>
          <t>A 11273-2024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45371</v>
      </c>
      <c r="E37" s="1" t="n">
        <v>46300</v>
      </c>
      <c r="F37" t="inlineStr">
        <is>
          <t>ÖSTERGÖTLANDS LÄN</t>
        </is>
      </c>
      <c r="G37" t="inlineStr">
        <is>
          <t>YDRE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Lungrot</t>
        </is>
      </c>
      <c r="W37">
        <f>HYPERLINK("https://klasma.github.io/Logging_0512/artfynd/A 11273-2024 artfynd.xlsx", "A 11273-2024")</f>
        <v/>
      </c>
      <c r="X37">
        <f>HYPERLINK("https://klasma.github.io/Logging_0512/kartor/A 11273-2024 karta.png", "A 11273-2024")</f>
        <v/>
      </c>
      <c r="Y37">
        <f>HYPERLINK("https://klasma.github.io/Logging_0512/kartor_geotiff/A 11273-2024 georefererad karta.tif", "A 11273-2024")</f>
        <v/>
      </c>
      <c r="AA37">
        <f>HYPERLINK("https://klasma.github.io/Logging_0512/klagomål/A 11273-2024 FSC-klagomål.docx", "A 11273-2024")</f>
        <v/>
      </c>
      <c r="AB37">
        <f>HYPERLINK("https://klasma.github.io/Logging_0512/klagomålsmail/A 11273-2024 FSC-klagomål mail.docx", "A 11273-2024")</f>
        <v/>
      </c>
      <c r="AC37">
        <f>HYPERLINK("https://klasma.github.io/Logging_0512/tillsyn/A 11273-2024 tillsynsbegäran.docx", "A 11273-2024")</f>
        <v/>
      </c>
      <c r="AD37">
        <f>HYPERLINK("https://klasma.github.io/Logging_0512/tillsynsmail/A 11273-2024 tillsynsbegäran mail.docx", "A 11273-2024")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46300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41907-2024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46300</v>
      </c>
      <c r="F39" t="inlineStr">
        <is>
          <t>ÖSTERGÖTLANDS LÄN</t>
        </is>
      </c>
      <c r="G39" t="inlineStr">
        <is>
          <t>YDRE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HYPERLINK("https://klasma.github.io/Logging_0512/artfynd/A 41907-2024 artfynd.xlsx", "A 41907-2024")</f>
        <v/>
      </c>
      <c r="X39">
        <f>HYPERLINK("https://klasma.github.io/Logging_0512/kartor/A 41907-2024 karta.png", "A 41907-2024")</f>
        <v/>
      </c>
      <c r="Y39">
        <f>HYPERLINK("https://klasma.github.io/Logging_0512/kartor_geotiff/A 41907-2024 georefererad karta.tif", "A 41907-2024")</f>
        <v/>
      </c>
      <c r="AA39">
        <f>HYPERLINK("https://klasma.github.io/Logging_0512/klagomål/A 41907-2024 FSC-klagomål.docx", "A 41907-2024")</f>
        <v/>
      </c>
      <c r="AB39">
        <f>HYPERLINK("https://klasma.github.io/Logging_0512/klagomålsmail/A 41907-2024 FSC-klagomål mail.docx", "A 41907-2024")</f>
        <v/>
      </c>
      <c r="AC39">
        <f>HYPERLINK("https://klasma.github.io/Logging_0512/tillsyn/A 41907-2024 tillsynsbegäran.docx", "A 41907-2024")</f>
        <v/>
      </c>
      <c r="AD39">
        <f>HYPERLINK("https://klasma.github.io/Logging_0512/tillsynsmail/A 41907-2024 tillsynsbegäran mail.docx", "A 41907-2024")</f>
        <v/>
      </c>
    </row>
    <row r="40" ht="15" customHeight="1">
      <c r="A40" t="inlineStr">
        <is>
          <t>A 16704-2025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46300</v>
      </c>
      <c r="F40" t="inlineStr">
        <is>
          <t>ÖSTERGÖTLANDS LÄN</t>
        </is>
      </c>
      <c r="G40" t="inlineStr">
        <is>
          <t>YDRE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HYPERLINK("https://klasma.github.io/Logging_0512/artfynd/A 16704-2025 artfynd.xlsx", "A 16704-2025")</f>
        <v/>
      </c>
      <c r="X40">
        <f>HYPERLINK("https://klasma.github.io/Logging_0512/kartor/A 16704-2025 karta.png", "A 16704-2025")</f>
        <v/>
      </c>
      <c r="Y40">
        <f>HYPERLINK("https://klasma.github.io/Logging_0512/kartor_geotiff/A 16704-2025 georefererad karta.tif", "A 16704-2025")</f>
        <v/>
      </c>
      <c r="AA40">
        <f>HYPERLINK("https://klasma.github.io/Logging_0512/klagomål/A 16704-2025 FSC-klagomål.docx", "A 16704-2025")</f>
        <v/>
      </c>
      <c r="AB40">
        <f>HYPERLINK("https://klasma.github.io/Logging_0512/klagomålsmail/A 16704-2025 FSC-klagomål mail.docx", "A 16704-2025")</f>
        <v/>
      </c>
      <c r="AC40">
        <f>HYPERLINK("https://klasma.github.io/Logging_0512/tillsyn/A 16704-2025 tillsynsbegäran.docx", "A 16704-2025")</f>
        <v/>
      </c>
      <c r="AD40">
        <f>HYPERLINK("https://klasma.github.io/Logging_0512/tillsynsmail/A 16704-2025 tillsynsbegäran mail.docx", "A 16704-2025")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46300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46300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46300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46300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46300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63384-2021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46300</v>
      </c>
      <c r="F46" t="inlineStr">
        <is>
          <t>ÖSTERGÖTLANDS LÄN</t>
        </is>
      </c>
      <c r="G46" t="inlineStr">
        <is>
          <t>YDRE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19610-2022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44693</v>
      </c>
      <c r="E47" s="1" t="n">
        <v>46300</v>
      </c>
      <c r="F47" t="inlineStr">
        <is>
          <t>ÖSTERGÖTLANDS LÄN</t>
        </is>
      </c>
      <c r="G47" t="inlineStr">
        <is>
          <t>YDRE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44827</v>
      </c>
      <c r="E48" s="1" t="n">
        <v>46300</v>
      </c>
      <c r="F48" t="inlineStr">
        <is>
          <t>ÖSTERGÖTLANDS LÄN</t>
        </is>
      </c>
      <c r="G48" t="inlineStr">
        <is>
          <t>YDRE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55761-2021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44476</v>
      </c>
      <c r="E49" s="1" t="n">
        <v>46300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46300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46300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46300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46300</v>
      </c>
      <c r="F53" t="inlineStr">
        <is>
          <t>ÖSTERGÖTLANDS LÄN</t>
        </is>
      </c>
      <c r="G53" t="inlineStr">
        <is>
          <t>YDRE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46300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46300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46300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46300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46300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46300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46300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46300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46300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44474</v>
      </c>
      <c r="E63" s="1" t="n">
        <v>46300</v>
      </c>
      <c r="F63" t="inlineStr">
        <is>
          <t>ÖSTERGÖTLANDS LÄN</t>
        </is>
      </c>
      <c r="G63" t="inlineStr">
        <is>
          <t>YDRE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44477</v>
      </c>
      <c r="E64" s="1" t="n">
        <v>46300</v>
      </c>
      <c r="F64" t="inlineStr">
        <is>
          <t>ÖSTERGÖTLANDS LÄN</t>
        </is>
      </c>
      <c r="G64" t="inlineStr">
        <is>
          <t>YDRE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65794-2021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46300</v>
      </c>
      <c r="F65" t="inlineStr">
        <is>
          <t>ÖSTERGÖTLANDS LÄN</t>
        </is>
      </c>
      <c r="G65" t="inlineStr">
        <is>
          <t>YDRE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46300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57282-2021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46300</v>
      </c>
      <c r="F67" t="inlineStr">
        <is>
          <t>ÖSTERGÖTLANDS LÄN</t>
        </is>
      </c>
      <c r="G67" t="inlineStr">
        <is>
          <t>YDRE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71035-2021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44538</v>
      </c>
      <c r="E68" s="1" t="n">
        <v>46300</v>
      </c>
      <c r="F68" t="inlineStr">
        <is>
          <t>ÖSTERGÖTLANDS LÄN</t>
        </is>
      </c>
      <c r="G68" t="inlineStr">
        <is>
          <t>YDRE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46300</v>
      </c>
      <c r="F69" t="inlineStr">
        <is>
          <t>ÖSTERGÖTLANDS LÄN</t>
        </is>
      </c>
      <c r="G69" t="inlineStr">
        <is>
          <t>YDRE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44593</v>
      </c>
      <c r="E70" s="1" t="n">
        <v>46300</v>
      </c>
      <c r="F70" t="inlineStr">
        <is>
          <t>ÖSTERGÖTLANDS LÄN</t>
        </is>
      </c>
      <c r="G70" t="inlineStr">
        <is>
          <t>YDRE</t>
        </is>
      </c>
      <c r="H70" t="inlineStr">
        <is>
          <t>Övriga Aktiebolag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46300</v>
      </c>
      <c r="F71" t="inlineStr">
        <is>
          <t>ÖSTERGÖTLANDS LÄN</t>
        </is>
      </c>
      <c r="G71" t="inlineStr">
        <is>
          <t>YDRE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46300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46300</v>
      </c>
      <c r="F73" t="inlineStr">
        <is>
          <t>ÖSTERGÖTLANDS LÄN</t>
        </is>
      </c>
      <c r="G73" t="inlineStr">
        <is>
          <t>YDRE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27744-2022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44743</v>
      </c>
      <c r="E74" s="1" t="n">
        <v>46300</v>
      </c>
      <c r="F74" t="inlineStr">
        <is>
          <t>ÖSTERGÖTLANDS LÄN</t>
        </is>
      </c>
      <c r="G74" t="inlineStr">
        <is>
          <t>YDRE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46300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69307-2021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44531</v>
      </c>
      <c r="E76" s="1" t="n">
        <v>46300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46300</v>
      </c>
      <c r="F77" t="inlineStr">
        <is>
          <t>ÖSTERGÖTLANDS LÄN</t>
        </is>
      </c>
      <c r="G77" t="inlineStr">
        <is>
          <t>YDRE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46300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55844-2021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44476</v>
      </c>
      <c r="E79" s="1" t="n">
        <v>46300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46300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46300</v>
      </c>
      <c r="F81" t="inlineStr">
        <is>
          <t>ÖSTERGÖTLANDS LÄN</t>
        </is>
      </c>
      <c r="G81" t="inlineStr">
        <is>
          <t>YDRE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71524-2021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46300</v>
      </c>
      <c r="F82" t="inlineStr">
        <is>
          <t>ÖSTERGÖTLANDS LÄN</t>
        </is>
      </c>
      <c r="G82" t="inlineStr">
        <is>
          <t>YDRE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46300</v>
      </c>
      <c r="F83" t="inlineStr">
        <is>
          <t>ÖSTERGÖTLANDS LÄN</t>
        </is>
      </c>
      <c r="G83" t="inlineStr">
        <is>
          <t>YDRE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46300</v>
      </c>
      <c r="F84" t="inlineStr">
        <is>
          <t>ÖSTERGÖTLANDS LÄN</t>
        </is>
      </c>
      <c r="G84" t="inlineStr">
        <is>
          <t>YDRE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38045-2024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45544</v>
      </c>
      <c r="E85" s="1" t="n">
        <v>46300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46300</v>
      </c>
      <c r="F86" t="inlineStr">
        <is>
          <t>ÖSTERGÖTLANDS LÄN</t>
        </is>
      </c>
      <c r="G86" t="inlineStr">
        <is>
          <t>YDRE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45666</v>
      </c>
      <c r="E87" s="1" t="n">
        <v>46300</v>
      </c>
      <c r="F87" t="inlineStr">
        <is>
          <t>ÖSTERGÖTLANDS LÄN</t>
        </is>
      </c>
      <c r="G87" t="inlineStr">
        <is>
          <t>YDRE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45719</v>
      </c>
      <c r="E88" s="1" t="n">
        <v>46300</v>
      </c>
      <c r="F88" t="inlineStr">
        <is>
          <t>ÖSTERGÖTLANDS LÄN</t>
        </is>
      </c>
      <c r="G88" t="inlineStr">
        <is>
          <t>YDRE</t>
        </is>
      </c>
      <c r="H88" t="inlineStr">
        <is>
          <t>Övriga Aktiebolag</t>
        </is>
      </c>
      <c r="I88" t="n">
        <v>18.2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46300</v>
      </c>
      <c r="F89" t="inlineStr">
        <is>
          <t>ÖSTERGÖTLANDS LÄN</t>
        </is>
      </c>
      <c r="G89" t="inlineStr">
        <is>
          <t>YDRE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46300</v>
      </c>
      <c r="F90" t="inlineStr">
        <is>
          <t>ÖSTERGÖTLANDS LÄN</t>
        </is>
      </c>
      <c r="G90" t="inlineStr">
        <is>
          <t>YDRE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46300</v>
      </c>
      <c r="F91" t="inlineStr">
        <is>
          <t>ÖSTERGÖTLANDS LÄN</t>
        </is>
      </c>
      <c r="G91" t="inlineStr">
        <is>
          <t>YDRE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46300</v>
      </c>
      <c r="F92" t="inlineStr">
        <is>
          <t>ÖSTERGÖTLANDS LÄN</t>
        </is>
      </c>
      <c r="G92" t="inlineStr">
        <is>
          <t>YDRE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46300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46300</v>
      </c>
      <c r="F94" t="inlineStr">
        <is>
          <t>ÖSTERGÖTLANDS LÄN</t>
        </is>
      </c>
      <c r="G94" t="inlineStr">
        <is>
          <t>YDRE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46300</v>
      </c>
      <c r="F95" t="inlineStr">
        <is>
          <t>ÖSTERGÖTLANDS LÄN</t>
        </is>
      </c>
      <c r="G95" t="inlineStr">
        <is>
          <t>YDRE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46300</v>
      </c>
      <c r="F96" t="inlineStr">
        <is>
          <t>ÖSTERGÖTLANDS LÄN</t>
        </is>
      </c>
      <c r="G96" t="inlineStr">
        <is>
          <t>YDRE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46300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46300</v>
      </c>
      <c r="F98" t="inlineStr">
        <is>
          <t>ÖSTERGÖTLANDS LÄN</t>
        </is>
      </c>
      <c r="G98" t="inlineStr">
        <is>
          <t>YDRE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63232-2025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46300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46300</v>
      </c>
      <c r="F100" t="inlineStr">
        <is>
          <t>ÖSTERGÖTLANDS LÄN</t>
        </is>
      </c>
      <c r="G100" t="inlineStr">
        <is>
          <t>YDRE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46300</v>
      </c>
      <c r="F101" t="inlineStr">
        <is>
          <t>ÖSTERGÖTLANDS LÄN</t>
        </is>
      </c>
      <c r="G101" t="inlineStr">
        <is>
          <t>YDRE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46300</v>
      </c>
      <c r="F102" t="inlineStr">
        <is>
          <t>ÖSTERGÖTLANDS LÄN</t>
        </is>
      </c>
      <c r="G102" t="inlineStr">
        <is>
          <t>YDRE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46300</v>
      </c>
      <c r="F103" t="inlineStr">
        <is>
          <t>ÖSTERGÖTLANDS LÄN</t>
        </is>
      </c>
      <c r="G103" t="inlineStr">
        <is>
          <t>YDRE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46300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46021</v>
      </c>
      <c r="E105" s="1" t="n">
        <v>46300</v>
      </c>
      <c r="F105" t="inlineStr">
        <is>
          <t>ÖSTERGÖTLANDS LÄN</t>
        </is>
      </c>
      <c r="G105" t="inlineStr">
        <is>
          <t>YDRE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46300</v>
      </c>
      <c r="F106" t="inlineStr">
        <is>
          <t>ÖSTERGÖTLANDS LÄN</t>
        </is>
      </c>
      <c r="G106" t="inlineStr">
        <is>
          <t>YDRE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45707</v>
      </c>
      <c r="E107" s="1" t="n">
        <v>46300</v>
      </c>
      <c r="F107" t="inlineStr">
        <is>
          <t>ÖSTERGÖTLANDS LÄN</t>
        </is>
      </c>
      <c r="G107" t="inlineStr">
        <is>
          <t>YDRE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46300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46300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46300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46300</v>
      </c>
      <c r="F111" t="inlineStr">
        <is>
          <t>ÖSTERGÖTLANDS LÄN</t>
        </is>
      </c>
      <c r="G111" t="inlineStr">
        <is>
          <t>YDRE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46300</v>
      </c>
      <c r="F112" t="inlineStr">
        <is>
          <t>ÖSTERGÖTLANDS LÄN</t>
        </is>
      </c>
      <c r="G112" t="inlineStr">
        <is>
          <t>YDRE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45666</v>
      </c>
      <c r="E113" s="1" t="n">
        <v>46300</v>
      </c>
      <c r="F113" t="inlineStr">
        <is>
          <t>ÖSTERGÖTLANDS LÄN</t>
        </is>
      </c>
      <c r="G113" t="inlineStr">
        <is>
          <t>YDRE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46300</v>
      </c>
      <c r="F114" t="inlineStr">
        <is>
          <t>ÖSTERGÖTLANDS LÄN</t>
        </is>
      </c>
      <c r="G114" t="inlineStr">
        <is>
          <t>YDRE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46300</v>
      </c>
      <c r="F115" t="inlineStr">
        <is>
          <t>ÖSTERGÖTLANDS LÄN</t>
        </is>
      </c>
      <c r="G115" t="inlineStr">
        <is>
          <t>YDRE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46300</v>
      </c>
      <c r="F116" t="inlineStr">
        <is>
          <t>ÖSTERGÖTLANDS LÄN</t>
        </is>
      </c>
      <c r="G116" t="inlineStr">
        <is>
          <t>YDRE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46300</v>
      </c>
      <c r="F117" t="inlineStr">
        <is>
          <t>ÖSTERGÖTLANDS LÄN</t>
        </is>
      </c>
      <c r="G117" t="inlineStr">
        <is>
          <t>YDRE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46300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44592</v>
      </c>
      <c r="E119" s="1" t="n">
        <v>46300</v>
      </c>
      <c r="F119" t="inlineStr">
        <is>
          <t>ÖSTERGÖTLANDS LÄN</t>
        </is>
      </c>
      <c r="G119" t="inlineStr">
        <is>
          <t>YDRE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46300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46300</v>
      </c>
      <c r="F121" t="inlineStr">
        <is>
          <t>ÖSTERGÖTLANDS LÄN</t>
        </is>
      </c>
      <c r="G121" t="inlineStr">
        <is>
          <t>YDRE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46300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12.4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45596</v>
      </c>
      <c r="E123" s="1" t="n">
        <v>46300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46300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46300</v>
      </c>
      <c r="F125" t="inlineStr">
        <is>
          <t>ÖSTERGÖTLANDS LÄN</t>
        </is>
      </c>
      <c r="G125" t="inlineStr">
        <is>
          <t>YDRE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46300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46300</v>
      </c>
      <c r="F127" t="inlineStr">
        <is>
          <t>ÖSTERGÖTLANDS LÄN</t>
        </is>
      </c>
      <c r="G127" t="inlineStr">
        <is>
          <t>YDRE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46300</v>
      </c>
      <c r="F128" t="inlineStr">
        <is>
          <t>ÖSTERGÖTLANDS LÄN</t>
        </is>
      </c>
      <c r="G128" t="inlineStr">
        <is>
          <t>YDRE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46300</v>
      </c>
      <c r="F129" t="inlineStr">
        <is>
          <t>ÖSTERGÖTLANDS LÄN</t>
        </is>
      </c>
      <c r="G129" t="inlineStr">
        <is>
          <t>YDRE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46300</v>
      </c>
      <c r="F130" t="inlineStr">
        <is>
          <t>ÖSTERGÖTLANDS LÄN</t>
        </is>
      </c>
      <c r="G130" t="inlineStr">
        <is>
          <t>YDRE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46300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46300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46300</v>
      </c>
      <c r="F133" t="inlineStr">
        <is>
          <t>ÖSTERGÖTLANDS LÄN</t>
        </is>
      </c>
      <c r="G133" t="inlineStr">
        <is>
          <t>YDRE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46300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46300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46300</v>
      </c>
      <c r="F136" t="inlineStr">
        <is>
          <t>ÖSTERGÖTLANDS LÄN</t>
        </is>
      </c>
      <c r="G136" t="inlineStr">
        <is>
          <t>YDRE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46300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46300</v>
      </c>
      <c r="F138" t="inlineStr">
        <is>
          <t>ÖSTERGÖTLANDS LÄN</t>
        </is>
      </c>
      <c r="G138" t="inlineStr">
        <is>
          <t>YDRE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6293-2026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46055</v>
      </c>
      <c r="E139" s="1" t="n">
        <v>46300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46300</v>
      </c>
      <c r="F140" t="inlineStr">
        <is>
          <t>ÖSTERGÖTLANDS LÄN</t>
        </is>
      </c>
      <c r="G140" t="inlineStr">
        <is>
          <t>YDRE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46300</v>
      </c>
      <c r="F141" t="inlineStr">
        <is>
          <t>ÖSTERGÖTLANDS LÄN</t>
        </is>
      </c>
      <c r="G141" t="inlineStr">
        <is>
          <t>YDRE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46086-2025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45924</v>
      </c>
      <c r="E142" s="1" t="n">
        <v>46300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7276-2026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46300</v>
      </c>
      <c r="F143" t="inlineStr">
        <is>
          <t>ÖSTERGÖTLANDS LÄN</t>
        </is>
      </c>
      <c r="G143" t="inlineStr">
        <is>
          <t>YDRE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46300</v>
      </c>
      <c r="F144" t="inlineStr">
        <is>
          <t>ÖSTERGÖTLANDS LÄN</t>
        </is>
      </c>
      <c r="G144" t="inlineStr">
        <is>
          <t>YDRE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45278</v>
      </c>
      <c r="E145" s="1" t="n">
        <v>46300</v>
      </c>
      <c r="F145" t="inlineStr">
        <is>
          <t>ÖSTERGÖTLANDS LÄN</t>
        </is>
      </c>
      <c r="G145" t="inlineStr">
        <is>
          <t>YDRE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46300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46300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46300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46300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46300</v>
      </c>
      <c r="F150" t="inlineStr">
        <is>
          <t>ÖSTERGÖTLANDS LÄN</t>
        </is>
      </c>
      <c r="G150" t="inlineStr">
        <is>
          <t>YDRE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46300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46300</v>
      </c>
      <c r="F152" t="inlineStr">
        <is>
          <t>ÖSTERGÖTLANDS LÄN</t>
        </is>
      </c>
      <c r="G152" t="inlineStr">
        <is>
          <t>YDRE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46300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46300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45105</v>
      </c>
      <c r="E155" s="1" t="n">
        <v>46300</v>
      </c>
      <c r="F155" t="inlineStr">
        <is>
          <t>ÖSTERGÖTLANDS LÄN</t>
        </is>
      </c>
      <c r="G155" t="inlineStr">
        <is>
          <t>YDRE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46300</v>
      </c>
      <c r="F156" t="inlineStr">
        <is>
          <t>ÖSTERGÖTLANDS LÄN</t>
        </is>
      </c>
      <c r="G156" t="inlineStr">
        <is>
          <t>YDRE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62815-2021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46300</v>
      </c>
      <c r="F157" t="inlineStr">
        <is>
          <t>ÖSTERGÖTLANDS LÄN</t>
        </is>
      </c>
      <c r="G157" t="inlineStr">
        <is>
          <t>YDRE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46300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46300</v>
      </c>
      <c r="F159" t="inlineStr">
        <is>
          <t>ÖSTERGÖTLANDS LÄN</t>
        </is>
      </c>
      <c r="G159" t="inlineStr">
        <is>
          <t>YDRE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46300</v>
      </c>
      <c r="F160" t="inlineStr">
        <is>
          <t>ÖSTERGÖTLANDS LÄN</t>
        </is>
      </c>
      <c r="G160" t="inlineStr">
        <is>
          <t>YDRE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17309-2024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45414</v>
      </c>
      <c r="E161" s="1" t="n">
        <v>46300</v>
      </c>
      <c r="F161" t="inlineStr">
        <is>
          <t>ÖSTERGÖTLANDS LÄN</t>
        </is>
      </c>
      <c r="G161" t="inlineStr">
        <is>
          <t>YDRE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46300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46300</v>
      </c>
      <c r="F163" t="inlineStr">
        <is>
          <t>ÖSTERGÖTLANDS LÄN</t>
        </is>
      </c>
      <c r="G163" t="inlineStr">
        <is>
          <t>YDRE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46300</v>
      </c>
      <c r="F164" t="inlineStr">
        <is>
          <t>ÖSTERGÖTLANDS LÄN</t>
        </is>
      </c>
      <c r="G164" t="inlineStr">
        <is>
          <t>YDRE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46300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46300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46300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62485-2021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46300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44980</v>
      </c>
      <c r="E169" s="1" t="n">
        <v>46300</v>
      </c>
      <c r="F169" t="inlineStr">
        <is>
          <t>ÖSTERGÖTLANDS LÄN</t>
        </is>
      </c>
      <c r="G169" t="inlineStr">
        <is>
          <t>YDRE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46300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46300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46300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46300</v>
      </c>
      <c r="F173" t="inlineStr">
        <is>
          <t>ÖSTERGÖTLANDS LÄN</t>
        </is>
      </c>
      <c r="G173" t="inlineStr">
        <is>
          <t>YDRE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46300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46300</v>
      </c>
      <c r="F175" t="inlineStr">
        <is>
          <t>ÖSTERGÖTLANDS LÄN</t>
        </is>
      </c>
      <c r="G175" t="inlineStr">
        <is>
          <t>YDRE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46300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46300</v>
      </c>
      <c r="F177" t="inlineStr">
        <is>
          <t>ÖSTERGÖTLANDS LÄN</t>
        </is>
      </c>
      <c r="G177" t="inlineStr">
        <is>
          <t>YDRE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46300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44831</v>
      </c>
      <c r="E179" s="1" t="n">
        <v>46300</v>
      </c>
      <c r="F179" t="inlineStr">
        <is>
          <t>ÖSTERGÖTLANDS LÄN</t>
        </is>
      </c>
      <c r="G179" t="inlineStr">
        <is>
          <t>YDRE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46300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46300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27737-2022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46300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46300</v>
      </c>
      <c r="F183" t="inlineStr">
        <is>
          <t>ÖSTERGÖTLANDS LÄN</t>
        </is>
      </c>
      <c r="G183" t="inlineStr">
        <is>
          <t>YDRE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46300</v>
      </c>
      <c r="F184" t="inlineStr">
        <is>
          <t>ÖSTERGÖTLANDS LÄN</t>
        </is>
      </c>
      <c r="G184" t="inlineStr">
        <is>
          <t>YDRE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46097</v>
      </c>
      <c r="E185" s="1" t="n">
        <v>46300</v>
      </c>
      <c r="F185" t="inlineStr">
        <is>
          <t>ÖSTERGÖTLANDS LÄN</t>
        </is>
      </c>
      <c r="G185" t="inlineStr">
        <is>
          <t>YDRE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45434</v>
      </c>
      <c r="E186" s="1" t="n">
        <v>46300</v>
      </c>
      <c r="F186" t="inlineStr">
        <is>
          <t>ÖSTERGÖTLANDS LÄN</t>
        </is>
      </c>
      <c r="G186" t="inlineStr">
        <is>
          <t>YDRE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45218</v>
      </c>
      <c r="E187" s="1" t="n">
        <v>46300</v>
      </c>
      <c r="F187" t="inlineStr">
        <is>
          <t>ÖSTERGÖTLANDS LÄN</t>
        </is>
      </c>
      <c r="G187" t="inlineStr">
        <is>
          <t>YDRE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45510</v>
      </c>
      <c r="E188" s="1" t="n">
        <v>46300</v>
      </c>
      <c r="F188" t="inlineStr">
        <is>
          <t>ÖSTERGÖTLANDS LÄN</t>
        </is>
      </c>
      <c r="G188" t="inlineStr">
        <is>
          <t>YDRE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46300</v>
      </c>
      <c r="F189" t="inlineStr">
        <is>
          <t>ÖSTERGÖTLANDS LÄN</t>
        </is>
      </c>
      <c r="G189" t="inlineStr">
        <is>
          <t>YDRE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46300</v>
      </c>
      <c r="F190" t="inlineStr">
        <is>
          <t>ÖSTERGÖTLANDS LÄN</t>
        </is>
      </c>
      <c r="G190" t="inlineStr">
        <is>
          <t>YDRE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45216</v>
      </c>
      <c r="E191" s="1" t="n">
        <v>46300</v>
      </c>
      <c r="F191" t="inlineStr">
        <is>
          <t>ÖSTERGÖTLANDS LÄN</t>
        </is>
      </c>
      <c r="G191" t="inlineStr">
        <is>
          <t>YDRE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14600-2026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46101</v>
      </c>
      <c r="E192" s="1" t="n">
        <v>46300</v>
      </c>
      <c r="F192" t="inlineStr">
        <is>
          <t>ÖSTERGÖTLANDS LÄN</t>
        </is>
      </c>
      <c r="G192" t="inlineStr">
        <is>
          <t>YDRE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46300</v>
      </c>
      <c r="F193" t="inlineStr">
        <is>
          <t>ÖSTERGÖTLANDS LÄN</t>
        </is>
      </c>
      <c r="G193" t="inlineStr">
        <is>
          <t>YDRE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46300</v>
      </c>
      <c r="F194" t="inlineStr">
        <is>
          <t>ÖSTERGÖTLANDS LÄN</t>
        </is>
      </c>
      <c r="G194" t="inlineStr">
        <is>
          <t>YDRE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46300</v>
      </c>
      <c r="F195" t="inlineStr">
        <is>
          <t>ÖSTERGÖTLANDS LÄN</t>
        </is>
      </c>
      <c r="G195" t="inlineStr">
        <is>
          <t>YDRE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46300</v>
      </c>
      <c r="F196" t="inlineStr">
        <is>
          <t>ÖSTERGÖTLANDS LÄN</t>
        </is>
      </c>
      <c r="G196" t="inlineStr">
        <is>
          <t>YDRE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46300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46300</v>
      </c>
      <c r="F198" t="inlineStr">
        <is>
          <t>ÖSTERGÖTLANDS LÄN</t>
        </is>
      </c>
      <c r="G198" t="inlineStr">
        <is>
          <t>YDRE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44480</v>
      </c>
      <c r="E199" s="1" t="n">
        <v>46300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46300</v>
      </c>
      <c r="F200" t="inlineStr">
        <is>
          <t>ÖSTERGÖTLANDS LÄN</t>
        </is>
      </c>
      <c r="G200" t="inlineStr">
        <is>
          <t>YDRE</t>
        </is>
      </c>
      <c r="H200" t="inlineStr">
        <is>
          <t>Kyrkan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46116</v>
      </c>
      <c r="E201" s="1" t="n">
        <v>46300</v>
      </c>
      <c r="F201" t="inlineStr">
        <is>
          <t>ÖSTERGÖTLANDS LÄN</t>
        </is>
      </c>
      <c r="G201" t="inlineStr">
        <is>
          <t>YDRE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46300</v>
      </c>
      <c r="F202" t="inlineStr">
        <is>
          <t>ÖSTERGÖTLANDS LÄN</t>
        </is>
      </c>
      <c r="G202" t="inlineStr">
        <is>
          <t>YDRE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17384-2026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46119</v>
      </c>
      <c r="E203" s="1" t="n">
        <v>46300</v>
      </c>
      <c r="F203" t="inlineStr">
        <is>
          <t>ÖSTERGÖTLANDS LÄN</t>
        </is>
      </c>
      <c r="G203" t="inlineStr">
        <is>
          <t>YDRE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46300</v>
      </c>
      <c r="F204" t="inlineStr">
        <is>
          <t>ÖSTERGÖTLANDS LÄN</t>
        </is>
      </c>
      <c r="G204" t="inlineStr">
        <is>
          <t>YDRE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46300</v>
      </c>
      <c r="F205" t="inlineStr">
        <is>
          <t>ÖSTERGÖTLANDS LÄN</t>
        </is>
      </c>
      <c r="G205" t="inlineStr">
        <is>
          <t>YDRE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18181-2026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46125</v>
      </c>
      <c r="E206" s="1" t="n">
        <v>46300</v>
      </c>
      <c r="F206" t="inlineStr">
        <is>
          <t>ÖSTERGÖTLANDS LÄN</t>
        </is>
      </c>
      <c r="G206" t="inlineStr">
        <is>
          <t>YDRE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46300</v>
      </c>
      <c r="F207" t="inlineStr">
        <is>
          <t>ÖSTERGÖTLANDS LÄN</t>
        </is>
      </c>
      <c r="G207" t="inlineStr">
        <is>
          <t>YDRE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46300</v>
      </c>
      <c r="F208" t="inlineStr">
        <is>
          <t>ÖSTERGÖTLANDS LÄN</t>
        </is>
      </c>
      <c r="G208" t="inlineStr">
        <is>
          <t>YDRE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46300</v>
      </c>
      <c r="F209" t="inlineStr">
        <is>
          <t>ÖSTERGÖTLANDS LÄN</t>
        </is>
      </c>
      <c r="G209" t="inlineStr">
        <is>
          <t>YDRE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46126</v>
      </c>
      <c r="E210" s="1" t="n">
        <v>46300</v>
      </c>
      <c r="F210" t="inlineStr">
        <is>
          <t>ÖSTERGÖTLANDS LÄN</t>
        </is>
      </c>
      <c r="G210" t="inlineStr">
        <is>
          <t>YDRE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46300</v>
      </c>
      <c r="F211" t="inlineStr">
        <is>
          <t>ÖSTERGÖTLANDS LÄN</t>
        </is>
      </c>
      <c r="G211" t="inlineStr">
        <is>
          <t>YDRE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46300</v>
      </c>
      <c r="F212" t="inlineStr">
        <is>
          <t>ÖSTERGÖTLANDS LÄN</t>
        </is>
      </c>
      <c r="G212" t="inlineStr">
        <is>
          <t>YDRE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46300</v>
      </c>
      <c r="F213" t="inlineStr">
        <is>
          <t>ÖSTERGÖTLANDS LÄN</t>
        </is>
      </c>
      <c r="G213" t="inlineStr">
        <is>
          <t>YDRE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44980</v>
      </c>
      <c r="E214" s="1" t="n">
        <v>46300</v>
      </c>
      <c r="F214" t="inlineStr">
        <is>
          <t>ÖSTERGÖTLANDS LÄN</t>
        </is>
      </c>
      <c r="G214" t="inlineStr">
        <is>
          <t>YDRE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46300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46300</v>
      </c>
      <c r="F216" t="inlineStr">
        <is>
          <t>ÖSTERGÖTLANDS LÄN</t>
        </is>
      </c>
      <c r="G216" t="inlineStr">
        <is>
          <t>YDRE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46300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46300</v>
      </c>
      <c r="F218" t="inlineStr">
        <is>
          <t>ÖSTERGÖTLANDS LÄN</t>
        </is>
      </c>
      <c r="G218" t="inlineStr">
        <is>
          <t>YDRE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46300</v>
      </c>
      <c r="F219" t="inlineStr">
        <is>
          <t>ÖSTERGÖTLANDS LÄN</t>
        </is>
      </c>
      <c r="G219" t="inlineStr">
        <is>
          <t>YDRE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46300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46300</v>
      </c>
      <c r="F221" t="inlineStr">
        <is>
          <t>ÖSTERGÖTLANDS LÄN</t>
        </is>
      </c>
      <c r="G221" t="inlineStr">
        <is>
          <t>YDRE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44576</v>
      </c>
      <c r="E222" s="1" t="n">
        <v>46300</v>
      </c>
      <c r="F222" t="inlineStr">
        <is>
          <t>ÖSTERGÖTLANDS LÄN</t>
        </is>
      </c>
      <c r="G222" t="inlineStr">
        <is>
          <t>YDRE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46300</v>
      </c>
      <c r="F223" t="inlineStr">
        <is>
          <t>ÖSTERGÖTLANDS LÄN</t>
        </is>
      </c>
      <c r="G223" t="inlineStr">
        <is>
          <t>YDRE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11567-2023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46300</v>
      </c>
      <c r="F224" t="inlineStr">
        <is>
          <t>ÖSTERGÖTLANDS LÄN</t>
        </is>
      </c>
      <c r="G224" t="inlineStr">
        <is>
          <t>YDRE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11902-2022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44635</v>
      </c>
      <c r="E225" s="1" t="n">
        <v>46300</v>
      </c>
      <c r="F225" t="inlineStr">
        <is>
          <t>ÖSTERGÖTLANDS LÄN</t>
        </is>
      </c>
      <c r="G225" t="inlineStr">
        <is>
          <t>YDRE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45575</v>
      </c>
      <c r="E226" s="1" t="n">
        <v>46300</v>
      </c>
      <c r="F226" t="inlineStr">
        <is>
          <t>ÖSTERGÖTLANDS LÄN</t>
        </is>
      </c>
      <c r="G226" t="inlineStr">
        <is>
          <t>YDRE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44789</v>
      </c>
      <c r="E227" s="1" t="n">
        <v>46300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46300</v>
      </c>
      <c r="F228" t="inlineStr">
        <is>
          <t>ÖSTERGÖTLANDS LÄN</t>
        </is>
      </c>
      <c r="G228" t="inlineStr">
        <is>
          <t>YDRE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32635-2025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45838</v>
      </c>
      <c r="E229" s="1" t="n">
        <v>46300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46300</v>
      </c>
      <c r="F230" t="inlineStr">
        <is>
          <t>ÖSTERGÖTLANDS LÄN</t>
        </is>
      </c>
      <c r="G230" t="inlineStr">
        <is>
          <t>YDRE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59812-2022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44908</v>
      </c>
      <c r="E231" s="1" t="n">
        <v>46300</v>
      </c>
      <c r="F231" t="inlineStr">
        <is>
          <t>ÖSTERGÖTLANDS LÄN</t>
        </is>
      </c>
      <c r="G231" t="inlineStr">
        <is>
          <t>YDRE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45153</v>
      </c>
      <c r="E232" s="1" t="n">
        <v>46300</v>
      </c>
      <c r="F232" t="inlineStr">
        <is>
          <t>ÖSTERGÖTLANDS LÄN</t>
        </is>
      </c>
      <c r="G232" t="inlineStr">
        <is>
          <t>YDRE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46300</v>
      </c>
      <c r="F233" t="inlineStr">
        <is>
          <t>ÖSTERGÖTLANDS LÄN</t>
        </is>
      </c>
      <c r="G233" t="inlineStr">
        <is>
          <t>YDRE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46300</v>
      </c>
      <c r="F234" t="inlineStr">
        <is>
          <t>ÖSTERGÖTLANDS LÄN</t>
        </is>
      </c>
      <c r="G234" t="inlineStr">
        <is>
          <t>YDRE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46300</v>
      </c>
      <c r="F235" t="inlineStr">
        <is>
          <t>ÖSTERGÖTLANDS LÄN</t>
        </is>
      </c>
      <c r="G235" t="inlineStr">
        <is>
          <t>YDRE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46300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46300</v>
      </c>
      <c r="F237" t="inlineStr">
        <is>
          <t>ÖSTERGÖTLANDS LÄN</t>
        </is>
      </c>
      <c r="G237" t="inlineStr">
        <is>
          <t>YDRE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45810</v>
      </c>
      <c r="E238" s="1" t="n">
        <v>46300</v>
      </c>
      <c r="F238" t="inlineStr">
        <is>
          <t>ÖSTERGÖTLANDS LÄN</t>
        </is>
      </c>
      <c r="G238" t="inlineStr">
        <is>
          <t>YDRE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46300</v>
      </c>
      <c r="F239" t="inlineStr">
        <is>
          <t>ÖSTERGÖTLANDS LÄN</t>
        </is>
      </c>
      <c r="G239" t="inlineStr">
        <is>
          <t>YDRE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45616</v>
      </c>
      <c r="E240" s="1" t="n">
        <v>46300</v>
      </c>
      <c r="F240" t="inlineStr">
        <is>
          <t>ÖSTERGÖTLANDS LÄN</t>
        </is>
      </c>
      <c r="G240" t="inlineStr">
        <is>
          <t>YDRE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45647</v>
      </c>
      <c r="E241" s="1" t="n">
        <v>46300</v>
      </c>
      <c r="F241" t="inlineStr">
        <is>
          <t>ÖSTERGÖTLANDS LÄN</t>
        </is>
      </c>
      <c r="G241" t="inlineStr">
        <is>
          <t>YDRE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45634</v>
      </c>
      <c r="E242" s="1" t="n">
        <v>46300</v>
      </c>
      <c r="F242" t="inlineStr">
        <is>
          <t>ÖSTERGÖTLANDS LÄN</t>
        </is>
      </c>
      <c r="G242" t="inlineStr">
        <is>
          <t>YDRE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46300</v>
      </c>
      <c r="F243" t="inlineStr">
        <is>
          <t>ÖSTERGÖTLANDS LÄN</t>
        </is>
      </c>
      <c r="G243" t="inlineStr">
        <is>
          <t>YDRE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45406</v>
      </c>
      <c r="E244" s="1" t="n">
        <v>46300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46300</v>
      </c>
      <c r="F245" t="inlineStr">
        <is>
          <t>ÖSTERGÖTLANDS LÄN</t>
        </is>
      </c>
      <c r="G245" t="inlineStr">
        <is>
          <t>YDRE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45871</v>
      </c>
      <c r="E246" s="1" t="n">
        <v>46300</v>
      </c>
      <c r="F246" t="inlineStr">
        <is>
          <t>ÖSTERGÖTLANDS LÄN</t>
        </is>
      </c>
      <c r="G246" t="inlineStr">
        <is>
          <t>YDRE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45460</v>
      </c>
      <c r="E247" s="1" t="n">
        <v>46300</v>
      </c>
      <c r="F247" t="inlineStr">
        <is>
          <t>ÖSTERGÖTLANDS LÄN</t>
        </is>
      </c>
      <c r="G247" t="inlineStr">
        <is>
          <t>YDRE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46300</v>
      </c>
      <c r="F248" t="inlineStr">
        <is>
          <t>ÖSTERGÖTLANDS LÄN</t>
        </is>
      </c>
      <c r="G248" t="inlineStr">
        <is>
          <t>YDRE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46300</v>
      </c>
      <c r="F249" t="inlineStr">
        <is>
          <t>ÖSTERGÖTLANDS LÄN</t>
        </is>
      </c>
      <c r="G249" t="inlineStr">
        <is>
          <t>YDRE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46300</v>
      </c>
      <c r="F250" t="inlineStr">
        <is>
          <t>ÖSTERGÖTLANDS LÄN</t>
        </is>
      </c>
      <c r="G250" t="inlineStr">
        <is>
          <t>YDRE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46300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46300</v>
      </c>
      <c r="F252" t="inlineStr">
        <is>
          <t>ÖSTERGÖTLANDS LÄN</t>
        </is>
      </c>
      <c r="G252" t="inlineStr">
        <is>
          <t>YDRE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45273</v>
      </c>
      <c r="E253" s="1" t="n">
        <v>46300</v>
      </c>
      <c r="F253" t="inlineStr">
        <is>
          <t>ÖSTERGÖTLANDS LÄN</t>
        </is>
      </c>
      <c r="G253" t="inlineStr">
        <is>
          <t>YDRE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44953</v>
      </c>
      <c r="E254" s="1" t="n">
        <v>46300</v>
      </c>
      <c r="F254" t="inlineStr">
        <is>
          <t>ÖSTERGÖTLANDS LÄN</t>
        </is>
      </c>
      <c r="G254" t="inlineStr">
        <is>
          <t>YDRE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44600</v>
      </c>
      <c r="E255" s="1" t="n">
        <v>46300</v>
      </c>
      <c r="F255" t="inlineStr">
        <is>
          <t>ÖSTERGÖTLANDS LÄN</t>
        </is>
      </c>
      <c r="G255" t="inlineStr">
        <is>
          <t>YDRE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56900-2022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46300</v>
      </c>
      <c r="F256" t="inlineStr">
        <is>
          <t>ÖSTERGÖTLANDS LÄN</t>
        </is>
      </c>
      <c r="G256" t="inlineStr">
        <is>
          <t>YDRE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56323-2021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46300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  <c r="Z257">
        <f>HYPERLINK("https://klasma.github.io/Logging_0512/knärot/A 56323-2021 karta knärot.png", "A 56323-2021")</f>
        <v/>
      </c>
      <c r="AA257">
        <f>HYPERLINK("https://klasma.github.io/Logging_0512/klagomål/A 56323-2021 FSC-klagomål.docx", "A 56323-2021")</f>
        <v/>
      </c>
      <c r="AB257">
        <f>HYPERLINK("https://klasma.github.io/Logging_0512/klagomålsmail/A 56323-2021 FSC-klagomål mail.docx", "A 56323-2021")</f>
        <v/>
      </c>
      <c r="AC257">
        <f>HYPERLINK("https://klasma.github.io/Logging_0512/tillsyn/A 56323-2021 tillsynsbegäran.docx", "A 56323-2021")</f>
        <v/>
      </c>
      <c r="AD257">
        <f>HYPERLINK("https://klasma.github.io/Logging_0512/tillsynsmail/A 56323-2021 tillsynsbegäran mail.docx", "A 56323-2021")</f>
        <v/>
      </c>
    </row>
    <row r="258" ht="15" customHeight="1">
      <c r="A258" t="inlineStr">
        <is>
          <t>A 35209-2023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46300</v>
      </c>
      <c r="F258" t="inlineStr">
        <is>
          <t>ÖSTERGÖTLANDS LÄN</t>
        </is>
      </c>
      <c r="G258" t="inlineStr">
        <is>
          <t>YDRE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46300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45701</v>
      </c>
      <c r="E260" s="1" t="n">
        <v>46300</v>
      </c>
      <c r="F260" t="inlineStr">
        <is>
          <t>ÖSTERGÖTLANDS LÄN</t>
        </is>
      </c>
      <c r="G260" t="inlineStr">
        <is>
          <t>YDRE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46300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46300</v>
      </c>
      <c r="F262" t="inlineStr">
        <is>
          <t>ÖSTERGÖTLANDS LÄN</t>
        </is>
      </c>
      <c r="G262" t="inlineStr">
        <is>
          <t>YDRE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45054</v>
      </c>
      <c r="E263" s="1" t="n">
        <v>46300</v>
      </c>
      <c r="F263" t="inlineStr">
        <is>
          <t>ÖSTERGÖTLANDS LÄN</t>
        </is>
      </c>
      <c r="G263" t="inlineStr">
        <is>
          <t>YDRE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61942-2021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44502</v>
      </c>
      <c r="E264" s="1" t="n">
        <v>46300</v>
      </c>
      <c r="F264" t="inlineStr">
        <is>
          <t>ÖSTERGÖTLANDS LÄN</t>
        </is>
      </c>
      <c r="G264" t="inlineStr">
        <is>
          <t>YDRE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44965</v>
      </c>
      <c r="E265" s="1" t="n">
        <v>46300</v>
      </c>
      <c r="F265" t="inlineStr">
        <is>
          <t>ÖSTERGÖTLANDS LÄN</t>
        </is>
      </c>
      <c r="G265" t="inlineStr">
        <is>
          <t>YDRE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46146</v>
      </c>
      <c r="E266" s="1" t="n">
        <v>46300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46300</v>
      </c>
      <c r="F267" t="inlineStr">
        <is>
          <t>ÖSTERGÖTLANDS LÄN</t>
        </is>
      </c>
      <c r="G267" t="inlineStr">
        <is>
          <t>YDRE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46300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46146</v>
      </c>
      <c r="E269" s="1" t="n">
        <v>46300</v>
      </c>
      <c r="F269" t="inlineStr">
        <is>
          <t>ÖSTERGÖTLANDS LÄN</t>
        </is>
      </c>
      <c r="G269" t="inlineStr">
        <is>
          <t>YDRE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46146</v>
      </c>
      <c r="E270" s="1" t="n">
        <v>46300</v>
      </c>
      <c r="F270" t="inlineStr">
        <is>
          <t>ÖSTERGÖTLANDS LÄN</t>
        </is>
      </c>
      <c r="G270" t="inlineStr">
        <is>
          <t>YDRE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46300</v>
      </c>
      <c r="F271" t="inlineStr">
        <is>
          <t>ÖSTERGÖTLANDS LÄN</t>
        </is>
      </c>
      <c r="G271" t="inlineStr">
        <is>
          <t>YDRE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46300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46300</v>
      </c>
      <c r="F273" t="inlineStr">
        <is>
          <t>ÖSTERGÖTLANDS LÄN</t>
        </is>
      </c>
      <c r="G273" t="inlineStr">
        <is>
          <t>YDRE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46300</v>
      </c>
      <c r="F274" t="inlineStr">
        <is>
          <t>ÖSTERGÖTLANDS LÄN</t>
        </is>
      </c>
      <c r="G274" t="inlineStr">
        <is>
          <t>YDRE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46300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22312-2026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46154</v>
      </c>
      <c r="E276" s="1" t="n">
        <v>46300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45449-2023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45194</v>
      </c>
      <c r="E277" s="1" t="n">
        <v>46300</v>
      </c>
      <c r="F277" t="inlineStr">
        <is>
          <t>ÖSTERGÖTLANDS LÄN</t>
        </is>
      </c>
      <c r="G277" t="inlineStr">
        <is>
          <t>YDRE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46300</v>
      </c>
      <c r="F278" t="inlineStr">
        <is>
          <t>ÖSTERGÖTLANDS LÄN</t>
        </is>
      </c>
      <c r="G278" t="inlineStr">
        <is>
          <t>YDRE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46300</v>
      </c>
      <c r="F279" t="inlineStr">
        <is>
          <t>ÖSTERGÖTLANDS LÄN</t>
        </is>
      </c>
      <c r="G279" t="inlineStr">
        <is>
          <t>YDRE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61589-2022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44916</v>
      </c>
      <c r="E280" s="1" t="n">
        <v>46300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44562</v>
      </c>
      <c r="E281" s="1" t="n">
        <v>46300</v>
      </c>
      <c r="F281" t="inlineStr">
        <is>
          <t>ÖSTERGÖTLANDS LÄN</t>
        </is>
      </c>
      <c r="G281" t="inlineStr">
        <is>
          <t>YDRE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46300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46300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70448-2021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44536</v>
      </c>
      <c r="E284" s="1" t="n">
        <v>46300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46300</v>
      </c>
      <c r="F285" t="inlineStr">
        <is>
          <t>ÖSTERGÖTLANDS LÄN</t>
        </is>
      </c>
      <c r="G285" t="inlineStr">
        <is>
          <t>YDRE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2745-2026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46038</v>
      </c>
      <c r="E286" s="1" t="n">
        <v>46300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46300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24780-2026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46171</v>
      </c>
      <c r="E288" s="1" t="n">
        <v>46300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46300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46300</v>
      </c>
      <c r="F290" t="inlineStr">
        <is>
          <t>ÖSTERGÖTLANDS LÄN</t>
        </is>
      </c>
      <c r="G290" t="inlineStr">
        <is>
          <t>YDRE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44908</v>
      </c>
      <c r="E291" s="1" t="n">
        <v>46300</v>
      </c>
      <c r="F291" t="inlineStr">
        <is>
          <t>ÖSTERGÖTLANDS LÄN</t>
        </is>
      </c>
      <c r="G291" t="inlineStr">
        <is>
          <t>YDRE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44624</v>
      </c>
      <c r="E292" s="1" t="n">
        <v>46300</v>
      </c>
      <c r="F292" t="inlineStr">
        <is>
          <t>ÖSTERGÖTLANDS LÄN</t>
        </is>
      </c>
      <c r="G292" t="inlineStr">
        <is>
          <t>YDRE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25473-2026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46177</v>
      </c>
      <c r="E293" s="1" t="n">
        <v>46300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46300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27700-2026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46190</v>
      </c>
      <c r="E295" s="1" t="n">
        <v>46300</v>
      </c>
      <c r="F295" t="inlineStr">
        <is>
          <t>ÖSTERGÖTLANDS LÄN</t>
        </is>
      </c>
      <c r="G295" t="inlineStr">
        <is>
          <t>YDRE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46300</v>
      </c>
      <c r="F296" t="inlineStr">
        <is>
          <t>ÖSTERGÖTLANDS LÄN</t>
        </is>
      </c>
      <c r="G296" t="inlineStr">
        <is>
          <t>YDRE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46300</v>
      </c>
      <c r="F297" t="inlineStr">
        <is>
          <t>ÖSTERGÖTLANDS LÄN</t>
        </is>
      </c>
      <c r="G297" t="inlineStr">
        <is>
          <t>YDRE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46300</v>
      </c>
      <c r="F298" t="inlineStr">
        <is>
          <t>ÖSTERGÖTLANDS LÄN</t>
        </is>
      </c>
      <c r="G298" t="inlineStr">
        <is>
          <t>YDRE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46300</v>
      </c>
      <c r="F299" t="inlineStr">
        <is>
          <t>ÖSTERGÖTLANDS LÄN</t>
        </is>
      </c>
      <c r="G299" t="inlineStr">
        <is>
          <t>YDRE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46300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46300</v>
      </c>
      <c r="F301" t="inlineStr">
        <is>
          <t>ÖSTERGÖTLANDS LÄN</t>
        </is>
      </c>
      <c r="G301" t="inlineStr">
        <is>
          <t>YDRE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46300</v>
      </c>
      <c r="F302" t="inlineStr">
        <is>
          <t>ÖSTERGÖTLANDS LÄN</t>
        </is>
      </c>
      <c r="G302" t="inlineStr">
        <is>
          <t>YDRE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46300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46300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46300</v>
      </c>
      <c r="F305" t="inlineStr">
        <is>
          <t>ÖSTERGÖTLANDS LÄN</t>
        </is>
      </c>
      <c r="G305" t="inlineStr">
        <is>
          <t>YDRE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46300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45110</v>
      </c>
      <c r="E307" s="1" t="n">
        <v>46300</v>
      </c>
      <c r="F307" t="inlineStr">
        <is>
          <t>ÖSTERGÖTLANDS LÄN</t>
        </is>
      </c>
      <c r="G307" t="inlineStr">
        <is>
          <t>YDRE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45755</v>
      </c>
      <c r="E308" s="1" t="n">
        <v>46300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45583</v>
      </c>
      <c r="E309" s="1" t="n">
        <v>46300</v>
      </c>
      <c r="F309" t="inlineStr">
        <is>
          <t>ÖSTERGÖTLANDS LÄN</t>
        </is>
      </c>
      <c r="G309" t="inlineStr">
        <is>
          <t>YDRE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45099</v>
      </c>
      <c r="E310" s="1" t="n">
        <v>46300</v>
      </c>
      <c r="F310" t="inlineStr">
        <is>
          <t>ÖSTERGÖTLANDS LÄN</t>
        </is>
      </c>
      <c r="G310" t="inlineStr">
        <is>
          <t>YDRE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45595</v>
      </c>
      <c r="E311" s="1" t="n">
        <v>46300</v>
      </c>
      <c r="F311" t="inlineStr">
        <is>
          <t>ÖSTERGÖTLANDS LÄN</t>
        </is>
      </c>
      <c r="G311" t="inlineStr">
        <is>
          <t>YDRE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46300</v>
      </c>
      <c r="F312" t="inlineStr">
        <is>
          <t>ÖSTERGÖTLANDS LÄN</t>
        </is>
      </c>
      <c r="G312" t="inlineStr">
        <is>
          <t>YDRE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46300</v>
      </c>
      <c r="F313" t="inlineStr">
        <is>
          <t>ÖSTERGÖTLANDS LÄN</t>
        </is>
      </c>
      <c r="G313" t="inlineStr">
        <is>
          <t>YDRE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44572</v>
      </c>
      <c r="E314" s="1" t="n">
        <v>46300</v>
      </c>
      <c r="F314" t="inlineStr">
        <is>
          <t>ÖSTERGÖTLANDS LÄN</t>
        </is>
      </c>
      <c r="G314" t="inlineStr">
        <is>
          <t>YDRE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59407-2021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44491</v>
      </c>
      <c r="E315" s="1" t="n">
        <v>46300</v>
      </c>
      <c r="F315" t="inlineStr">
        <is>
          <t>ÖSTERGÖTLANDS LÄN</t>
        </is>
      </c>
      <c r="G315" t="inlineStr">
        <is>
          <t>YDRE</t>
        </is>
      </c>
      <c r="H315" t="inlineStr">
        <is>
          <t>Sveaskog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46300</v>
      </c>
      <c r="F316" t="inlineStr">
        <is>
          <t>ÖSTERGÖTLANDS LÄN</t>
        </is>
      </c>
      <c r="G316" t="inlineStr">
        <is>
          <t>YDRE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61636-2021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44501</v>
      </c>
      <c r="E317" s="1" t="n">
        <v>46300</v>
      </c>
      <c r="F317" t="inlineStr">
        <is>
          <t>ÖSTERGÖTLANDS LÄN</t>
        </is>
      </c>
      <c r="G317" t="inlineStr">
        <is>
          <t>YDRE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46300</v>
      </c>
      <c r="F318" t="inlineStr">
        <is>
          <t>ÖSTERGÖTLANDS LÄN</t>
        </is>
      </c>
      <c r="G318" t="inlineStr">
        <is>
          <t>YDRE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45335</v>
      </c>
      <c r="E319" s="1" t="n">
        <v>46300</v>
      </c>
      <c r="F319" t="inlineStr">
        <is>
          <t>ÖSTERGÖTLANDS LÄN</t>
        </is>
      </c>
      <c r="G319" t="inlineStr">
        <is>
          <t>YDRE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46300</v>
      </c>
      <c r="F320" t="inlineStr">
        <is>
          <t>ÖSTERGÖTLANDS LÄN</t>
        </is>
      </c>
      <c r="G320" t="inlineStr">
        <is>
          <t>YDRE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46300</v>
      </c>
      <c r="F321" t="inlineStr">
        <is>
          <t>ÖSTERGÖTLANDS LÄN</t>
        </is>
      </c>
      <c r="G321" t="inlineStr">
        <is>
          <t>YDRE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46300</v>
      </c>
      <c r="F322" t="inlineStr">
        <is>
          <t>ÖSTERGÖTLANDS LÄN</t>
        </is>
      </c>
      <c r="G322" t="inlineStr">
        <is>
          <t>YDRE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44874</v>
      </c>
      <c r="E323" s="1" t="n">
        <v>46300</v>
      </c>
      <c r="F323" t="inlineStr">
        <is>
          <t>ÖSTERGÖTLANDS LÄN</t>
        </is>
      </c>
      <c r="G323" t="inlineStr">
        <is>
          <t>YDRE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46273</v>
      </c>
      <c r="E324" s="1" t="n">
        <v>46300</v>
      </c>
      <c r="F324" t="inlineStr">
        <is>
          <t>ÖSTERGÖTLANDS LÄN</t>
        </is>
      </c>
      <c r="G324" t="inlineStr">
        <is>
          <t>YDRE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37071-2026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46273</v>
      </c>
      <c r="E325" s="1" t="n">
        <v>46300</v>
      </c>
      <c r="F325" t="inlineStr">
        <is>
          <t>ÖSTERGÖTLANDS LÄN</t>
        </is>
      </c>
      <c r="G325" t="inlineStr">
        <is>
          <t>YDRE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46273</v>
      </c>
      <c r="E326" s="1" t="n">
        <v>46300</v>
      </c>
      <c r="F326" t="inlineStr">
        <is>
          <t>ÖSTERGÖTLANDS LÄN</t>
        </is>
      </c>
      <c r="G326" t="inlineStr">
        <is>
          <t>YDRE</t>
        </is>
      </c>
      <c r="I326" t="n">
        <v>15.6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21982-2022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44711</v>
      </c>
      <c r="E327" s="1" t="n">
        <v>46300</v>
      </c>
      <c r="F327" t="inlineStr">
        <is>
          <t>ÖSTERGÖTLANDS LÄN</t>
        </is>
      </c>
      <c r="G327" t="inlineStr">
        <is>
          <t>YDRE</t>
        </is>
      </c>
      <c r="H327" t="inlineStr">
        <is>
          <t>Övriga Aktiebolag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46275</v>
      </c>
      <c r="E328" s="1" t="n">
        <v>46300</v>
      </c>
      <c r="F328" t="inlineStr">
        <is>
          <t>ÖSTERGÖTLANDS LÄN</t>
        </is>
      </c>
      <c r="G328" t="inlineStr">
        <is>
          <t>YDRE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46280</v>
      </c>
      <c r="E329" s="1" t="n">
        <v>46300</v>
      </c>
      <c r="F329" t="inlineStr">
        <is>
          <t>ÖSTERGÖTLANDS LÄN</t>
        </is>
      </c>
      <c r="G329" t="inlineStr">
        <is>
          <t>YDRE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38605-2026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46283</v>
      </c>
      <c r="E330" s="1" t="n">
        <v>46300</v>
      </c>
      <c r="F330" t="inlineStr">
        <is>
          <t>ÖSTERGÖTLANDS LÄN</t>
        </is>
      </c>
      <c r="G330" t="inlineStr">
        <is>
          <t>YDRE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46300</v>
      </c>
      <c r="F331" t="inlineStr">
        <is>
          <t>ÖSTERGÖTLANDS LÄN</t>
        </is>
      </c>
      <c r="G331" t="inlineStr">
        <is>
          <t>YDRE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46300</v>
      </c>
      <c r="F332" t="inlineStr">
        <is>
          <t>ÖSTERGÖTLANDS LÄN</t>
        </is>
      </c>
      <c r="G332" t="inlineStr">
        <is>
          <t>YDRE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46300</v>
      </c>
      <c r="F333" t="inlineStr">
        <is>
          <t>ÖSTERGÖTLANDS LÄN</t>
        </is>
      </c>
      <c r="G333" t="inlineStr">
        <is>
          <t>YDRE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46300</v>
      </c>
      <c r="F334" t="inlineStr">
        <is>
          <t>ÖSTERGÖTLANDS LÄN</t>
        </is>
      </c>
      <c r="G334" t="inlineStr">
        <is>
          <t>YDRE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46240</v>
      </c>
      <c r="E335" s="1" t="n">
        <v>46300</v>
      </c>
      <c r="F335" t="inlineStr">
        <is>
          <t>ÖSTERGÖTLANDS LÄN</t>
        </is>
      </c>
      <c r="G335" t="inlineStr">
        <is>
          <t>YDRE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46283</v>
      </c>
      <c r="E336" s="1" t="n">
        <v>46300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46283</v>
      </c>
      <c r="E337" s="1" t="n">
        <v>46300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46283</v>
      </c>
      <c r="E338" s="1" t="n">
        <v>46300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46300</v>
      </c>
      <c r="F339" t="inlineStr">
        <is>
          <t>ÖSTERGÖTLANDS LÄN</t>
        </is>
      </c>
      <c r="G339" t="inlineStr">
        <is>
          <t>YDRE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46240</v>
      </c>
      <c r="E340" s="1" t="n">
        <v>46300</v>
      </c>
      <c r="F340" t="inlineStr">
        <is>
          <t>ÖSTERGÖTLANDS LÄN</t>
        </is>
      </c>
      <c r="G340" t="inlineStr">
        <is>
          <t>YDRE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46300</v>
      </c>
      <c r="F341" t="inlineStr">
        <is>
          <t>ÖSTERGÖTLANDS LÄN</t>
        </is>
      </c>
      <c r="G341" t="inlineStr">
        <is>
          <t>YDRE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46300</v>
      </c>
      <c r="F342" t="inlineStr">
        <is>
          <t>ÖSTERGÖTLANDS LÄN</t>
        </is>
      </c>
      <c r="G342" t="inlineStr">
        <is>
          <t>YDRE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46283</v>
      </c>
      <c r="E343" s="1" t="n">
        <v>46300</v>
      </c>
      <c r="F343" t="inlineStr">
        <is>
          <t>ÖSTERGÖTLANDS LÄN</t>
        </is>
      </c>
      <c r="G343" t="inlineStr">
        <is>
          <t>YDRE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46300</v>
      </c>
      <c r="F344" t="inlineStr">
        <is>
          <t>ÖSTERGÖTLANDS LÄN</t>
        </is>
      </c>
      <c r="G344" t="inlineStr">
        <is>
          <t>YDRE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46300</v>
      </c>
      <c r="F345" t="inlineStr">
        <is>
          <t>ÖSTERGÖTLANDS LÄN</t>
        </is>
      </c>
      <c r="G345" t="inlineStr">
        <is>
          <t>YDRE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46300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46300</v>
      </c>
      <c r="F347" t="inlineStr">
        <is>
          <t>ÖSTERGÖTLANDS LÄN</t>
        </is>
      </c>
      <c r="G347" t="inlineStr">
        <is>
          <t>YDRE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46300</v>
      </c>
      <c r="F348" t="inlineStr">
        <is>
          <t>ÖSTERGÖTLANDS LÄN</t>
        </is>
      </c>
      <c r="G348" t="inlineStr">
        <is>
          <t>YDRE</t>
        </is>
      </c>
      <c r="H348" t="inlineStr">
        <is>
          <t>Övriga Aktiebolag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46300</v>
      </c>
      <c r="F349" t="inlineStr">
        <is>
          <t>ÖSTERGÖTLANDS LÄN</t>
        </is>
      </c>
      <c r="G349" t="inlineStr">
        <is>
          <t>YDRE</t>
        </is>
      </c>
      <c r="I349" t="n">
        <v>8.6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46286</v>
      </c>
      <c r="E350" s="1" t="n">
        <v>46300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46286</v>
      </c>
      <c r="E351" s="1" t="n">
        <v>46300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45436</v>
      </c>
      <c r="E352" s="1" t="n">
        <v>46300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68983-2021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44530</v>
      </c>
      <c r="E353" s="1" t="n">
        <v>46300</v>
      </c>
      <c r="F353" t="inlineStr">
        <is>
          <t>ÖSTERGÖTLANDS LÄN</t>
        </is>
      </c>
      <c r="G353" t="inlineStr">
        <is>
          <t>YDRE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61257-2023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46300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46300</v>
      </c>
      <c r="F355" t="inlineStr">
        <is>
          <t>ÖSTERGÖTLANDS LÄN</t>
        </is>
      </c>
      <c r="G355" t="inlineStr">
        <is>
          <t>YDRE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46300</v>
      </c>
      <c r="F356" t="inlineStr">
        <is>
          <t>ÖSTERGÖTLANDS LÄN</t>
        </is>
      </c>
      <c r="G356" t="inlineStr">
        <is>
          <t>YDRE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14953-2024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45398</v>
      </c>
      <c r="E357" s="1" t="n">
        <v>46300</v>
      </c>
      <c r="F357" t="inlineStr">
        <is>
          <t>ÖSTERGÖTLANDS LÄN</t>
        </is>
      </c>
      <c r="G357" t="inlineStr">
        <is>
          <t>YDRE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46300</v>
      </c>
      <c r="F358" t="inlineStr">
        <is>
          <t>ÖSTERGÖTLANDS LÄN</t>
        </is>
      </c>
      <c r="G358" t="inlineStr">
        <is>
          <t>YDRE</t>
        </is>
      </c>
      <c r="I358" t="n">
        <v>10.2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46300</v>
      </c>
      <c r="F359" t="inlineStr">
        <is>
          <t>ÖSTERGÖTLANDS LÄN</t>
        </is>
      </c>
      <c r="G359" t="inlineStr">
        <is>
          <t>YDRE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46300</v>
      </c>
      <c r="F360" t="inlineStr">
        <is>
          <t>ÖSTERGÖTLANDS LÄN</t>
        </is>
      </c>
      <c r="G360" t="inlineStr">
        <is>
          <t>YDRE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46300</v>
      </c>
      <c r="F361" t="inlineStr">
        <is>
          <t>ÖSTERGÖTLANDS LÄN</t>
        </is>
      </c>
      <c r="G361" t="inlineStr">
        <is>
          <t>YDRE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46300</v>
      </c>
      <c r="F362" t="inlineStr">
        <is>
          <t>ÖSTERGÖTLANDS LÄN</t>
        </is>
      </c>
      <c r="G362" t="inlineStr">
        <is>
          <t>YDRE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46300</v>
      </c>
      <c r="F363" t="inlineStr">
        <is>
          <t>ÖSTERGÖTLANDS LÄN</t>
        </is>
      </c>
      <c r="G363" t="inlineStr">
        <is>
          <t>YDRE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46300</v>
      </c>
      <c r="F364" t="inlineStr">
        <is>
          <t>ÖSTERGÖTLANDS LÄN</t>
        </is>
      </c>
      <c r="G364" t="inlineStr">
        <is>
          <t>YDRE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46290</v>
      </c>
      <c r="E365" s="1" t="n">
        <v>46300</v>
      </c>
      <c r="F365" t="inlineStr">
        <is>
          <t>ÖSTERGÖTLANDS LÄN</t>
        </is>
      </c>
      <c r="G365" t="inlineStr">
        <is>
          <t>YDRE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46300</v>
      </c>
      <c r="F366" t="inlineStr">
        <is>
          <t>ÖSTERGÖTLANDS LÄN</t>
        </is>
      </c>
      <c r="G366" t="inlineStr">
        <is>
          <t>YDRE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46300</v>
      </c>
      <c r="F367" t="inlineStr">
        <is>
          <t>ÖSTERGÖTLANDS LÄN</t>
        </is>
      </c>
      <c r="G367" t="inlineStr">
        <is>
          <t>YDRE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44816</v>
      </c>
      <c r="E368" s="1" t="n">
        <v>46300</v>
      </c>
      <c r="F368" t="inlineStr">
        <is>
          <t>ÖSTERGÖTLANDS LÄN</t>
        </is>
      </c>
      <c r="G368" t="inlineStr">
        <is>
          <t>YDRE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45016</v>
      </c>
      <c r="E369" s="1" t="n">
        <v>46300</v>
      </c>
      <c r="F369" t="inlineStr">
        <is>
          <t>ÖSTERGÖTLANDS LÄN</t>
        </is>
      </c>
      <c r="G369" t="inlineStr">
        <is>
          <t>YDRE</t>
        </is>
      </c>
      <c r="H369" t="inlineStr">
        <is>
          <t>Övriga Aktiebolag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14645-2022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44655</v>
      </c>
      <c r="E370" s="1" t="n">
        <v>46300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7619-2024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45348</v>
      </c>
      <c r="E371" s="1" t="n">
        <v>46300</v>
      </c>
      <c r="F371" t="inlineStr">
        <is>
          <t>ÖSTERGÖTLANDS LÄN</t>
        </is>
      </c>
      <c r="G371" t="inlineStr">
        <is>
          <t>YDRE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45085</v>
      </c>
      <c r="E372" s="1" t="n">
        <v>46300</v>
      </c>
      <c r="F372" t="inlineStr">
        <is>
          <t>ÖSTERGÖTLANDS LÄN</t>
        </is>
      </c>
      <c r="G372" t="inlineStr">
        <is>
          <t>YDRE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45414</v>
      </c>
      <c r="E373" s="1" t="n">
        <v>46300</v>
      </c>
      <c r="F373" t="inlineStr">
        <is>
          <t>ÖSTERGÖTLANDS LÄN</t>
        </is>
      </c>
      <c r="G373" t="inlineStr">
        <is>
          <t>YDRE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44987</v>
      </c>
      <c r="E374" s="1" t="n">
        <v>46300</v>
      </c>
      <c r="F374" t="inlineStr">
        <is>
          <t>ÖSTERGÖTLANDS LÄN</t>
        </is>
      </c>
      <c r="G374" t="inlineStr">
        <is>
          <t>YDRE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9162-2023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44980</v>
      </c>
      <c r="E375" s="1" t="n">
        <v>46300</v>
      </c>
      <c r="F375" t="inlineStr">
        <is>
          <t>ÖSTERGÖTLANDS LÄN</t>
        </is>
      </c>
      <c r="G375" t="inlineStr">
        <is>
          <t>YDRE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59805-2022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46300</v>
      </c>
      <c r="F376" t="inlineStr">
        <is>
          <t>ÖSTERGÖTLANDS LÄN</t>
        </is>
      </c>
      <c r="G376" t="inlineStr">
        <is>
          <t>YDRE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45634</v>
      </c>
      <c r="E377" s="1" t="n">
        <v>46300</v>
      </c>
      <c r="F377" t="inlineStr">
        <is>
          <t>ÖSTERGÖTLANDS LÄN</t>
        </is>
      </c>
      <c r="G377" t="inlineStr">
        <is>
          <t>YDRE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45218</v>
      </c>
      <c r="E378" s="1" t="n">
        <v>46300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46300</v>
      </c>
      <c r="F379" t="inlineStr">
        <is>
          <t>ÖSTERGÖTLANDS LÄN</t>
        </is>
      </c>
      <c r="G379" t="inlineStr">
        <is>
          <t>YDRE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14184-2022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44651</v>
      </c>
      <c r="E380" s="1" t="n">
        <v>46300</v>
      </c>
      <c r="F380" t="inlineStr">
        <is>
          <t>ÖSTERGÖTLANDS LÄN</t>
        </is>
      </c>
      <c r="G380" t="inlineStr">
        <is>
          <t>YDRE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44844</v>
      </c>
      <c r="E381" s="1" t="n">
        <v>46300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60244-2023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46300</v>
      </c>
      <c r="F382" t="inlineStr">
        <is>
          <t>ÖSTERGÖTLANDS LÄN</t>
        </is>
      </c>
      <c r="G382" t="inlineStr">
        <is>
          <t>YDRE</t>
        </is>
      </c>
      <c r="I382" t="n">
        <v>17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45698</v>
      </c>
      <c r="E383" s="1" t="n">
        <v>46300</v>
      </c>
      <c r="F383" t="inlineStr">
        <is>
          <t>ÖSTERGÖTLANDS LÄN</t>
        </is>
      </c>
      <c r="G383" t="inlineStr">
        <is>
          <t>YDRE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46300</v>
      </c>
      <c r="F384" t="inlineStr">
        <is>
          <t>ÖSTERGÖTLANDS LÄN</t>
        </is>
      </c>
      <c r="G384" t="inlineStr">
        <is>
          <t>YDRE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46300</v>
      </c>
      <c r="F385" t="inlineStr">
        <is>
          <t>ÖSTERGÖTLANDS LÄN</t>
        </is>
      </c>
      <c r="G385" t="inlineStr">
        <is>
          <t>YDRE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45054</v>
      </c>
      <c r="E386" s="1" t="n">
        <v>46300</v>
      </c>
      <c r="F386" t="inlineStr">
        <is>
          <t>ÖSTERGÖTLANDS LÄN</t>
        </is>
      </c>
      <c r="G386" t="inlineStr">
        <is>
          <t>YDRE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46300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46300</v>
      </c>
      <c r="F388" t="inlineStr">
        <is>
          <t>ÖSTERGÖTLANDS LÄN</t>
        </is>
      </c>
      <c r="G388" t="inlineStr">
        <is>
          <t>YDRE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46300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44670</v>
      </c>
      <c r="E390" s="1" t="n">
        <v>46300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44953</v>
      </c>
      <c r="E391" s="1" t="n">
        <v>46300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14101-2022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44651</v>
      </c>
      <c r="E392" s="1" t="n">
        <v>46300</v>
      </c>
      <c r="F392" t="inlineStr">
        <is>
          <t>ÖSTERGÖTLANDS LÄN</t>
        </is>
      </c>
      <c r="G392" t="inlineStr">
        <is>
          <t>YDRE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46300</v>
      </c>
      <c r="F393" t="inlineStr">
        <is>
          <t>ÖSTERGÖTLANDS LÄN</t>
        </is>
      </c>
      <c r="G393" t="inlineStr">
        <is>
          <t>YDRE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59296-2021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44490</v>
      </c>
      <c r="E394" s="1" t="n">
        <v>46300</v>
      </c>
      <c r="F394" t="inlineStr">
        <is>
          <t>ÖSTERGÖTLANDS LÄN</t>
        </is>
      </c>
      <c r="G394" t="inlineStr">
        <is>
          <t>YDRE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46300</v>
      </c>
      <c r="F395" t="inlineStr">
        <is>
          <t>ÖSTERGÖTLANDS LÄN</t>
        </is>
      </c>
      <c r="G395" t="inlineStr">
        <is>
          <t>YDRE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46300</v>
      </c>
      <c r="F396" t="inlineStr">
        <is>
          <t>ÖSTERGÖTLANDS LÄN</t>
        </is>
      </c>
      <c r="G396" t="inlineStr">
        <is>
          <t>YDRE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45677</v>
      </c>
      <c r="E397" s="1" t="n">
        <v>46300</v>
      </c>
      <c r="F397" t="inlineStr">
        <is>
          <t>ÖSTERGÖTLANDS LÄN</t>
        </is>
      </c>
      <c r="G397" t="inlineStr">
        <is>
          <t>YDRE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45736</v>
      </c>
      <c r="E398" s="1" t="n">
        <v>46300</v>
      </c>
      <c r="F398" t="inlineStr">
        <is>
          <t>ÖSTERGÖTLANDS LÄN</t>
        </is>
      </c>
      <c r="G398" t="inlineStr">
        <is>
          <t>YDRE</t>
        </is>
      </c>
      <c r="H398" t="inlineStr">
        <is>
          <t>Övriga Aktiebolag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46300</v>
      </c>
      <c r="F399" t="inlineStr">
        <is>
          <t>ÖSTERGÖTLANDS LÄN</t>
        </is>
      </c>
      <c r="G399" t="inlineStr">
        <is>
          <t>YDRE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61205-2023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45264</v>
      </c>
      <c r="E400" s="1" t="n">
        <v>46300</v>
      </c>
      <c r="F400" t="inlineStr">
        <is>
          <t>ÖSTERGÖTLANDS LÄN</t>
        </is>
      </c>
      <c r="G400" t="inlineStr">
        <is>
          <t>YDRE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57290-2021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46300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45492</v>
      </c>
      <c r="E402" s="1" t="n">
        <v>46300</v>
      </c>
      <c r="F402" t="inlineStr">
        <is>
          <t>ÖSTERGÖTLANDS LÄN</t>
        </is>
      </c>
      <c r="G402" t="inlineStr">
        <is>
          <t>YDRE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46300</v>
      </c>
      <c r="F403" t="inlineStr">
        <is>
          <t>ÖSTERGÖTLANDS LÄN</t>
        </is>
      </c>
      <c r="G403" t="inlineStr">
        <is>
          <t>YDRE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416-2022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44585</v>
      </c>
      <c r="E404" s="1" t="n">
        <v>46300</v>
      </c>
      <c r="F404" t="inlineStr">
        <is>
          <t>ÖSTERGÖTLANDS LÄN</t>
        </is>
      </c>
      <c r="G404" t="inlineStr">
        <is>
          <t>YDRE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2053-2025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45839</v>
      </c>
      <c r="E405" s="1" t="n">
        <v>46300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2604-2025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45916</v>
      </c>
      <c r="E406" s="1" t="n">
        <v>46300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3063-2025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45964</v>
      </c>
      <c r="E407" s="1" t="n">
        <v>46300</v>
      </c>
      <c r="F407" t="inlineStr">
        <is>
          <t>ÖSTERGÖTLANDS LÄN</t>
        </is>
      </c>
      <c r="G407" t="inlineStr">
        <is>
          <t>YDRE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384-2026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46066</v>
      </c>
      <c r="E408" s="1" t="n">
        <v>46300</v>
      </c>
      <c r="F408" t="inlineStr">
        <is>
          <t>ÖSTERGÖTLANDS LÄN</t>
        </is>
      </c>
      <c r="G408" t="inlineStr">
        <is>
          <t>YDRE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2485-2026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46287</v>
      </c>
      <c r="E409" s="1" t="n">
        <v>46300</v>
      </c>
      <c r="F409" t="inlineStr">
        <is>
          <t>ÖSTERGÖTLANDS LÄN</t>
        </is>
      </c>
      <c r="G409" t="inlineStr">
        <is>
          <t>YDRE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2026-10-05T01:54:54Z</dcterms:created>
  <dcterms:modified xmlns:dcterms="http://purl.org/dc/terms/" xmlns:xsi="http://www.w3.org/2001/XMLSchema-instance" xsi:type="dcterms:W3CDTF">2026-10-05T01:54:55Z</dcterms:modified>
</cp:coreProperties>
</file>