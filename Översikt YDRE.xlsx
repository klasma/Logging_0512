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46233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46233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46233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46233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46233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46233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46233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46233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46233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46233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46233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46233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46233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46233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46233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46233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46233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46233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46233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46233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46233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46233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46233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46233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46233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46233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46233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45354-2023 artfynd.xlsx", "A 45354-2023")</f>
        <v/>
      </c>
      <c r="X30">
        <f>HYPERLINK("https://klasma.github.io/Logging_0512/kartor/A 45354-2023 karta.png", "A 45354-2023")</f>
        <v/>
      </c>
      <c r="Y30">
        <f>HYPERLINK("https://klasma.github.io/Logging_0512/kartor_geotiff/A 45354-2023 georefererad karta.tif", "A 45354-2023")</f>
        <v/>
      </c>
      <c r="AA30">
        <f>HYPERLINK("https://klasma.github.io/Logging_0512/klagomål/A 45354-2023 FSC-klagomål.docx", "A 45354-2023")</f>
        <v/>
      </c>
      <c r="AB30">
        <f>HYPERLINK("https://klasma.github.io/Logging_0512/klagomålsmail/A 45354-2023 FSC-klagomål mail.docx", "A 45354-2023")</f>
        <v/>
      </c>
      <c r="AC30">
        <f>HYPERLINK("https://klasma.github.io/Logging_0512/tillsyn/A 45354-2023 tillsynsbegäran.docx", "A 45354-2023")</f>
        <v/>
      </c>
      <c r="AD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46233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46233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46233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8923-2026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46233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8923-2026 artfynd.xlsx", "A 8923-2026")</f>
        <v/>
      </c>
      <c r="X34">
        <f>HYPERLINK("https://klasma.github.io/Logging_0512/kartor/A 8923-2026 karta.png", "A 8923-2026")</f>
        <v/>
      </c>
      <c r="Y34">
        <f>HYPERLINK("https://klasma.github.io/Logging_0512/kartor_geotiff/A 8923-2026 georefererad karta.tif", "A 8923-2026")</f>
        <v/>
      </c>
      <c r="AA34">
        <f>HYPERLINK("https://klasma.github.io/Logging_0512/klagomål/A 8923-2026 FSC-klagomål.docx", "A 8923-2026")</f>
        <v/>
      </c>
      <c r="AB34">
        <f>HYPERLINK("https://klasma.github.io/Logging_0512/klagomålsmail/A 8923-2026 FSC-klagomål mail.docx", "A 8923-2026")</f>
        <v/>
      </c>
      <c r="AC34">
        <f>HYPERLINK("https://klasma.github.io/Logging_0512/tillsyn/A 8923-2026 tillsynsbegäran.docx", "A 8923-2026")</f>
        <v/>
      </c>
      <c r="AD34">
        <f>HYPERLINK("https://klasma.github.io/Logging_0512/tillsynsmail/A 8923-2026 tillsynsbegäran mail.docx", "A 8923-2026")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46233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HYPERLINK("https://klasma.github.io/Logging_0512/artfynd/A 54520-2025 artfynd.xlsx", "A 54520-2025")</f>
        <v/>
      </c>
      <c r="X35">
        <f>HYPERLINK("https://klasma.github.io/Logging_0512/kartor/A 54520-2025 karta.png", "A 54520-2025")</f>
        <v/>
      </c>
      <c r="Y35">
        <f>HYPERLINK("https://klasma.github.io/Logging_0512/kartor_geotiff/A 54520-2025 georefererad karta.tif", "A 54520-2025")</f>
        <v/>
      </c>
      <c r="AA35">
        <f>HYPERLINK("https://klasma.github.io/Logging_0512/klagomål/A 54520-2025 FSC-klagomål.docx", "A 54520-2025")</f>
        <v/>
      </c>
      <c r="AB35">
        <f>HYPERLINK("https://klasma.github.io/Logging_0512/klagomålsmail/A 54520-2025 FSC-klagomål mail.docx", "A 54520-2025")</f>
        <v/>
      </c>
      <c r="AC35">
        <f>HYPERLINK("https://klasma.github.io/Logging_0512/tillsyn/A 54520-2025 tillsynsbegäran.docx", "A 54520-2025")</f>
        <v/>
      </c>
      <c r="AD35">
        <f>HYPERLINK("https://klasma.github.io/Logging_0512/tillsynsmail/A 54520-2025 tillsynsbegäran mail.docx", "A 54520-2025")</f>
        <v/>
      </c>
      <c r="AE35">
        <f>HYPERLINK("https://klasma.github.io/Logging_0512/fåglar/A 54520-2025 prioriterade fågelarter.docx", "A 54520-2025")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46233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46233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46233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46233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47467-2021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44447</v>
      </c>
      <c r="E40" s="1" t="n">
        <v>46233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1.8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HYPERLINK("https://klasma.github.io/Logging_0512/artfynd/A 47467-2021 artfynd.xlsx", "A 47467-2021")</f>
        <v/>
      </c>
      <c r="X40">
        <f>HYPERLINK("https://klasma.github.io/Logging_0512/kartor/A 47467-2021 karta.png", "A 47467-2021")</f>
        <v/>
      </c>
      <c r="Y40">
        <f>HYPERLINK("https://klasma.github.io/Logging_0512/kartor_geotiff/A 47467-2021 georefererad karta.tif", "A 47467-2021")</f>
        <v/>
      </c>
      <c r="AA40">
        <f>HYPERLINK("https://klasma.github.io/Logging_0512/klagomål/A 47467-2021 FSC-klagomål.docx", "A 47467-2021")</f>
        <v/>
      </c>
      <c r="AB40">
        <f>HYPERLINK("https://klasma.github.io/Logging_0512/klagomålsmail/A 47467-2021 FSC-klagomål mail.docx", "A 47467-2021")</f>
        <v/>
      </c>
      <c r="AC40">
        <f>HYPERLINK("https://klasma.github.io/Logging_0512/tillsyn/A 47467-2021 tillsynsbegäran.docx", "A 47467-2021")</f>
        <v/>
      </c>
      <c r="AD40">
        <f>HYPERLINK("https://klasma.github.io/Logging_0512/tillsynsmail/A 47467-2021 tillsynsbegäran mail.docx", "A 47467-2021")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46233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46233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46233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46233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46233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46233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46233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46233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46233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46233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46233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46233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46233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46233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46233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46233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46233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46233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46233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46233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46233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46233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46233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46233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46233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46233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46233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46233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46233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46233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46233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46233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46233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46233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46233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46233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46233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46233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46233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46233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46233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46233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46233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46233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46233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46233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46233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46233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46233</v>
      </c>
      <c r="F89" t="inlineStr">
        <is>
          <t>ÖSTERGÖTLANDS LÄN</t>
        </is>
      </c>
      <c r="G89" t="inlineStr">
        <is>
          <t>YDRE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46233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46233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46233</v>
      </c>
      <c r="F92" t="inlineStr">
        <is>
          <t>ÖSTERGÖTLANDS LÄN</t>
        </is>
      </c>
      <c r="G92" t="inlineStr">
        <is>
          <t>YDRE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46233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46233</v>
      </c>
      <c r="F94" t="inlineStr">
        <is>
          <t>ÖSTERGÖTLANDS LÄN</t>
        </is>
      </c>
      <c r="G94" t="inlineStr">
        <is>
          <t>YDRE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46233</v>
      </c>
      <c r="F95" t="inlineStr">
        <is>
          <t>ÖSTERGÖTLANDS LÄN</t>
        </is>
      </c>
      <c r="G95" t="inlineStr">
        <is>
          <t>YDRE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46233</v>
      </c>
      <c r="F96" t="inlineStr">
        <is>
          <t>ÖSTERGÖTLANDS LÄN</t>
        </is>
      </c>
      <c r="G96" t="inlineStr">
        <is>
          <t>YDRE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46233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46233</v>
      </c>
      <c r="F98" t="inlineStr">
        <is>
          <t>ÖSTERGÖTLANDS LÄN</t>
        </is>
      </c>
      <c r="G98" t="inlineStr">
        <is>
          <t>YDRE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46233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46233</v>
      </c>
      <c r="F100" t="inlineStr">
        <is>
          <t>ÖSTERGÖTLANDS LÄN</t>
        </is>
      </c>
      <c r="G100" t="inlineStr">
        <is>
          <t>YDRE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46233</v>
      </c>
      <c r="F101" t="inlineStr">
        <is>
          <t>ÖSTERGÖTLANDS LÄN</t>
        </is>
      </c>
      <c r="G101" t="inlineStr">
        <is>
          <t>YDRE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55844-2021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44476</v>
      </c>
      <c r="E102" s="1" t="n">
        <v>46233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46233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46233</v>
      </c>
      <c r="F104" t="inlineStr">
        <is>
          <t>ÖSTERGÖTLANDS LÄN</t>
        </is>
      </c>
      <c r="G104" t="inlineStr">
        <is>
          <t>YDRE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46233</v>
      </c>
      <c r="F105" t="inlineStr">
        <is>
          <t>ÖSTERGÖTLANDS LÄN</t>
        </is>
      </c>
      <c r="G105" t="inlineStr">
        <is>
          <t>YDRE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46233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45647</v>
      </c>
      <c r="E107" s="1" t="n">
        <v>46233</v>
      </c>
      <c r="F107" t="inlineStr">
        <is>
          <t>ÖSTERGÖTLANDS LÄN</t>
        </is>
      </c>
      <c r="G107" t="inlineStr">
        <is>
          <t>YDRE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45649</v>
      </c>
      <c r="E108" s="1" t="n">
        <v>46233</v>
      </c>
      <c r="F108" t="inlineStr">
        <is>
          <t>ÖSTERGÖTLANDS LÄN</t>
        </is>
      </c>
      <c r="G108" t="inlineStr">
        <is>
          <t>YDRE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45475</v>
      </c>
      <c r="E109" s="1" t="n">
        <v>46233</v>
      </c>
      <c r="F109" t="inlineStr">
        <is>
          <t>ÖSTERGÖTLANDS LÄN</t>
        </is>
      </c>
      <c r="G109" t="inlineStr">
        <is>
          <t>YDRE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46233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46044</v>
      </c>
      <c r="E111" s="1" t="n">
        <v>46233</v>
      </c>
      <c r="F111" t="inlineStr">
        <is>
          <t>ÖSTERGÖTLANDS LÄN</t>
        </is>
      </c>
      <c r="G111" t="inlineStr">
        <is>
          <t>YDRE</t>
        </is>
      </c>
      <c r="H111" t="inlineStr">
        <is>
          <t>Övriga Aktiebolag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45355</v>
      </c>
      <c r="E112" s="1" t="n">
        <v>46233</v>
      </c>
      <c r="F112" t="inlineStr">
        <is>
          <t>ÖSTERGÖTLANDS LÄN</t>
        </is>
      </c>
      <c r="G112" t="inlineStr">
        <is>
          <t>YDRE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46233</v>
      </c>
      <c r="F113" t="inlineStr">
        <is>
          <t>ÖSTERGÖTLANDS LÄN</t>
        </is>
      </c>
      <c r="G113" t="inlineStr">
        <is>
          <t>YDRE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46233</v>
      </c>
      <c r="F114" t="inlineStr">
        <is>
          <t>ÖSTERGÖTLANDS LÄN</t>
        </is>
      </c>
      <c r="G114" t="inlineStr">
        <is>
          <t>YDRE</t>
        </is>
      </c>
      <c r="H114" t="inlineStr">
        <is>
          <t>Sveaskog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46233</v>
      </c>
      <c r="F115" t="inlineStr">
        <is>
          <t>ÖSTERGÖTLANDS LÄN</t>
        </is>
      </c>
      <c r="G115" t="inlineStr">
        <is>
          <t>YDRE</t>
        </is>
      </c>
      <c r="H115" t="inlineStr">
        <is>
          <t>Sveaskog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59811-2022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46233</v>
      </c>
      <c r="F116" t="inlineStr">
        <is>
          <t>ÖSTERGÖTLANDS LÄN</t>
        </is>
      </c>
      <c r="G116" t="inlineStr">
        <is>
          <t>YDRE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46233</v>
      </c>
      <c r="F117" t="inlineStr">
        <is>
          <t>ÖSTERGÖTLANDS LÄN</t>
        </is>
      </c>
      <c r="G117" t="inlineStr">
        <is>
          <t>YDRE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46233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46233</v>
      </c>
      <c r="F119" t="inlineStr">
        <is>
          <t>ÖSTERGÖTLANDS LÄN</t>
        </is>
      </c>
      <c r="G119" t="inlineStr">
        <is>
          <t>YDRE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46233</v>
      </c>
      <c r="F120" t="inlineStr">
        <is>
          <t>ÖSTERGÖTLANDS LÄN</t>
        </is>
      </c>
      <c r="G120" t="inlineStr">
        <is>
          <t>YDRE</t>
        </is>
      </c>
      <c r="H120" t="inlineStr">
        <is>
          <t>Kyrkan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46233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45510</v>
      </c>
      <c r="E122" s="1" t="n">
        <v>46233</v>
      </c>
      <c r="F122" t="inlineStr">
        <is>
          <t>ÖSTERGÖTLANDS LÄN</t>
        </is>
      </c>
      <c r="G122" t="inlineStr">
        <is>
          <t>YDRE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44966</v>
      </c>
      <c r="E123" s="1" t="n">
        <v>46233</v>
      </c>
      <c r="F123" t="inlineStr">
        <is>
          <t>ÖSTERGÖTLANDS LÄN</t>
        </is>
      </c>
      <c r="G123" t="inlineStr">
        <is>
          <t>YDRE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46233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44283-2021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46233</v>
      </c>
      <c r="F125" t="inlineStr">
        <is>
          <t>ÖSTERGÖTLANDS LÄN</t>
        </is>
      </c>
      <c r="G125" t="inlineStr">
        <is>
          <t>YDRE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46233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28239-2023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46233</v>
      </c>
      <c r="F127" t="inlineStr">
        <is>
          <t>ÖSTERGÖTLANDS LÄN</t>
        </is>
      </c>
      <c r="G127" t="inlineStr">
        <is>
          <t>YDRE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46233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46233</v>
      </c>
      <c r="F129" t="inlineStr">
        <is>
          <t>ÖSTERGÖTLANDS LÄN</t>
        </is>
      </c>
      <c r="G129" t="inlineStr">
        <is>
          <t>YDRE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46233</v>
      </c>
      <c r="F130" t="inlineStr">
        <is>
          <t>ÖSTERGÖTLANDS LÄN</t>
        </is>
      </c>
      <c r="G130" t="inlineStr">
        <is>
          <t>YDRE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46233</v>
      </c>
      <c r="F131" t="inlineStr">
        <is>
          <t>ÖSTERGÖTLANDS LÄN</t>
        </is>
      </c>
      <c r="G131" t="inlineStr">
        <is>
          <t>YDRE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46233</v>
      </c>
      <c r="F132" t="inlineStr">
        <is>
          <t>ÖSTERGÖTLANDS LÄN</t>
        </is>
      </c>
      <c r="G132" t="inlineStr">
        <is>
          <t>YDRE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46233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46233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46233</v>
      </c>
      <c r="F135" t="inlineStr">
        <is>
          <t>ÖSTERGÖTLANDS LÄN</t>
        </is>
      </c>
      <c r="G135" t="inlineStr">
        <is>
          <t>YDRE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30551-2025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46233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46233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46233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46233</v>
      </c>
      <c r="F139" t="inlineStr">
        <is>
          <t>ÖSTERGÖTLANDS LÄN</t>
        </is>
      </c>
      <c r="G139" t="inlineStr">
        <is>
          <t>YDRE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46233</v>
      </c>
      <c r="F140" t="inlineStr">
        <is>
          <t>ÖSTERGÖTLANDS LÄN</t>
        </is>
      </c>
      <c r="G140" t="inlineStr">
        <is>
          <t>YDRE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46233</v>
      </c>
      <c r="F141" t="inlineStr">
        <is>
          <t>ÖSTERGÖTLANDS LÄN</t>
        </is>
      </c>
      <c r="G141" t="inlineStr">
        <is>
          <t>YDRE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32635-2025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45838</v>
      </c>
      <c r="E142" s="1" t="n">
        <v>46233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46233</v>
      </c>
      <c r="F143" t="inlineStr">
        <is>
          <t>ÖSTERGÖTLANDS LÄN</t>
        </is>
      </c>
      <c r="G143" t="inlineStr">
        <is>
          <t>YDRE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46233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45790</v>
      </c>
      <c r="E145" s="1" t="n">
        <v>46233</v>
      </c>
      <c r="F145" t="inlineStr">
        <is>
          <t>ÖSTERGÖTLANDS LÄN</t>
        </is>
      </c>
      <c r="G145" t="inlineStr">
        <is>
          <t>YDRE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46233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46233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46233</v>
      </c>
      <c r="F148" t="inlineStr">
        <is>
          <t>ÖSTERGÖTLANDS LÄN</t>
        </is>
      </c>
      <c r="G148" t="inlineStr">
        <is>
          <t>YDRE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59296-2021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44490</v>
      </c>
      <c r="E149" s="1" t="n">
        <v>46233</v>
      </c>
      <c r="F149" t="inlineStr">
        <is>
          <t>ÖSTERGÖTLANDS LÄN</t>
        </is>
      </c>
      <c r="G149" t="inlineStr">
        <is>
          <t>YDRE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46233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45000</v>
      </c>
      <c r="E151" s="1" t="n">
        <v>46233</v>
      </c>
      <c r="F151" t="inlineStr">
        <is>
          <t>ÖSTERGÖTLANDS LÄN</t>
        </is>
      </c>
      <c r="G151" t="inlineStr">
        <is>
          <t>YDRE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46086-2025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45924</v>
      </c>
      <c r="E152" s="1" t="n">
        <v>46233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45924</v>
      </c>
      <c r="E153" s="1" t="n">
        <v>46233</v>
      </c>
      <c r="F153" t="inlineStr">
        <is>
          <t>ÖSTERGÖTLANDS LÄN</t>
        </is>
      </c>
      <c r="G153" t="inlineStr">
        <is>
          <t>YDRE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14101-2022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44651</v>
      </c>
      <c r="E154" s="1" t="n">
        <v>46233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46233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46233</v>
      </c>
      <c r="F156" t="inlineStr">
        <is>
          <t>ÖSTERGÖTLANDS LÄN</t>
        </is>
      </c>
      <c r="G156" t="inlineStr">
        <is>
          <t>YDRE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46233</v>
      </c>
      <c r="F157" t="inlineStr">
        <is>
          <t>ÖSTERGÖTLANDS LÄN</t>
        </is>
      </c>
      <c r="G157" t="inlineStr">
        <is>
          <t>YDRE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46233</v>
      </c>
      <c r="F158" t="inlineStr">
        <is>
          <t>ÖSTERGÖTLANDS LÄN</t>
        </is>
      </c>
      <c r="G158" t="inlineStr">
        <is>
          <t>YDRE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46233</v>
      </c>
      <c r="F159" t="inlineStr">
        <is>
          <t>ÖSTERGÖTLANDS LÄN</t>
        </is>
      </c>
      <c r="G159" t="inlineStr">
        <is>
          <t>YDRE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46233</v>
      </c>
      <c r="F160" t="inlineStr">
        <is>
          <t>ÖSTERGÖTLANDS LÄN</t>
        </is>
      </c>
      <c r="G160" t="inlineStr">
        <is>
          <t>YDRE</t>
        </is>
      </c>
      <c r="H160" t="inlineStr">
        <is>
          <t>Kyrkan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46233</v>
      </c>
      <c r="F161" t="inlineStr">
        <is>
          <t>ÖSTERGÖTLANDS LÄN</t>
        </is>
      </c>
      <c r="G161" t="inlineStr">
        <is>
          <t>YDRE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46233</v>
      </c>
      <c r="F162" t="inlineStr">
        <is>
          <t>ÖSTERGÖTLANDS LÄN</t>
        </is>
      </c>
      <c r="G162" t="inlineStr">
        <is>
          <t>YDRE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46233</v>
      </c>
      <c r="F163" t="inlineStr">
        <is>
          <t>ÖSTERGÖTLANDS LÄN</t>
        </is>
      </c>
      <c r="G163" t="inlineStr">
        <is>
          <t>YDRE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6293-2026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46055</v>
      </c>
      <c r="E164" s="1" t="n">
        <v>46233</v>
      </c>
      <c r="F164" t="inlineStr">
        <is>
          <t>ÖSTERGÖTLANDS LÄN</t>
        </is>
      </c>
      <c r="G164" t="inlineStr">
        <is>
          <t>YDRE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46233</v>
      </c>
      <c r="F165" t="inlineStr">
        <is>
          <t>ÖSTERGÖTLANDS LÄN</t>
        </is>
      </c>
      <c r="G165" t="inlineStr">
        <is>
          <t>YDRE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46233</v>
      </c>
      <c r="F166" t="inlineStr">
        <is>
          <t>ÖSTERGÖTLANDS LÄN</t>
        </is>
      </c>
      <c r="G166" t="inlineStr">
        <is>
          <t>YDRE</t>
        </is>
      </c>
      <c r="H166" t="inlineStr">
        <is>
          <t>Kyrkan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45938</v>
      </c>
      <c r="E167" s="1" t="n">
        <v>46233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49452-2025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46233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45938</v>
      </c>
      <c r="E169" s="1" t="n">
        <v>46233</v>
      </c>
      <c r="F169" t="inlineStr">
        <is>
          <t>ÖSTERGÖTLANDS LÄN</t>
        </is>
      </c>
      <c r="G169" t="inlineStr">
        <is>
          <t>YDRE</t>
        </is>
      </c>
      <c r="H169" t="inlineStr">
        <is>
          <t>Övriga Aktiebolag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45940</v>
      </c>
      <c r="E170" s="1" t="n">
        <v>46233</v>
      </c>
      <c r="F170" t="inlineStr">
        <is>
          <t>ÖSTERGÖTLANDS LÄN</t>
        </is>
      </c>
      <c r="G170" t="inlineStr">
        <is>
          <t>YDRE</t>
        </is>
      </c>
      <c r="H170" t="inlineStr">
        <is>
          <t>Kyrkan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7276-2026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46233</v>
      </c>
      <c r="F171" t="inlineStr">
        <is>
          <t>ÖSTERGÖTLANDS LÄN</t>
        </is>
      </c>
      <c r="G171" t="inlineStr">
        <is>
          <t>YDRE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45943</v>
      </c>
      <c r="E172" s="1" t="n">
        <v>46233</v>
      </c>
      <c r="F172" t="inlineStr">
        <is>
          <t>ÖSTERGÖTLANDS LÄN</t>
        </is>
      </c>
      <c r="G172" t="inlineStr">
        <is>
          <t>YDRE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39903-2021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44417</v>
      </c>
      <c r="E173" s="1" t="n">
        <v>46233</v>
      </c>
      <c r="F173" t="inlineStr">
        <is>
          <t>ÖSTERGÖTLANDS LÄN</t>
        </is>
      </c>
      <c r="G173" t="inlineStr">
        <is>
          <t>YDRE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44417</v>
      </c>
      <c r="E174" s="1" t="n">
        <v>46233</v>
      </c>
      <c r="F174" t="inlineStr">
        <is>
          <t>ÖSTERGÖTLANDS LÄN</t>
        </is>
      </c>
      <c r="G174" t="inlineStr">
        <is>
          <t>YDRE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46233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46233</v>
      </c>
      <c r="F176" t="inlineStr">
        <is>
          <t>ÖSTERGÖTLANDS LÄN</t>
        </is>
      </c>
      <c r="G176" t="inlineStr">
        <is>
          <t>YDRE</t>
        </is>
      </c>
      <c r="H176" t="inlineStr">
        <is>
          <t>Övriga Aktiebolag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7641-2026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46233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45666</v>
      </c>
      <c r="E178" s="1" t="n">
        <v>46233</v>
      </c>
      <c r="F178" t="inlineStr">
        <is>
          <t>ÖSTERGÖTLANDS LÄN</t>
        </is>
      </c>
      <c r="G178" t="inlineStr">
        <is>
          <t>YDRE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46233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46233</v>
      </c>
      <c r="F180" t="inlineStr">
        <is>
          <t>ÖSTERGÖTLANDS LÄN</t>
        </is>
      </c>
      <c r="G180" t="inlineStr">
        <is>
          <t>YDRE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46233</v>
      </c>
      <c r="F181" t="inlineStr">
        <is>
          <t>ÖSTERGÖTLANDS LÄN</t>
        </is>
      </c>
      <c r="G181" t="inlineStr">
        <is>
          <t>YDRE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46233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46233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45575</v>
      </c>
      <c r="E184" s="1" t="n">
        <v>46233</v>
      </c>
      <c r="F184" t="inlineStr">
        <is>
          <t>ÖSTERGÖTLANDS LÄN</t>
        </is>
      </c>
      <c r="G184" t="inlineStr">
        <is>
          <t>YDRE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46233</v>
      </c>
      <c r="F185" t="inlineStr">
        <is>
          <t>ÖSTERGÖTLANDS LÄN</t>
        </is>
      </c>
      <c r="G185" t="inlineStr">
        <is>
          <t>YDRE</t>
        </is>
      </c>
      <c r="H185" t="inlineStr">
        <is>
          <t>Övriga Aktiebolag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45096</v>
      </c>
      <c r="E186" s="1" t="n">
        <v>46233</v>
      </c>
      <c r="F186" t="inlineStr">
        <is>
          <t>ÖSTERGÖTLANDS LÄN</t>
        </is>
      </c>
      <c r="G186" t="inlineStr">
        <is>
          <t>YDRE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46069</v>
      </c>
      <c r="E187" s="1" t="n">
        <v>46233</v>
      </c>
      <c r="F187" t="inlineStr">
        <is>
          <t>ÖSTERGÖTLANDS LÄN</t>
        </is>
      </c>
      <c r="G187" t="inlineStr">
        <is>
          <t>YDRE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54066-2025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46233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46233</v>
      </c>
      <c r="F189" t="inlineStr">
        <is>
          <t>ÖSTERGÖTLANDS LÄN</t>
        </is>
      </c>
      <c r="G189" t="inlineStr">
        <is>
          <t>YDRE</t>
        </is>
      </c>
      <c r="H189" t="inlineStr">
        <is>
          <t>Övriga Aktiebolag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46233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46233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46233</v>
      </c>
      <c r="F192" t="inlineStr">
        <is>
          <t>ÖSTERGÖTLANDS LÄN</t>
        </is>
      </c>
      <c r="G192" t="inlineStr">
        <is>
          <t>YDRE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46233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46233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45016</v>
      </c>
      <c r="E195" s="1" t="n">
        <v>46233</v>
      </c>
      <c r="F195" t="inlineStr">
        <is>
          <t>ÖSTERGÖTLANDS LÄN</t>
        </is>
      </c>
      <c r="G195" t="inlineStr">
        <is>
          <t>YDRE</t>
        </is>
      </c>
      <c r="H195" t="inlineStr">
        <is>
          <t>Övriga Aktiebolag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46233</v>
      </c>
      <c r="F196" t="inlineStr">
        <is>
          <t>ÖSTERGÖTLANDS LÄN</t>
        </is>
      </c>
      <c r="G196" t="inlineStr">
        <is>
          <t>YDRE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46233</v>
      </c>
      <c r="F197" t="inlineStr">
        <is>
          <t>ÖSTERGÖTLANDS LÄN</t>
        </is>
      </c>
      <c r="G197" t="inlineStr">
        <is>
          <t>YDRE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46233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46233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46233</v>
      </c>
      <c r="F200" t="inlineStr">
        <is>
          <t>ÖSTERGÖTLANDS LÄN</t>
        </is>
      </c>
      <c r="G200" t="inlineStr">
        <is>
          <t>YDRE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46233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46233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45649</v>
      </c>
      <c r="E203" s="1" t="n">
        <v>46233</v>
      </c>
      <c r="F203" t="inlineStr">
        <is>
          <t>ÖSTERGÖTLANDS LÄN</t>
        </is>
      </c>
      <c r="G203" t="inlineStr">
        <is>
          <t>YDRE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46233</v>
      </c>
      <c r="F204" t="inlineStr">
        <is>
          <t>ÖSTERGÖTLANDS LÄN</t>
        </is>
      </c>
      <c r="G204" t="inlineStr">
        <is>
          <t>YDRE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46233</v>
      </c>
      <c r="F205" t="inlineStr">
        <is>
          <t>ÖSTERGÖTLANDS LÄN</t>
        </is>
      </c>
      <c r="G205" t="inlineStr">
        <is>
          <t>YDRE</t>
        </is>
      </c>
      <c r="H205" t="inlineStr">
        <is>
          <t>Övriga Aktiebolag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46233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46077</v>
      </c>
      <c r="E207" s="1" t="n">
        <v>46233</v>
      </c>
      <c r="F207" t="inlineStr">
        <is>
          <t>ÖSTERGÖTLANDS LÄN</t>
        </is>
      </c>
      <c r="G207" t="inlineStr">
        <is>
          <t>YDRE</t>
        </is>
      </c>
      <c r="H207" t="inlineStr">
        <is>
          <t>Övriga Aktiebolag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46233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46233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44816</v>
      </c>
      <c r="E210" s="1" t="n">
        <v>46233</v>
      </c>
      <c r="F210" t="inlineStr">
        <is>
          <t>ÖSTERGÖTLANDS LÄN</t>
        </is>
      </c>
      <c r="G210" t="inlineStr">
        <is>
          <t>YDRE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46233</v>
      </c>
      <c r="F211" t="inlineStr">
        <is>
          <t>ÖSTERGÖTLANDS LÄN</t>
        </is>
      </c>
      <c r="G211" t="inlineStr">
        <is>
          <t>YDRE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46233</v>
      </c>
      <c r="F212" t="inlineStr">
        <is>
          <t>ÖSTERGÖTLANDS LÄN</t>
        </is>
      </c>
      <c r="G212" t="inlineStr">
        <is>
          <t>YDRE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44562</v>
      </c>
      <c r="E213" s="1" t="n">
        <v>46233</v>
      </c>
      <c r="F213" t="inlineStr">
        <is>
          <t>ÖSTERGÖTLANDS LÄN</t>
        </is>
      </c>
      <c r="G213" t="inlineStr">
        <is>
          <t>YDRE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46233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46233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45707</v>
      </c>
      <c r="E216" s="1" t="n">
        <v>46233</v>
      </c>
      <c r="F216" t="inlineStr">
        <is>
          <t>ÖSTERGÖTLANDS LÄN</t>
        </is>
      </c>
      <c r="G216" t="inlineStr">
        <is>
          <t>YDRE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46233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46233</v>
      </c>
      <c r="F218" t="inlineStr">
        <is>
          <t>ÖSTERGÖTLANDS LÄN</t>
        </is>
      </c>
      <c r="G218" t="inlineStr">
        <is>
          <t>YDRE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46233</v>
      </c>
      <c r="F219" t="inlineStr">
        <is>
          <t>ÖSTERGÖTLANDS LÄN</t>
        </is>
      </c>
      <c r="G219" t="inlineStr">
        <is>
          <t>YDRE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46233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46233</v>
      </c>
      <c r="F221" t="inlineStr">
        <is>
          <t>ÖSTERGÖTLANDS LÄN</t>
        </is>
      </c>
      <c r="G221" t="inlineStr">
        <is>
          <t>YDRE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46097</v>
      </c>
      <c r="E222" s="1" t="n">
        <v>46233</v>
      </c>
      <c r="F222" t="inlineStr">
        <is>
          <t>ÖSTERGÖTLANDS LÄN</t>
        </is>
      </c>
      <c r="G222" t="inlineStr">
        <is>
          <t>YDRE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46233</v>
      </c>
      <c r="F223" t="inlineStr">
        <is>
          <t>ÖSTERGÖTLANDS LÄN</t>
        </is>
      </c>
      <c r="G223" t="inlineStr">
        <is>
          <t>YDRE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46233</v>
      </c>
      <c r="F224" t="inlineStr">
        <is>
          <t>ÖSTERGÖTLANDS LÄN</t>
        </is>
      </c>
      <c r="G224" t="inlineStr">
        <is>
          <t>YDRE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46233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46099</v>
      </c>
      <c r="E226" s="1" t="n">
        <v>46233</v>
      </c>
      <c r="F226" t="inlineStr">
        <is>
          <t>ÖSTERGÖTLANDS LÄN</t>
        </is>
      </c>
      <c r="G226" t="inlineStr">
        <is>
          <t>YDRE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14600-2026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46101</v>
      </c>
      <c r="E227" s="1" t="n">
        <v>46233</v>
      </c>
      <c r="F227" t="inlineStr">
        <is>
          <t>ÖSTERGÖTLANDS LÄN</t>
        </is>
      </c>
      <c r="G227" t="inlineStr">
        <is>
          <t>YDRE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46233</v>
      </c>
      <c r="F228" t="inlineStr">
        <is>
          <t>ÖSTERGÖTLANDS LÄN</t>
        </is>
      </c>
      <c r="G228" t="inlineStr">
        <is>
          <t>YDRE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59812-2022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46233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56313-2021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44480</v>
      </c>
      <c r="E230" s="1" t="n">
        <v>46233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46233</v>
      </c>
      <c r="F231" t="inlineStr">
        <is>
          <t>ÖSTERGÖTLANDS LÄN</t>
        </is>
      </c>
      <c r="G231" t="inlineStr">
        <is>
          <t>YDRE</t>
        </is>
      </c>
      <c r="H231" t="inlineStr">
        <is>
          <t>Övriga Aktiebolag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46006</v>
      </c>
      <c r="E232" s="1" t="n">
        <v>46233</v>
      </c>
      <c r="F232" t="inlineStr">
        <is>
          <t>ÖSTERGÖTLANDS LÄN</t>
        </is>
      </c>
      <c r="G232" t="inlineStr">
        <is>
          <t>YDRE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51153-2022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44868</v>
      </c>
      <c r="E233" s="1" t="n">
        <v>46233</v>
      </c>
      <c r="F233" t="inlineStr">
        <is>
          <t>ÖSTERGÖTLANDS LÄN</t>
        </is>
      </c>
      <c r="G233" t="inlineStr">
        <is>
          <t>YDRE</t>
        </is>
      </c>
      <c r="H233" t="inlineStr">
        <is>
          <t>Övriga Aktiebolag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61205-2023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45264</v>
      </c>
      <c r="E234" s="1" t="n">
        <v>46233</v>
      </c>
      <c r="F234" t="inlineStr">
        <is>
          <t>ÖSTERGÖTLANDS LÄN</t>
        </is>
      </c>
      <c r="G234" t="inlineStr">
        <is>
          <t>YDRE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46006</v>
      </c>
      <c r="E235" s="1" t="n">
        <v>46233</v>
      </c>
      <c r="F235" t="inlineStr">
        <is>
          <t>ÖSTERGÖTLANDS LÄN</t>
        </is>
      </c>
      <c r="G235" t="inlineStr">
        <is>
          <t>YDRE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46233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46233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46233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46233</v>
      </c>
      <c r="F239" t="inlineStr">
        <is>
          <t>ÖSTERGÖTLANDS LÄN</t>
        </is>
      </c>
      <c r="G239" t="inlineStr">
        <is>
          <t>YDRE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45153</v>
      </c>
      <c r="E240" s="1" t="n">
        <v>46233</v>
      </c>
      <c r="F240" t="inlineStr">
        <is>
          <t>ÖSTERGÖTLANDS LÄN</t>
        </is>
      </c>
      <c r="G240" t="inlineStr">
        <is>
          <t>YDRE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46233</v>
      </c>
      <c r="F241" t="inlineStr">
        <is>
          <t>ÖSTERGÖTLANDS LÄN</t>
        </is>
      </c>
      <c r="G241" t="inlineStr">
        <is>
          <t>YDRE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46233</v>
      </c>
      <c r="F242" t="inlineStr">
        <is>
          <t>ÖSTERGÖTLANDS LÄN</t>
        </is>
      </c>
      <c r="G242" t="inlineStr">
        <is>
          <t>YDRE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46233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46010</v>
      </c>
      <c r="E244" s="1" t="n">
        <v>46233</v>
      </c>
      <c r="F244" t="inlineStr">
        <is>
          <t>ÖSTERGÖTLANDS LÄN</t>
        </is>
      </c>
      <c r="G244" t="inlineStr">
        <is>
          <t>YDRE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46233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45737</v>
      </c>
      <c r="E246" s="1" t="n">
        <v>46233</v>
      </c>
      <c r="F246" t="inlineStr">
        <is>
          <t>ÖSTERGÖTLANDS LÄN</t>
        </is>
      </c>
      <c r="G246" t="inlineStr">
        <is>
          <t>YDRE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46106</v>
      </c>
      <c r="E247" s="1" t="n">
        <v>46233</v>
      </c>
      <c r="F247" t="inlineStr">
        <is>
          <t>ÖSTERGÖTLANDS LÄN</t>
        </is>
      </c>
      <c r="G247" t="inlineStr">
        <is>
          <t>YDRE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45580</v>
      </c>
      <c r="E248" s="1" t="n">
        <v>46233</v>
      </c>
      <c r="F248" t="inlineStr">
        <is>
          <t>ÖSTERGÖTLANDS LÄN</t>
        </is>
      </c>
      <c r="G248" t="inlineStr">
        <is>
          <t>YDRE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46233</v>
      </c>
      <c r="F249" t="inlineStr">
        <is>
          <t>ÖSTERGÖTLANDS LÄN</t>
        </is>
      </c>
      <c r="G249" t="inlineStr">
        <is>
          <t>YDRE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46233</v>
      </c>
      <c r="F250" t="inlineStr">
        <is>
          <t>ÖSTERGÖTLANDS LÄN</t>
        </is>
      </c>
      <c r="G250" t="inlineStr">
        <is>
          <t>YDRE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63538-2025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46233</v>
      </c>
      <c r="F251" t="inlineStr">
        <is>
          <t>ÖSTERGÖTLANDS LÄN</t>
        </is>
      </c>
      <c r="G251" t="inlineStr">
        <is>
          <t>YDRE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46233</v>
      </c>
      <c r="F252" t="inlineStr">
        <is>
          <t>ÖSTERGÖTLANDS LÄN</t>
        </is>
      </c>
      <c r="G252" t="inlineStr">
        <is>
          <t>YDRE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63998-2025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46021</v>
      </c>
      <c r="E253" s="1" t="n">
        <v>46233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45090</v>
      </c>
      <c r="E254" s="1" t="n">
        <v>46233</v>
      </c>
      <c r="F254" t="inlineStr">
        <is>
          <t>ÖSTERGÖTLANDS LÄN</t>
        </is>
      </c>
      <c r="G254" t="inlineStr">
        <is>
          <t>YDRE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46233</v>
      </c>
      <c r="F255" t="inlineStr">
        <is>
          <t>ÖSTERGÖTLANDS LÄN</t>
        </is>
      </c>
      <c r="G255" t="inlineStr">
        <is>
          <t>YDRE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57290-2021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44483</v>
      </c>
      <c r="E256" s="1" t="n">
        <v>46233</v>
      </c>
      <c r="F256" t="inlineStr">
        <is>
          <t>ÖSTERGÖTLANDS LÄN</t>
        </is>
      </c>
      <c r="G256" t="inlineStr">
        <is>
          <t>YDRE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46233</v>
      </c>
      <c r="F257" t="inlineStr">
        <is>
          <t>ÖSTERGÖTLANDS LÄN</t>
        </is>
      </c>
      <c r="G257" t="inlineStr">
        <is>
          <t>YDRE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46116</v>
      </c>
      <c r="E258" s="1" t="n">
        <v>46233</v>
      </c>
      <c r="F258" t="inlineStr">
        <is>
          <t>ÖSTERGÖTLANDS LÄN</t>
        </is>
      </c>
      <c r="G258" t="inlineStr">
        <is>
          <t>YDRE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44572</v>
      </c>
      <c r="E259" s="1" t="n">
        <v>46233</v>
      </c>
      <c r="F259" t="inlineStr">
        <is>
          <t>ÖSTERGÖTLANDS LÄN</t>
        </is>
      </c>
      <c r="G259" t="inlineStr">
        <is>
          <t>YDRE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44987</v>
      </c>
      <c r="E260" s="1" t="n">
        <v>46233</v>
      </c>
      <c r="F260" t="inlineStr">
        <is>
          <t>ÖSTERGÖTLANDS LÄN</t>
        </is>
      </c>
      <c r="G260" t="inlineStr">
        <is>
          <t>YDRE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46119</v>
      </c>
      <c r="E261" s="1" t="n">
        <v>46233</v>
      </c>
      <c r="F261" t="inlineStr">
        <is>
          <t>ÖSTERGÖTLANDS LÄN</t>
        </is>
      </c>
      <c r="G261" t="inlineStr">
        <is>
          <t>YDRE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46119</v>
      </c>
      <c r="E262" s="1" t="n">
        <v>46233</v>
      </c>
      <c r="F262" t="inlineStr">
        <is>
          <t>ÖSTERGÖTLANDS LÄN</t>
        </is>
      </c>
      <c r="G262" t="inlineStr">
        <is>
          <t>YDRE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46233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44831</v>
      </c>
      <c r="E264" s="1" t="n">
        <v>46233</v>
      </c>
      <c r="F264" t="inlineStr">
        <is>
          <t>ÖSTERGÖTLANDS LÄN</t>
        </is>
      </c>
      <c r="G264" t="inlineStr">
        <is>
          <t>YDRE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18181-2026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46233</v>
      </c>
      <c r="F265" t="inlineStr">
        <is>
          <t>ÖSTERGÖTLANDS LÄN</t>
        </is>
      </c>
      <c r="G265" t="inlineStr">
        <is>
          <t>YDRE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46233</v>
      </c>
      <c r="F266" t="inlineStr">
        <is>
          <t>ÖSTERGÖTLANDS LÄN</t>
        </is>
      </c>
      <c r="G266" t="inlineStr">
        <is>
          <t>YDRE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46233</v>
      </c>
      <c r="F267" t="inlineStr">
        <is>
          <t>ÖSTERGÖTLANDS LÄN</t>
        </is>
      </c>
      <c r="G267" t="inlineStr">
        <is>
          <t>YDRE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68983-2021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46233</v>
      </c>
      <c r="F268" t="inlineStr">
        <is>
          <t>ÖSTERGÖTLANDS LÄN</t>
        </is>
      </c>
      <c r="G268" t="inlineStr">
        <is>
          <t>YDRE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46233</v>
      </c>
      <c r="F269" t="inlineStr">
        <is>
          <t>ÖSTERGÖTLANDS LÄN</t>
        </is>
      </c>
      <c r="G269" t="inlineStr">
        <is>
          <t>YDRE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46233</v>
      </c>
      <c r="F270" t="inlineStr">
        <is>
          <t>ÖSTERGÖTLANDS LÄN</t>
        </is>
      </c>
      <c r="G270" t="inlineStr">
        <is>
          <t>YDRE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46233</v>
      </c>
      <c r="F271" t="inlineStr">
        <is>
          <t>ÖSTERGÖTLANDS LÄN</t>
        </is>
      </c>
      <c r="G271" t="inlineStr">
        <is>
          <t>YDRE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46233</v>
      </c>
      <c r="F272" t="inlineStr">
        <is>
          <t>ÖSTERGÖTLANDS LÄN</t>
        </is>
      </c>
      <c r="G272" t="inlineStr">
        <is>
          <t>YDRE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46233</v>
      </c>
      <c r="F273" t="inlineStr">
        <is>
          <t>ÖSTERGÖTLANDS LÄN</t>
        </is>
      </c>
      <c r="G273" t="inlineStr">
        <is>
          <t>YDRE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57590-2023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46233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46233</v>
      </c>
      <c r="F275" t="inlineStr">
        <is>
          <t>ÖSTERGÖTLANDS LÄN</t>
        </is>
      </c>
      <c r="G275" t="inlineStr">
        <is>
          <t>YDRE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46233</v>
      </c>
      <c r="F276" t="inlineStr">
        <is>
          <t>ÖSTERGÖTLANDS LÄN</t>
        </is>
      </c>
      <c r="G276" t="inlineStr">
        <is>
          <t>YDRE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45138</v>
      </c>
      <c r="E277" s="1" t="n">
        <v>46233</v>
      </c>
      <c r="F277" t="inlineStr">
        <is>
          <t>ÖSTERGÖTLANDS LÄN</t>
        </is>
      </c>
      <c r="G277" t="inlineStr">
        <is>
          <t>YDRE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45871</v>
      </c>
      <c r="E278" s="1" t="n">
        <v>46233</v>
      </c>
      <c r="F278" t="inlineStr">
        <is>
          <t>ÖSTERGÖTLANDS LÄN</t>
        </is>
      </c>
      <c r="G278" t="inlineStr">
        <is>
          <t>YDRE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46233</v>
      </c>
      <c r="F279" t="inlineStr">
        <is>
          <t>ÖSTERGÖTLANDS LÄN</t>
        </is>
      </c>
      <c r="G279" t="inlineStr">
        <is>
          <t>YDRE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62815-2021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44504</v>
      </c>
      <c r="E280" s="1" t="n">
        <v>46233</v>
      </c>
      <c r="F280" t="inlineStr">
        <is>
          <t>ÖSTERGÖTLANDS LÄN</t>
        </is>
      </c>
      <c r="G280" t="inlineStr">
        <is>
          <t>YDRE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46233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46233</v>
      </c>
      <c r="F282" t="inlineStr">
        <is>
          <t>ÖSTERGÖTLANDS LÄN</t>
        </is>
      </c>
      <c r="G282" t="inlineStr">
        <is>
          <t>YDRE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44555-2025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46233</v>
      </c>
      <c r="F283" t="inlineStr">
        <is>
          <t>ÖSTERGÖTLANDS LÄN</t>
        </is>
      </c>
      <c r="G283" t="inlineStr">
        <is>
          <t>YDRE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46233</v>
      </c>
      <c r="F284" t="inlineStr">
        <is>
          <t>ÖSTERGÖTLANDS LÄN</t>
        </is>
      </c>
      <c r="G284" t="inlineStr">
        <is>
          <t>YDRE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14184-2022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44651</v>
      </c>
      <c r="E285" s="1" t="n">
        <v>46233</v>
      </c>
      <c r="F285" t="inlineStr">
        <is>
          <t>ÖSTERGÖTLANDS LÄN</t>
        </is>
      </c>
      <c r="G285" t="inlineStr">
        <is>
          <t>YDRE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62485-2021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44503</v>
      </c>
      <c r="E286" s="1" t="n">
        <v>46233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45583</v>
      </c>
      <c r="E287" s="1" t="n">
        <v>46233</v>
      </c>
      <c r="F287" t="inlineStr">
        <is>
          <t>ÖSTERGÖTLANDS LÄN</t>
        </is>
      </c>
      <c r="G287" t="inlineStr">
        <is>
          <t>YDRE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46233</v>
      </c>
      <c r="F288" t="inlineStr">
        <is>
          <t>ÖSTERGÖTLANDS LÄN</t>
        </is>
      </c>
      <c r="G288" t="inlineStr">
        <is>
          <t>YDRE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44505-2025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46233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20540-2024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45436</v>
      </c>
      <c r="E290" s="1" t="n">
        <v>46233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46233</v>
      </c>
      <c r="F291" t="inlineStr">
        <is>
          <t>ÖSTERGÖTLANDS LÄN</t>
        </is>
      </c>
      <c r="G291" t="inlineStr">
        <is>
          <t>YDRE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46233</v>
      </c>
      <c r="F292" t="inlineStr">
        <is>
          <t>ÖSTERGÖTLANDS LÄN</t>
        </is>
      </c>
      <c r="G292" t="inlineStr">
        <is>
          <t>YDRE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28915-2023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46233</v>
      </c>
      <c r="F293" t="inlineStr">
        <is>
          <t>ÖSTERGÖTLANDS LÄN</t>
        </is>
      </c>
      <c r="G293" t="inlineStr">
        <is>
          <t>YDRE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45054</v>
      </c>
      <c r="E294" s="1" t="n">
        <v>46233</v>
      </c>
      <c r="F294" t="inlineStr">
        <is>
          <t>ÖSTERGÖTLANDS LÄN</t>
        </is>
      </c>
      <c r="G294" t="inlineStr">
        <is>
          <t>YDRE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45616</v>
      </c>
      <c r="E295" s="1" t="n">
        <v>46233</v>
      </c>
      <c r="F295" t="inlineStr">
        <is>
          <t>ÖSTERGÖTLANDS LÄN</t>
        </is>
      </c>
      <c r="G295" t="inlineStr">
        <is>
          <t>YDRE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45910</v>
      </c>
      <c r="E296" s="1" t="n">
        <v>46233</v>
      </c>
      <c r="F296" t="inlineStr">
        <is>
          <t>ÖSTERGÖTLANDS LÄN</t>
        </is>
      </c>
      <c r="G296" t="inlineStr">
        <is>
          <t>YDRE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45105</v>
      </c>
      <c r="E297" s="1" t="n">
        <v>46233</v>
      </c>
      <c r="F297" t="inlineStr">
        <is>
          <t>ÖSTERGÖTLANDS LÄN</t>
        </is>
      </c>
      <c r="G297" t="inlineStr">
        <is>
          <t>YDRE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45449-2023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45194</v>
      </c>
      <c r="E298" s="1" t="n">
        <v>46233</v>
      </c>
      <c r="F298" t="inlineStr">
        <is>
          <t>ÖSTERGÖTLANDS LÄN</t>
        </is>
      </c>
      <c r="G298" t="inlineStr">
        <is>
          <t>YDRE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46233</v>
      </c>
      <c r="F299" t="inlineStr">
        <is>
          <t>ÖSTERGÖTLANDS LÄN</t>
        </is>
      </c>
      <c r="G299" t="inlineStr">
        <is>
          <t>YDRE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14645-2022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44655</v>
      </c>
      <c r="E300" s="1" t="n">
        <v>46233</v>
      </c>
      <c r="F300" t="inlineStr">
        <is>
          <t>ÖSTERGÖTLANDS LÄN</t>
        </is>
      </c>
      <c r="G300" t="inlineStr">
        <is>
          <t>YDRE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45762</v>
      </c>
      <c r="E301" s="1" t="n">
        <v>46233</v>
      </c>
      <c r="F301" t="inlineStr">
        <is>
          <t>ÖSTERGÖTLANDS LÄN</t>
        </is>
      </c>
      <c r="G301" t="inlineStr">
        <is>
          <t>YDRE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33680-2022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44789</v>
      </c>
      <c r="E302" s="1" t="n">
        <v>46233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46233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46233</v>
      </c>
      <c r="F304" t="inlineStr">
        <is>
          <t>ÖSTERGÖTLANDS LÄN</t>
        </is>
      </c>
      <c r="G304" t="inlineStr">
        <is>
          <t>YDRE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46233</v>
      </c>
      <c r="F305" t="inlineStr">
        <is>
          <t>ÖSTERGÖTLANDS LÄN</t>
        </is>
      </c>
      <c r="G305" t="inlineStr">
        <is>
          <t>YDRE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46146</v>
      </c>
      <c r="E306" s="1" t="n">
        <v>46233</v>
      </c>
      <c r="F306" t="inlineStr">
        <is>
          <t>ÖSTERGÖTLANDS LÄN</t>
        </is>
      </c>
      <c r="G306" t="inlineStr">
        <is>
          <t>YDRE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46233</v>
      </c>
      <c r="F307" t="inlineStr">
        <is>
          <t>ÖSTERGÖTLANDS LÄN</t>
        </is>
      </c>
      <c r="G307" t="inlineStr">
        <is>
          <t>YDRE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44576</v>
      </c>
      <c r="E308" s="1" t="n">
        <v>46233</v>
      </c>
      <c r="F308" t="inlineStr">
        <is>
          <t>ÖSTERGÖTLANDS LÄN</t>
        </is>
      </c>
      <c r="G308" t="inlineStr">
        <is>
          <t>YDRE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46233</v>
      </c>
      <c r="F309" t="inlineStr">
        <is>
          <t>ÖSTERGÖTLANDS LÄN</t>
        </is>
      </c>
      <c r="G309" t="inlineStr">
        <is>
          <t>YDRE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46233</v>
      </c>
      <c r="F310" t="inlineStr">
        <is>
          <t>ÖSTERGÖTLANDS LÄN</t>
        </is>
      </c>
      <c r="G310" t="inlineStr">
        <is>
          <t>YDRE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45434</v>
      </c>
      <c r="E311" s="1" t="n">
        <v>46233</v>
      </c>
      <c r="F311" t="inlineStr">
        <is>
          <t>ÖSTERGÖTLANDS LÄN</t>
        </is>
      </c>
      <c r="G311" t="inlineStr">
        <is>
          <t>YDRE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27874-2026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46191</v>
      </c>
      <c r="E312" s="1" t="n">
        <v>46233</v>
      </c>
      <c r="F312" t="inlineStr">
        <is>
          <t>ÖSTERGÖTLANDS LÄN</t>
        </is>
      </c>
      <c r="G312" t="inlineStr">
        <is>
          <t>YDRE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46233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24637-2024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46233</v>
      </c>
      <c r="F314" t="inlineStr">
        <is>
          <t>ÖSTERGÖTLANDS LÄN</t>
        </is>
      </c>
      <c r="G314" t="inlineStr">
        <is>
          <t>YDRE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44743</v>
      </c>
      <c r="E315" s="1" t="n">
        <v>46233</v>
      </c>
      <c r="F315" t="inlineStr">
        <is>
          <t>ÖSTERGÖTLANDS LÄN</t>
        </is>
      </c>
      <c r="G315" t="inlineStr">
        <is>
          <t>YDRE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22312-2026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46154</v>
      </c>
      <c r="E316" s="1" t="n">
        <v>46233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46233</v>
      </c>
      <c r="F317" t="inlineStr">
        <is>
          <t>ÖSTERGÖTLANDS LÄN</t>
        </is>
      </c>
      <c r="G317" t="inlineStr">
        <is>
          <t>YDRE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46233</v>
      </c>
      <c r="F318" t="inlineStr">
        <is>
          <t>ÖSTERGÖTLANDS LÄN</t>
        </is>
      </c>
      <c r="G318" t="inlineStr">
        <is>
          <t>YDRE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28991-2022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46233</v>
      </c>
      <c r="F319" t="inlineStr">
        <is>
          <t>ÖSTERGÖTLANDS LÄN</t>
        </is>
      </c>
      <c r="G319" t="inlineStr">
        <is>
          <t>YDRE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17309-2024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45414</v>
      </c>
      <c r="E320" s="1" t="n">
        <v>46233</v>
      </c>
      <c r="F320" t="inlineStr">
        <is>
          <t>ÖSTERGÖTLANDS LÄN</t>
        </is>
      </c>
      <c r="G320" t="inlineStr">
        <is>
          <t>YDRE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46233</v>
      </c>
      <c r="F321" t="inlineStr">
        <is>
          <t>ÖSTERGÖTLANDS LÄN</t>
        </is>
      </c>
      <c r="G321" t="inlineStr">
        <is>
          <t>YDRE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63830-2023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45278</v>
      </c>
      <c r="E322" s="1" t="n">
        <v>46233</v>
      </c>
      <c r="F322" t="inlineStr">
        <is>
          <t>ÖSTERGÖTLANDS LÄN</t>
        </is>
      </c>
      <c r="G322" t="inlineStr">
        <is>
          <t>YDRE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46233</v>
      </c>
      <c r="F323" t="inlineStr">
        <is>
          <t>ÖSTERGÖTLANDS LÄN</t>
        </is>
      </c>
      <c r="G323" t="inlineStr">
        <is>
          <t>YDRE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46202</v>
      </c>
      <c r="E324" s="1" t="n">
        <v>46233</v>
      </c>
      <c r="F324" t="inlineStr">
        <is>
          <t>ÖSTERGÖTLANDS LÄN</t>
        </is>
      </c>
      <c r="G324" t="inlineStr">
        <is>
          <t>YDRE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46233</v>
      </c>
      <c r="F325" t="inlineStr">
        <is>
          <t>ÖSTERGÖTLANDS LÄN</t>
        </is>
      </c>
      <c r="G325" t="inlineStr">
        <is>
          <t>YDRE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46202</v>
      </c>
      <c r="E326" s="1" t="n">
        <v>46233</v>
      </c>
      <c r="F326" t="inlineStr">
        <is>
          <t>ÖSTERGÖTLANDS LÄN</t>
        </is>
      </c>
      <c r="G326" t="inlineStr">
        <is>
          <t>YDRE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21982-2022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46233</v>
      </c>
      <c r="F327" t="inlineStr">
        <is>
          <t>ÖSTERGÖTLANDS LÄN</t>
        </is>
      </c>
      <c r="G327" t="inlineStr">
        <is>
          <t>YDRE</t>
        </is>
      </c>
      <c r="H327" t="inlineStr">
        <is>
          <t>Övriga Aktiebolag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44670</v>
      </c>
      <c r="E328" s="1" t="n">
        <v>46233</v>
      </c>
      <c r="F328" t="inlineStr">
        <is>
          <t>ÖSTERGÖTLANDS LÄN</t>
        </is>
      </c>
      <c r="G328" t="inlineStr">
        <is>
          <t>YDRE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46233</v>
      </c>
      <c r="F329" t="inlineStr">
        <is>
          <t>ÖSTERGÖTLANDS LÄN</t>
        </is>
      </c>
      <c r="G329" t="inlineStr">
        <is>
          <t>YDRE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46233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45310</v>
      </c>
      <c r="E331" s="1" t="n">
        <v>46233</v>
      </c>
      <c r="F331" t="inlineStr">
        <is>
          <t>ÖSTERGÖTLANDS LÄN</t>
        </is>
      </c>
      <c r="G331" t="inlineStr">
        <is>
          <t>YDRE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46233</v>
      </c>
      <c r="F332" t="inlineStr">
        <is>
          <t>ÖSTERGÖTLANDS LÄN</t>
        </is>
      </c>
      <c r="G332" t="inlineStr">
        <is>
          <t>YDRE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45261</v>
      </c>
      <c r="E333" s="1" t="n">
        <v>46233</v>
      </c>
      <c r="F333" t="inlineStr">
        <is>
          <t>ÖSTERGÖTLANDS LÄN</t>
        </is>
      </c>
      <c r="G333" t="inlineStr">
        <is>
          <t>YDRE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45261</v>
      </c>
      <c r="E334" s="1" t="n">
        <v>46233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44939</v>
      </c>
      <c r="E335" s="1" t="n">
        <v>46233</v>
      </c>
      <c r="F335" t="inlineStr">
        <is>
          <t>ÖSTERGÖTLANDS LÄN</t>
        </is>
      </c>
      <c r="G335" t="inlineStr">
        <is>
          <t>YDRE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46233</v>
      </c>
      <c r="F336" t="inlineStr">
        <is>
          <t>ÖSTERGÖTLANDS LÄN</t>
        </is>
      </c>
      <c r="G336" t="inlineStr">
        <is>
          <t>YDRE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45447-2023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45194</v>
      </c>
      <c r="E337" s="1" t="n">
        <v>46233</v>
      </c>
      <c r="F337" t="inlineStr">
        <is>
          <t>ÖSTERGÖTLANDS LÄN</t>
        </is>
      </c>
      <c r="G337" t="inlineStr">
        <is>
          <t>YDRE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71524-2021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44538</v>
      </c>
      <c r="E338" s="1" t="n">
        <v>46233</v>
      </c>
      <c r="F338" t="inlineStr">
        <is>
          <t>ÖSTERGÖTLANDS LÄN</t>
        </is>
      </c>
      <c r="G338" t="inlineStr">
        <is>
          <t>YDRE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10402-2023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44987</v>
      </c>
      <c r="E339" s="1" t="n">
        <v>46233</v>
      </c>
      <c r="F339" t="inlineStr">
        <is>
          <t>ÖSTERGÖTLANDS LÄN</t>
        </is>
      </c>
      <c r="G339" t="inlineStr">
        <is>
          <t>YDRE</t>
        </is>
      </c>
      <c r="I339" t="n">
        <v>10.2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58414-2024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45634</v>
      </c>
      <c r="E340" s="1" t="n">
        <v>46233</v>
      </c>
      <c r="F340" t="inlineStr">
        <is>
          <t>ÖSTERGÖTLANDS LÄN</t>
        </is>
      </c>
      <c r="G340" t="inlineStr">
        <is>
          <t>YDRE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45671</v>
      </c>
      <c r="E341" s="1" t="n">
        <v>46233</v>
      </c>
      <c r="F341" t="inlineStr">
        <is>
          <t>ÖSTERGÖTLANDS LÄN</t>
        </is>
      </c>
      <c r="G341" t="inlineStr">
        <is>
          <t>YDRE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46233</v>
      </c>
      <c r="F342" t="inlineStr">
        <is>
          <t>ÖSTERGÖTLANDS LÄN</t>
        </is>
      </c>
      <c r="G342" t="inlineStr">
        <is>
          <t>YDRE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16205-2024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45406</v>
      </c>
      <c r="E343" s="1" t="n">
        <v>46233</v>
      </c>
      <c r="F343" t="inlineStr">
        <is>
          <t>ÖSTERGÖTLANDS LÄN</t>
        </is>
      </c>
      <c r="G343" t="inlineStr">
        <is>
          <t>YDRE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44965</v>
      </c>
      <c r="E344" s="1" t="n">
        <v>46233</v>
      </c>
      <c r="F344" t="inlineStr">
        <is>
          <t>ÖSTERGÖTLANDS LÄN</t>
        </is>
      </c>
      <c r="G344" t="inlineStr">
        <is>
          <t>YDRE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59805-2022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44908</v>
      </c>
      <c r="E345" s="1" t="n">
        <v>46233</v>
      </c>
      <c r="F345" t="inlineStr">
        <is>
          <t>ÖSTERGÖTLANDS LÄN</t>
        </is>
      </c>
      <c r="G345" t="inlineStr">
        <is>
          <t>YDRE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46233</v>
      </c>
      <c r="F346" t="inlineStr">
        <is>
          <t>ÖSTERGÖTLANDS LÄN</t>
        </is>
      </c>
      <c r="G346" t="inlineStr">
        <is>
          <t>YDRE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45335</v>
      </c>
      <c r="E347" s="1" t="n">
        <v>46233</v>
      </c>
      <c r="F347" t="inlineStr">
        <is>
          <t>ÖSTERGÖTLANDS LÄN</t>
        </is>
      </c>
      <c r="G347" t="inlineStr">
        <is>
          <t>YDRE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60244-2023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46233</v>
      </c>
      <c r="F348" t="inlineStr">
        <is>
          <t>ÖSTERGÖTLANDS LÄN</t>
        </is>
      </c>
      <c r="G348" t="inlineStr">
        <is>
          <t>YDRE</t>
        </is>
      </c>
      <c r="I348" t="n">
        <v>17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2745-2026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46038</v>
      </c>
      <c r="E349" s="1" t="n">
        <v>46233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44592</v>
      </c>
      <c r="E350" s="1" t="n">
        <v>46233</v>
      </c>
      <c r="F350" t="inlineStr">
        <is>
          <t>ÖSTERGÖTLANDS LÄN</t>
        </is>
      </c>
      <c r="G350" t="inlineStr">
        <is>
          <t>YDRE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44953</v>
      </c>
      <c r="E351" s="1" t="n">
        <v>46233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46233</v>
      </c>
      <c r="F352" t="inlineStr">
        <is>
          <t>ÖSTERGÖTLANDS LÄN</t>
        </is>
      </c>
      <c r="G352" t="inlineStr">
        <is>
          <t>YDRE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44741-2021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44438</v>
      </c>
      <c r="E353" s="1" t="n">
        <v>46233</v>
      </c>
      <c r="F353" t="inlineStr">
        <is>
          <t>ÖSTERGÖTLANDS LÄN</t>
        </is>
      </c>
      <c r="G353" t="inlineStr">
        <is>
          <t>YDRE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45348</v>
      </c>
      <c r="E354" s="1" t="n">
        <v>46233</v>
      </c>
      <c r="F354" t="inlineStr">
        <is>
          <t>ÖSTERGÖTLANDS LÄN</t>
        </is>
      </c>
      <c r="G354" t="inlineStr">
        <is>
          <t>YDRE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6328-2022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44600</v>
      </c>
      <c r="E355" s="1" t="n">
        <v>46233</v>
      </c>
      <c r="F355" t="inlineStr">
        <is>
          <t>ÖSTERGÖTLANDS LÄN</t>
        </is>
      </c>
      <c r="G355" t="inlineStr">
        <is>
          <t>YDRE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46233</v>
      </c>
      <c r="F356" t="inlineStr">
        <is>
          <t>ÖSTERGÖTLANDS LÄN</t>
        </is>
      </c>
      <c r="G356" t="inlineStr">
        <is>
          <t>YDRE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46233</v>
      </c>
      <c r="F357" t="inlineStr">
        <is>
          <t>ÖSTERGÖTLANDS LÄN</t>
        </is>
      </c>
      <c r="G357" t="inlineStr">
        <is>
          <t>YDRE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24780-2026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46171</v>
      </c>
      <c r="E358" s="1" t="n">
        <v>46233</v>
      </c>
      <c r="F358" t="inlineStr">
        <is>
          <t>ÖSTERGÖTLANDS LÄN</t>
        </is>
      </c>
      <c r="G358" t="inlineStr">
        <is>
          <t>YDRE</t>
        </is>
      </c>
      <c r="H358" t="inlineStr">
        <is>
          <t>Övriga Aktiebolag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46233</v>
      </c>
      <c r="F359" t="inlineStr">
        <is>
          <t>ÖSTERGÖTLANDS LÄN</t>
        </is>
      </c>
      <c r="G359" t="inlineStr">
        <is>
          <t>YDRE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56323-2021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44480</v>
      </c>
      <c r="E360" s="1" t="n">
        <v>46233</v>
      </c>
      <c r="F360" t="inlineStr">
        <is>
          <t>ÖSTERGÖTLANDS LÄN</t>
        </is>
      </c>
      <c r="G360" t="inlineStr">
        <is>
          <t>YDRE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  <c r="Z360">
        <f>HYPERLINK("https://klasma.github.io/Logging_0512/knärot/A 56323-2021 karta knärot.png", "A 56323-2021")</f>
        <v/>
      </c>
      <c r="AA360">
        <f>HYPERLINK("https://klasma.github.io/Logging_0512/klagomål/A 56323-2021 FSC-klagomål.docx", "A 56323-2021")</f>
        <v/>
      </c>
      <c r="AB360">
        <f>HYPERLINK("https://klasma.github.io/Logging_0512/klagomålsmail/A 56323-2021 FSC-klagomål mail.docx", "A 56323-2021")</f>
        <v/>
      </c>
      <c r="AC360">
        <f>HYPERLINK("https://klasma.github.io/Logging_0512/tillsyn/A 56323-2021 tillsynsbegäran.docx", "A 56323-2021")</f>
        <v/>
      </c>
      <c r="AD360">
        <f>HYPERLINK("https://klasma.github.io/Logging_0512/tillsynsmail/A 56323-2021 tillsynsbegäran mail.docx", "A 56323-2021")</f>
        <v/>
      </c>
    </row>
    <row r="361" ht="15" customHeight="1">
      <c r="A361" t="inlineStr">
        <is>
          <t>A 61636-2021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46233</v>
      </c>
      <c r="F361" t="inlineStr">
        <is>
          <t>ÖSTERGÖTLANDS LÄN</t>
        </is>
      </c>
      <c r="G361" t="inlineStr">
        <is>
          <t>YDRE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70448-2021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44536</v>
      </c>
      <c r="E362" s="1" t="n">
        <v>46233</v>
      </c>
      <c r="F362" t="inlineStr">
        <is>
          <t>ÖSTERGÖTLANDS LÄN</t>
        </is>
      </c>
      <c r="G362" t="inlineStr">
        <is>
          <t>YDRE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46233</v>
      </c>
      <c r="F363" t="inlineStr">
        <is>
          <t>ÖSTERGÖTLANDS LÄN</t>
        </is>
      </c>
      <c r="G363" t="inlineStr">
        <is>
          <t>YDRE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46233</v>
      </c>
      <c r="F364" t="inlineStr">
        <is>
          <t>ÖSTERGÖTLANDS LÄN</t>
        </is>
      </c>
      <c r="G364" t="inlineStr">
        <is>
          <t>YDRE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46233</v>
      </c>
      <c r="F365" t="inlineStr">
        <is>
          <t>ÖSTERGÖTLANDS LÄN</t>
        </is>
      </c>
      <c r="G365" t="inlineStr">
        <is>
          <t>YDRE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46233</v>
      </c>
      <c r="F366" t="inlineStr">
        <is>
          <t>ÖSTERGÖTLANDS LÄN</t>
        </is>
      </c>
      <c r="G366" t="inlineStr">
        <is>
          <t>YDRE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45145</v>
      </c>
      <c r="E367" s="1" t="n">
        <v>46233</v>
      </c>
      <c r="F367" t="inlineStr">
        <is>
          <t>ÖSTERGÖTLANDS LÄN</t>
        </is>
      </c>
      <c r="G367" t="inlineStr">
        <is>
          <t>YDRE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45077</v>
      </c>
      <c r="E368" s="1" t="n">
        <v>46233</v>
      </c>
      <c r="F368" t="inlineStr">
        <is>
          <t>ÖSTERGÖTLANDS LÄN</t>
        </is>
      </c>
      <c r="G368" t="inlineStr">
        <is>
          <t>YDRE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46183</v>
      </c>
      <c r="E369" s="1" t="n">
        <v>46233</v>
      </c>
      <c r="F369" t="inlineStr">
        <is>
          <t>ÖSTERGÖTLANDS LÄN</t>
        </is>
      </c>
      <c r="G369" t="inlineStr">
        <is>
          <t>YDRE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45665</v>
      </c>
      <c r="E370" s="1" t="n">
        <v>46233</v>
      </c>
      <c r="F370" t="inlineStr">
        <is>
          <t>ÖSTERGÖTLANDS LÄN</t>
        </is>
      </c>
      <c r="G370" t="inlineStr">
        <is>
          <t>YDRE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45365</v>
      </c>
      <c r="E371" s="1" t="n">
        <v>46233</v>
      </c>
      <c r="F371" t="inlineStr">
        <is>
          <t>ÖSTERGÖTLANDS LÄN</t>
        </is>
      </c>
      <c r="G371" t="inlineStr">
        <is>
          <t>YDRE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46233</v>
      </c>
      <c r="F372" t="inlineStr">
        <is>
          <t>ÖSTERGÖTLANDS LÄN</t>
        </is>
      </c>
      <c r="G372" t="inlineStr">
        <is>
          <t>YDRE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49441-2024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45595</v>
      </c>
      <c r="E373" s="1" t="n">
        <v>46233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45698</v>
      </c>
      <c r="E374" s="1" t="n">
        <v>46233</v>
      </c>
      <c r="F374" t="inlineStr">
        <is>
          <t>ÖSTERGÖTLANDS LÄN</t>
        </is>
      </c>
      <c r="G374" t="inlineStr">
        <is>
          <t>YDRE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46233</v>
      </c>
      <c r="F375" t="inlineStr">
        <is>
          <t>ÖSTERGÖTLANDS LÄN</t>
        </is>
      </c>
      <c r="G375" t="inlineStr">
        <is>
          <t>YDRE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56606-2021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44480</v>
      </c>
      <c r="E376" s="1" t="n">
        <v>46233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46233</v>
      </c>
      <c r="F377" t="inlineStr">
        <is>
          <t>ÖSTERGÖTLANDS LÄN</t>
        </is>
      </c>
      <c r="G377" t="inlineStr">
        <is>
          <t>YDRE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27700-2026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46190</v>
      </c>
      <c r="E378" s="1" t="n">
        <v>46233</v>
      </c>
      <c r="F378" t="inlineStr">
        <is>
          <t>ÖSTERGÖTLANDS LÄN</t>
        </is>
      </c>
      <c r="G378" t="inlineStr">
        <is>
          <t>YDRE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49698-2024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46233</v>
      </c>
      <c r="F379" t="inlineStr">
        <is>
          <t>ÖSTERGÖTLANDS LÄN</t>
        </is>
      </c>
      <c r="G379" t="inlineStr">
        <is>
          <t>YDRE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46233</v>
      </c>
      <c r="F380" t="inlineStr">
        <is>
          <t>ÖSTERGÖTLANDS LÄN</t>
        </is>
      </c>
      <c r="G380" t="inlineStr">
        <is>
          <t>YDRE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46233</v>
      </c>
      <c r="F381" t="inlineStr">
        <is>
          <t>ÖSTERGÖTLANDS LÄN</t>
        </is>
      </c>
      <c r="G381" t="inlineStr">
        <is>
          <t>YDRE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46233</v>
      </c>
      <c r="F382" t="inlineStr">
        <is>
          <t>ÖSTERGÖTLANDS LÄN</t>
        </is>
      </c>
      <c r="G382" t="inlineStr">
        <is>
          <t>YDRE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46233</v>
      </c>
      <c r="F383" t="inlineStr">
        <is>
          <t>ÖSTERGÖTLANDS LÄN</t>
        </is>
      </c>
      <c r="G383" t="inlineStr">
        <is>
          <t>YDRE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46233</v>
      </c>
      <c r="F384" t="inlineStr">
        <is>
          <t>ÖSTERGÖTLANDS LÄN</t>
        </is>
      </c>
      <c r="G384" t="inlineStr">
        <is>
          <t>YDRE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11902-2022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44635</v>
      </c>
      <c r="E385" s="1" t="n">
        <v>46233</v>
      </c>
      <c r="F385" t="inlineStr">
        <is>
          <t>ÖSTERGÖTLANDS LÄN</t>
        </is>
      </c>
      <c r="G385" t="inlineStr">
        <is>
          <t>YDRE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46233</v>
      </c>
      <c r="F386" t="inlineStr">
        <is>
          <t>ÖSTERGÖTLANDS LÄN</t>
        </is>
      </c>
      <c r="G386" t="inlineStr">
        <is>
          <t>YDRE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46233</v>
      </c>
      <c r="F387" t="inlineStr">
        <is>
          <t>ÖSTERGÖTLANDS LÄN</t>
        </is>
      </c>
      <c r="G387" t="inlineStr">
        <is>
          <t>YDRE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46233</v>
      </c>
      <c r="F388" t="inlineStr">
        <is>
          <t>ÖSTERGÖTLANDS LÄN</t>
        </is>
      </c>
      <c r="G388" t="inlineStr">
        <is>
          <t>YDRE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46233</v>
      </c>
      <c r="F389" t="inlineStr">
        <is>
          <t>ÖSTERGÖTLANDS LÄN</t>
        </is>
      </c>
      <c r="G389" t="inlineStr">
        <is>
          <t>YDRE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46233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45597</v>
      </c>
      <c r="E391" s="1" t="n">
        <v>46233</v>
      </c>
      <c r="F391" t="inlineStr">
        <is>
          <t>ÖSTERGÖTLANDS LÄN</t>
        </is>
      </c>
      <c r="G391" t="inlineStr">
        <is>
          <t>YDRE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46233</v>
      </c>
      <c r="F392" t="inlineStr">
        <is>
          <t>ÖSTERGÖTLANDS LÄN</t>
        </is>
      </c>
      <c r="G392" t="inlineStr">
        <is>
          <t>YDRE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46233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46233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46233</v>
      </c>
      <c r="F395" t="inlineStr">
        <is>
          <t>ÖSTERGÖTLANDS LÄN</t>
        </is>
      </c>
      <c r="G395" t="inlineStr">
        <is>
          <t>YDRE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8073-2025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46233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46233</v>
      </c>
      <c r="F397" t="inlineStr">
        <is>
          <t>ÖSTERGÖTLANDS LÄN</t>
        </is>
      </c>
      <c r="G397" t="inlineStr">
        <is>
          <t>YDRE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45638</v>
      </c>
      <c r="E398" s="1" t="n">
        <v>46233</v>
      </c>
      <c r="F398" t="inlineStr">
        <is>
          <t>ÖSTERGÖTLANDS LÄN</t>
        </is>
      </c>
      <c r="G398" t="inlineStr">
        <is>
          <t>YDRE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45414</v>
      </c>
      <c r="E399" s="1" t="n">
        <v>46233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46233</v>
      </c>
      <c r="F400" t="inlineStr">
        <is>
          <t>ÖSTERGÖTLANDS LÄN</t>
        </is>
      </c>
      <c r="G400" t="inlineStr">
        <is>
          <t>YDRE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46233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46233</v>
      </c>
      <c r="F402" t="inlineStr">
        <is>
          <t>ÖSTERGÖTLANDS LÄN</t>
        </is>
      </c>
      <c r="G402" t="inlineStr">
        <is>
          <t>YDRE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45492</v>
      </c>
      <c r="E403" s="1" t="n">
        <v>46233</v>
      </c>
      <c r="F403" t="inlineStr">
        <is>
          <t>ÖSTERGÖTLANDS LÄN</t>
        </is>
      </c>
      <c r="G403" t="inlineStr">
        <is>
          <t>YDRE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45666</v>
      </c>
      <c r="E404" s="1" t="n">
        <v>46233</v>
      </c>
      <c r="F404" t="inlineStr">
        <is>
          <t>ÖSTERGÖTLANDS LÄN</t>
        </is>
      </c>
      <c r="G404" t="inlineStr">
        <is>
          <t>YDRE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46233</v>
      </c>
      <c r="F405" t="inlineStr">
        <is>
          <t>ÖSTERGÖTLANDS LÄN</t>
        </is>
      </c>
      <c r="G405" t="inlineStr">
        <is>
          <t>YDRE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46233</v>
      </c>
      <c r="F406" t="inlineStr">
        <is>
          <t>ÖSTERGÖTLANDS LÄN</t>
        </is>
      </c>
      <c r="G406" t="inlineStr">
        <is>
          <t>YDRE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46233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46233</v>
      </c>
      <c r="F408" t="inlineStr">
        <is>
          <t>ÖSTERGÖTLANDS LÄN</t>
        </is>
      </c>
      <c r="G408" t="inlineStr">
        <is>
          <t>YDRE</t>
        </is>
      </c>
      <c r="H408" t="inlineStr">
        <is>
          <t>Övriga Aktiebolag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46233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46233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46233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46233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46233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46233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46233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46233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46233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46233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46233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2026-07-30T01:48:57Z</dcterms:created>
  <dcterms:modified xmlns:dcterms="http://purl.org/dc/terms/" xmlns:xsi="http://www.w3.org/2001/XMLSchema-instance" xsi:type="dcterms:W3CDTF">2026-07-30T01:48:57Z</dcterms:modified>
</cp:coreProperties>
</file>