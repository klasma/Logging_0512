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46262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46262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46262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46262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46262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46262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46262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55870-2025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46262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4.4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Västlig njurlav
Grynig filtlav</t>
        </is>
      </c>
      <c r="W13">
        <f>HYPERLINK("https://klasma.github.io/Logging_0512/artfynd/A 55870-2025 artfynd.xlsx", "A 55870-2025")</f>
        <v/>
      </c>
      <c r="X13">
        <f>HYPERLINK("https://klasma.github.io/Logging_0512/kartor/A 55870-2025 karta.png", "A 55870-2025")</f>
        <v/>
      </c>
      <c r="Y13">
        <f>HYPERLINK("https://klasma.github.io/Logging_0512/kartor_geotiff/A 55870-2025 georefererad karta.tif", "A 55870-2025")</f>
        <v/>
      </c>
      <c r="AA13">
        <f>HYPERLINK("https://klasma.github.io/Logging_0512/klagomål/A 55870-2025 FSC-klagomål.docx", "A 55870-2025")</f>
        <v/>
      </c>
      <c r="AB13">
        <f>HYPERLINK("https://klasma.github.io/Logging_0512/klagomålsmail/A 55870-2025 FSC-klagomål mail.docx", "A 55870-2025")</f>
        <v/>
      </c>
      <c r="AC13">
        <f>HYPERLINK("https://klasma.github.io/Logging_0512/tillsyn/A 55870-2025 tillsynsbegäran.docx", "A 55870-2025")</f>
        <v/>
      </c>
      <c r="AD13">
        <f>HYPERLINK("https://klasma.github.io/Logging_0512/tillsynsmail/A 55870-2025 tillsynsbegäran mail.docx", "A 55870-2025")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46262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33676-2022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46262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1.8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Svinrot
Mattlummer</t>
        </is>
      </c>
      <c r="W15">
        <f>HYPERLINK("https://klasma.github.io/Logging_0512/artfynd/A 33676-2022 artfynd.xlsx", "A 33676-2022")</f>
        <v/>
      </c>
      <c r="X15">
        <f>HYPERLINK("https://klasma.github.io/Logging_0512/kartor/A 33676-2022 karta.png", "A 33676-2022")</f>
        <v/>
      </c>
      <c r="Y15">
        <f>HYPERLINK("https://klasma.github.io/Logging_0512/kartor_geotiff/A 33676-2022 georefererad karta.tif", "A 33676-2022")</f>
        <v/>
      </c>
      <c r="AA15">
        <f>HYPERLINK("https://klasma.github.io/Logging_0512/klagomål/A 33676-2022 FSC-klagomål.docx", "A 33676-2022")</f>
        <v/>
      </c>
      <c r="AB15">
        <f>HYPERLINK("https://klasma.github.io/Logging_0512/klagomålsmail/A 33676-2022 FSC-klagomål mail.docx", "A 33676-2022")</f>
        <v/>
      </c>
      <c r="AC15">
        <f>HYPERLINK("https://klasma.github.io/Logging_0512/tillsyn/A 33676-2022 tillsynsbegäran.docx", "A 33676-2022")</f>
        <v/>
      </c>
      <c r="AD15">
        <f>HYPERLINK("https://klasma.github.io/Logging_0512/tillsynsmail/A 33676-2022 tillsynsbegäran mail.docx", "A 33676-2022")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46262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46262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46262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46262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46262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46262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46262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46262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46262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46262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46262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54520-2025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45965</v>
      </c>
      <c r="E27" s="1" t="n">
        <v>46262</v>
      </c>
      <c r="F27" t="inlineStr">
        <is>
          <t>ÖSTERGÖTLANDS LÄN</t>
        </is>
      </c>
      <c r="G27" t="inlineStr">
        <is>
          <t>YDRE</t>
        </is>
      </c>
      <c r="I27" t="n">
        <v>10.9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HYPERLINK("https://klasma.github.io/Logging_0512/artfynd/A 54520-2025 artfynd.xlsx", "A 54520-2025")</f>
        <v/>
      </c>
      <c r="X27">
        <f>HYPERLINK("https://klasma.github.io/Logging_0512/kartor/A 54520-2025 karta.png", "A 54520-2025")</f>
        <v/>
      </c>
      <c r="Y27">
        <f>HYPERLINK("https://klasma.github.io/Logging_0512/kartor_geotiff/A 54520-2025 georefererad karta.tif", "A 54520-2025")</f>
        <v/>
      </c>
      <c r="AA27">
        <f>HYPERLINK("https://klasma.github.io/Logging_0512/klagomål/A 54520-2025 FSC-klagomål.docx", "A 54520-2025")</f>
        <v/>
      </c>
      <c r="AB27">
        <f>HYPERLINK("https://klasma.github.io/Logging_0512/klagomålsmail/A 54520-2025 FSC-klagomål mail.docx", "A 54520-2025")</f>
        <v/>
      </c>
      <c r="AC27">
        <f>HYPERLINK("https://klasma.github.io/Logging_0512/tillsyn/A 54520-2025 tillsynsbegäran.docx", "A 54520-2025")</f>
        <v/>
      </c>
      <c r="AD27">
        <f>HYPERLINK("https://klasma.github.io/Logging_0512/tillsynsmail/A 54520-2025 tillsynsbegäran mail.docx", "A 54520-2025")</f>
        <v/>
      </c>
      <c r="AE27">
        <f>HYPERLINK("https://klasma.github.io/Logging_0512/fåglar/A 54520-2025 prioriterade fågelarter.docx", "A 54520-2025")</f>
        <v/>
      </c>
    </row>
    <row r="28" ht="15" customHeight="1">
      <c r="A28" t="inlineStr">
        <is>
          <t>A 54075-2025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45964</v>
      </c>
      <c r="E28" s="1" t="n">
        <v>46262</v>
      </c>
      <c r="F28" t="inlineStr">
        <is>
          <t>ÖSTERGÖTLANDS LÄN</t>
        </is>
      </c>
      <c r="G28" t="inlineStr">
        <is>
          <t>YDRE</t>
        </is>
      </c>
      <c r="H28" t="inlineStr">
        <is>
          <t>Sveaskog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HYPERLINK("https://klasma.github.io/Logging_0512/artfynd/A 54075-2025 artfynd.xlsx", "A 54075-2025")</f>
        <v/>
      </c>
      <c r="X28">
        <f>HYPERLINK("https://klasma.github.io/Logging_0512/kartor/A 54075-2025 karta.png", "A 54075-2025")</f>
        <v/>
      </c>
      <c r="Y28">
        <f>HYPERLINK("https://klasma.github.io/Logging_0512/kartor_geotiff/A 54075-2025 georefererad karta.tif", "A 54075-2025")</f>
        <v/>
      </c>
      <c r="AA28">
        <f>HYPERLINK("https://klasma.github.io/Logging_0512/klagomål/A 54075-2025 FSC-klagomål.docx", "A 54075-2025")</f>
        <v/>
      </c>
      <c r="AB28">
        <f>HYPERLINK("https://klasma.github.io/Logging_0512/klagomålsmail/A 54075-2025 FSC-klagomål mail.docx", "A 54075-2025")</f>
        <v/>
      </c>
      <c r="AC28">
        <f>HYPERLINK("https://klasma.github.io/Logging_0512/tillsyn/A 54075-2025 tillsynsbegäran.docx", "A 54075-2025")</f>
        <v/>
      </c>
      <c r="AD28">
        <f>HYPERLINK("https://klasma.github.io/Logging_0512/tillsynsmail/A 54075-2025 tillsynsbegäran mail.docx", "A 54075-2025")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46262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46262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4248-2026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46262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HYPERLINK("https://klasma.github.io/Logging_0512/artfynd/A 4248-2026 artfynd.xlsx", "A 4248-2026")</f>
        <v/>
      </c>
      <c r="X31">
        <f>HYPERLINK("https://klasma.github.io/Logging_0512/kartor/A 4248-2026 karta.png", "A 4248-2026")</f>
        <v/>
      </c>
      <c r="Y31">
        <f>HYPERLINK("https://klasma.github.io/Logging_0512/kartor_geotiff/A 4248-2026 georefererad karta.tif", "A 4248-2026")</f>
        <v/>
      </c>
      <c r="AA31">
        <f>HYPERLINK("https://klasma.github.io/Logging_0512/klagomål/A 4248-2026 FSC-klagomål.docx", "A 4248-2026")</f>
        <v/>
      </c>
      <c r="AB31">
        <f>HYPERLINK("https://klasma.github.io/Logging_0512/klagomålsmail/A 4248-2026 FSC-klagomål mail.docx", "A 4248-2026")</f>
        <v/>
      </c>
      <c r="AC31">
        <f>HYPERLINK("https://klasma.github.io/Logging_0512/tillsyn/A 4248-2026 tillsynsbegäran.docx", "A 4248-2026")</f>
        <v/>
      </c>
      <c r="AD31">
        <f>HYPERLINK("https://klasma.github.io/Logging_0512/tillsynsmail/A 4248-2026 tillsynsbegäran mail.docx", "A 4248-2026")</f>
        <v/>
      </c>
      <c r="AE31">
        <f>HYPERLINK("https://klasma.github.io/Logging_0512/fåglar/A 4248-2026 prioriterade fågelarter.docx", "A 4248-2026")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46262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9051-2026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46262</v>
      </c>
      <c r="F33" t="inlineStr">
        <is>
          <t>ÖSTERGÖTLANDS LÄN</t>
        </is>
      </c>
      <c r="G33" t="inlineStr">
        <is>
          <t>YDRE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Slåtterfibbla</t>
        </is>
      </c>
      <c r="W33">
        <f>HYPERLINK("https://klasma.github.io/Logging_0512/artfynd/A 9051-2026 artfynd.xlsx", "A 9051-2026")</f>
        <v/>
      </c>
      <c r="X33">
        <f>HYPERLINK("https://klasma.github.io/Logging_0512/kartor/A 9051-2026 karta.png", "A 9051-2026")</f>
        <v/>
      </c>
      <c r="Y33">
        <f>HYPERLINK("https://klasma.github.io/Logging_0512/kartor_geotiff/A 9051-2026 georefererad karta.tif", "A 9051-2026")</f>
        <v/>
      </c>
      <c r="AA33">
        <f>HYPERLINK("https://klasma.github.io/Logging_0512/klagomål/A 9051-2026 FSC-klagomål.docx", "A 9051-2026")</f>
        <v/>
      </c>
      <c r="AB33">
        <f>HYPERLINK("https://klasma.github.io/Logging_0512/klagomålsmail/A 9051-2026 FSC-klagomål mail.docx", "A 9051-2026")</f>
        <v/>
      </c>
      <c r="AC33">
        <f>HYPERLINK("https://klasma.github.io/Logging_0512/tillsyn/A 9051-2026 tillsynsbegäran.docx", "A 9051-2026")</f>
        <v/>
      </c>
      <c r="AD33">
        <f>HYPERLINK("https://klasma.github.io/Logging_0512/tillsynsmail/A 9051-2026 tillsynsbegäran mail.docx", "A 9051-2026")</f>
        <v/>
      </c>
    </row>
    <row r="34" ht="15" customHeight="1">
      <c r="A34" t="inlineStr">
        <is>
          <t>A 8923-2026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46262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8923-2026 artfynd.xlsx", "A 8923-2026")</f>
        <v/>
      </c>
      <c r="X34">
        <f>HYPERLINK("https://klasma.github.io/Logging_0512/kartor/A 8923-2026 karta.png", "A 8923-2026")</f>
        <v/>
      </c>
      <c r="Y34">
        <f>HYPERLINK("https://klasma.github.io/Logging_0512/kartor_geotiff/A 8923-2026 georefererad karta.tif", "A 8923-2026")</f>
        <v/>
      </c>
      <c r="AA34">
        <f>HYPERLINK("https://klasma.github.io/Logging_0512/klagomål/A 8923-2026 FSC-klagomål.docx", "A 8923-2026")</f>
        <v/>
      </c>
      <c r="AB34">
        <f>HYPERLINK("https://klasma.github.io/Logging_0512/klagomålsmail/A 8923-2026 FSC-klagomål mail.docx", "A 8923-2026")</f>
        <v/>
      </c>
      <c r="AC34">
        <f>HYPERLINK("https://klasma.github.io/Logging_0512/tillsyn/A 8923-2026 tillsynsbegäran.docx", "A 8923-2026")</f>
        <v/>
      </c>
      <c r="AD34">
        <f>HYPERLINK("https://klasma.github.io/Logging_0512/tillsynsmail/A 8923-2026 tillsynsbegäran mail.docx", "A 8923-2026")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46262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46262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46262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46262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46262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46262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46262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46262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47467-2021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44447</v>
      </c>
      <c r="E43" s="1" t="n">
        <v>46262</v>
      </c>
      <c r="F43" t="inlineStr">
        <is>
          <t>ÖSTERGÖTLANDS LÄN</t>
        </is>
      </c>
      <c r="G43" t="inlineStr">
        <is>
          <t>YDRE</t>
        </is>
      </c>
      <c r="H43" t="inlineStr">
        <is>
          <t>Sveaskog</t>
        </is>
      </c>
      <c r="I43" t="n">
        <v>1.8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HYPERLINK("https://klasma.github.io/Logging_0512/artfynd/A 47467-2021 artfynd.xlsx", "A 47467-2021")</f>
        <v/>
      </c>
      <c r="X43">
        <f>HYPERLINK("https://klasma.github.io/Logging_0512/kartor/A 47467-2021 karta.png", "A 47467-2021")</f>
        <v/>
      </c>
      <c r="Y43">
        <f>HYPERLINK("https://klasma.github.io/Logging_0512/kartor_geotiff/A 47467-2021 georefererad karta.tif", "A 47467-2021")</f>
        <v/>
      </c>
      <c r="AA43">
        <f>HYPERLINK("https://klasma.github.io/Logging_0512/klagomål/A 47467-2021 FSC-klagomål.docx", "A 47467-2021")</f>
        <v/>
      </c>
      <c r="AB43">
        <f>HYPERLINK("https://klasma.github.io/Logging_0512/klagomålsmail/A 47467-2021 FSC-klagomål mail.docx", "A 47467-2021")</f>
        <v/>
      </c>
      <c r="AC43">
        <f>HYPERLINK("https://klasma.github.io/Logging_0512/tillsyn/A 47467-2021 tillsynsbegäran.docx", "A 47467-2021")</f>
        <v/>
      </c>
      <c r="AD43">
        <f>HYPERLINK("https://klasma.github.io/Logging_0512/tillsynsmail/A 47467-2021 tillsynsbegäran mail.docx", "A 47467-2021")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46262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46262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46262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46262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46262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46262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46262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46262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46262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46262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46262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46262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46262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46262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46262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46262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46262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46262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46262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46262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46262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46262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46262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46262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46262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46262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46262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46262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46262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46262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46262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46262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46262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46262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46262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46262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46262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46262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69307-2021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44531</v>
      </c>
      <c r="E82" s="1" t="n">
        <v>46262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45432</v>
      </c>
      <c r="E83" s="1" t="n">
        <v>46262</v>
      </c>
      <c r="F83" t="inlineStr">
        <is>
          <t>ÖSTERGÖTLANDS LÄN</t>
        </is>
      </c>
      <c r="G83" t="inlineStr">
        <is>
          <t>YDRE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46262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55844-2021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44476</v>
      </c>
      <c r="E85" s="1" t="n">
        <v>46262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30049-2023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46262</v>
      </c>
      <c r="F86" t="inlineStr">
        <is>
          <t>ÖSTERGÖTLANDS LÄN</t>
        </is>
      </c>
      <c r="G86" t="inlineStr">
        <is>
          <t>YDRE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46262</v>
      </c>
      <c r="F87" t="inlineStr">
        <is>
          <t>ÖSTERGÖTLANDS LÄN</t>
        </is>
      </c>
      <c r="G87" t="inlineStr">
        <is>
          <t>YDRE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46262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45544</v>
      </c>
      <c r="E89" s="1" t="n">
        <v>46262</v>
      </c>
      <c r="F89" t="inlineStr">
        <is>
          <t>ÖSTERGÖTLANDS LÄN</t>
        </is>
      </c>
      <c r="G89" t="inlineStr">
        <is>
          <t>YDRE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46262</v>
      </c>
      <c r="F90" t="inlineStr">
        <is>
          <t>ÖSTERGÖTLANDS LÄN</t>
        </is>
      </c>
      <c r="G90" t="inlineStr">
        <is>
          <t>YDRE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46262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46262</v>
      </c>
      <c r="F92" t="inlineStr">
        <is>
          <t>ÖSTERGÖTLANDS LÄN</t>
        </is>
      </c>
      <c r="G92" t="inlineStr">
        <is>
          <t>YDRE</t>
        </is>
      </c>
      <c r="H92" t="inlineStr">
        <is>
          <t>Övriga Aktiebolag</t>
        </is>
      </c>
      <c r="I92" t="n">
        <v>18.2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27905-2024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45475</v>
      </c>
      <c r="E93" s="1" t="n">
        <v>46262</v>
      </c>
      <c r="F93" t="inlineStr">
        <is>
          <t>ÖSTERGÖTLANDS LÄN</t>
        </is>
      </c>
      <c r="G93" t="inlineStr">
        <is>
          <t>YDRE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71524-2021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46262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46262</v>
      </c>
      <c r="F95" t="inlineStr">
        <is>
          <t>ÖSTERGÖTLANDS LÄN</t>
        </is>
      </c>
      <c r="G95" t="inlineStr">
        <is>
          <t>YDRE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45365</v>
      </c>
      <c r="E96" s="1" t="n">
        <v>46262</v>
      </c>
      <c r="F96" t="inlineStr">
        <is>
          <t>ÖSTERGÖTLANDS LÄN</t>
        </is>
      </c>
      <c r="G96" t="inlineStr">
        <is>
          <t>YDRE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45714</v>
      </c>
      <c r="E97" s="1" t="n">
        <v>46262</v>
      </c>
      <c r="F97" t="inlineStr">
        <is>
          <t>ÖSTERGÖTLANDS LÄN</t>
        </is>
      </c>
      <c r="G97" t="inlineStr">
        <is>
          <t>YDRE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46262</v>
      </c>
      <c r="F98" t="inlineStr">
        <is>
          <t>ÖSTERGÖTLANDS LÄN</t>
        </is>
      </c>
      <c r="G98" t="inlineStr">
        <is>
          <t>YDRE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45796</v>
      </c>
      <c r="E99" s="1" t="n">
        <v>46262</v>
      </c>
      <c r="F99" t="inlineStr">
        <is>
          <t>ÖSTERGÖTLANDS LÄN</t>
        </is>
      </c>
      <c r="G99" t="inlineStr">
        <is>
          <t>YDRE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46262</v>
      </c>
      <c r="F100" t="inlineStr">
        <is>
          <t>ÖSTERGÖTLANDS LÄN</t>
        </is>
      </c>
      <c r="G100" t="inlineStr">
        <is>
          <t>YDRE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46262</v>
      </c>
      <c r="F101" t="inlineStr">
        <is>
          <t>ÖSTERGÖTLANDS LÄN</t>
        </is>
      </c>
      <c r="G101" t="inlineStr">
        <is>
          <t>YDRE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45596</v>
      </c>
      <c r="E102" s="1" t="n">
        <v>46262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46262</v>
      </c>
      <c r="F103" t="inlineStr">
        <is>
          <t>ÖSTERGÖTLANDS LÄN</t>
        </is>
      </c>
      <c r="G103" t="inlineStr">
        <is>
          <t>YDRE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45891</v>
      </c>
      <c r="E104" s="1" t="n">
        <v>46262</v>
      </c>
      <c r="F104" t="inlineStr">
        <is>
          <t>ÖSTERGÖTLANDS LÄN</t>
        </is>
      </c>
      <c r="G104" t="inlineStr">
        <is>
          <t>YDRE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46262</v>
      </c>
      <c r="F105" t="inlineStr">
        <is>
          <t>ÖSTERGÖTLANDS LÄN</t>
        </is>
      </c>
      <c r="G105" t="inlineStr">
        <is>
          <t>YDRE</t>
        </is>
      </c>
      <c r="H105" t="inlineStr">
        <is>
          <t>Sveaskog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46262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46262</v>
      </c>
      <c r="F107" t="inlineStr">
        <is>
          <t>ÖSTERGÖTLANDS LÄN</t>
        </is>
      </c>
      <c r="G107" t="inlineStr">
        <is>
          <t>YDRE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45707</v>
      </c>
      <c r="E108" s="1" t="n">
        <v>46262</v>
      </c>
      <c r="F108" t="inlineStr">
        <is>
          <t>ÖSTERGÖTLANDS LÄN</t>
        </is>
      </c>
      <c r="G108" t="inlineStr">
        <is>
          <t>YDRE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46262</v>
      </c>
      <c r="F109" t="inlineStr">
        <is>
          <t>ÖSTERGÖTLANDS LÄN</t>
        </is>
      </c>
      <c r="G109" t="inlineStr">
        <is>
          <t>YDRE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46262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46262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46262</v>
      </c>
      <c r="F112" t="inlineStr">
        <is>
          <t>ÖSTERGÖTLANDS LÄN</t>
        </is>
      </c>
      <c r="G112" t="inlineStr">
        <is>
          <t>YDRE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45666</v>
      </c>
      <c r="E113" s="1" t="n">
        <v>46262</v>
      </c>
      <c r="F113" t="inlineStr">
        <is>
          <t>ÖSTERGÖTLANDS LÄN</t>
        </is>
      </c>
      <c r="G113" t="inlineStr">
        <is>
          <t>YDRE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46262</v>
      </c>
      <c r="F114" t="inlineStr">
        <is>
          <t>ÖSTERGÖTLANDS LÄN</t>
        </is>
      </c>
      <c r="G114" t="inlineStr">
        <is>
          <t>YDRE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46262</v>
      </c>
      <c r="F115" t="inlineStr">
        <is>
          <t>ÖSTERGÖTLANDS LÄN</t>
        </is>
      </c>
      <c r="G115" t="inlineStr">
        <is>
          <t>YDRE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46262</v>
      </c>
      <c r="F116" t="inlineStr">
        <is>
          <t>ÖSTERGÖTLANDS LÄN</t>
        </is>
      </c>
      <c r="G116" t="inlineStr">
        <is>
          <t>YDRE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46262</v>
      </c>
      <c r="F117" t="inlineStr">
        <is>
          <t>ÖSTERGÖTLANDS LÄN</t>
        </is>
      </c>
      <c r="G117" t="inlineStr">
        <is>
          <t>YDRE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44592</v>
      </c>
      <c r="E118" s="1" t="n">
        <v>46262</v>
      </c>
      <c r="F118" t="inlineStr">
        <is>
          <t>ÖSTERGÖTLANDS LÄN</t>
        </is>
      </c>
      <c r="G118" t="inlineStr">
        <is>
          <t>YDRE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46262</v>
      </c>
      <c r="F119" t="inlineStr">
        <is>
          <t>ÖSTERGÖTLANDS LÄN</t>
        </is>
      </c>
      <c r="G119" t="inlineStr">
        <is>
          <t>YDRE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55867-2023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45239</v>
      </c>
      <c r="E120" s="1" t="n">
        <v>46262</v>
      </c>
      <c r="F120" t="inlineStr">
        <is>
          <t>ÖSTERGÖTLANDS LÄN</t>
        </is>
      </c>
      <c r="G120" t="inlineStr">
        <is>
          <t>YDRE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46262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46262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46262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46262</v>
      </c>
      <c r="F124" t="inlineStr">
        <is>
          <t>ÖSTERGÖTLANDS LÄN</t>
        </is>
      </c>
      <c r="G124" t="inlineStr">
        <is>
          <t>YDRE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46262</v>
      </c>
      <c r="F125" t="inlineStr">
        <is>
          <t>ÖSTERGÖTLANDS LÄN</t>
        </is>
      </c>
      <c r="G125" t="inlineStr">
        <is>
          <t>YDRE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46262</v>
      </c>
      <c r="F126" t="inlineStr">
        <is>
          <t>ÖSTERGÖTLANDS LÄN</t>
        </is>
      </c>
      <c r="G126" t="inlineStr">
        <is>
          <t>YDRE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46262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46262</v>
      </c>
      <c r="F128" t="inlineStr">
        <is>
          <t>ÖSTERGÖTLANDS LÄN</t>
        </is>
      </c>
      <c r="G128" t="inlineStr">
        <is>
          <t>YDRE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45964</v>
      </c>
      <c r="E129" s="1" t="n">
        <v>46262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46262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46262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45596</v>
      </c>
      <c r="E132" s="1" t="n">
        <v>46262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46262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46262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46262</v>
      </c>
      <c r="F135" t="inlineStr">
        <is>
          <t>ÖSTERGÖTLANDS LÄN</t>
        </is>
      </c>
      <c r="G135" t="inlineStr">
        <is>
          <t>YDRE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46262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45821</v>
      </c>
      <c r="E137" s="1" t="n">
        <v>46262</v>
      </c>
      <c r="F137" t="inlineStr">
        <is>
          <t>ÖSTERGÖTLANDS LÄN</t>
        </is>
      </c>
      <c r="G137" t="inlineStr">
        <is>
          <t>YDRE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46262</v>
      </c>
      <c r="F138" t="inlineStr">
        <is>
          <t>ÖSTERGÖTLANDS LÄN</t>
        </is>
      </c>
      <c r="G138" t="inlineStr">
        <is>
          <t>YDRE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46262</v>
      </c>
      <c r="F139" t="inlineStr">
        <is>
          <t>ÖSTERGÖTLANDS LÄN</t>
        </is>
      </c>
      <c r="G139" t="inlineStr">
        <is>
          <t>YDRE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46262</v>
      </c>
      <c r="F140" t="inlineStr">
        <is>
          <t>ÖSTERGÖTLANDS LÄN</t>
        </is>
      </c>
      <c r="G140" t="inlineStr">
        <is>
          <t>YDRE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46262</v>
      </c>
      <c r="F141" t="inlineStr">
        <is>
          <t>ÖSTERGÖTLANDS LÄN</t>
        </is>
      </c>
      <c r="G141" t="inlineStr">
        <is>
          <t>YDRE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46262</v>
      </c>
      <c r="F142" t="inlineStr">
        <is>
          <t>ÖSTERGÖTLANDS LÄN</t>
        </is>
      </c>
      <c r="G142" t="inlineStr">
        <is>
          <t>YDRE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46262</v>
      </c>
      <c r="F143" t="inlineStr">
        <is>
          <t>ÖSTERGÖTLANDS LÄN</t>
        </is>
      </c>
      <c r="G143" t="inlineStr">
        <is>
          <t>YDRE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46262</v>
      </c>
      <c r="F144" t="inlineStr">
        <is>
          <t>ÖSTERGÖTLANDS LÄN</t>
        </is>
      </c>
      <c r="G144" t="inlineStr">
        <is>
          <t>YDRE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46262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46262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46262</v>
      </c>
      <c r="F147" t="inlineStr">
        <is>
          <t>ÖSTERGÖTLANDS LÄN</t>
        </is>
      </c>
      <c r="G147" t="inlineStr">
        <is>
          <t>YDRE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46262</v>
      </c>
      <c r="F148" t="inlineStr">
        <is>
          <t>ÖSTERGÖTLANDS LÄN</t>
        </is>
      </c>
      <c r="G148" t="inlineStr">
        <is>
          <t>YDRE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46262</v>
      </c>
      <c r="F149" t="inlineStr">
        <is>
          <t>ÖSTERGÖTLANDS LÄN</t>
        </is>
      </c>
      <c r="G149" t="inlineStr">
        <is>
          <t>YDRE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46262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46262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45922</v>
      </c>
      <c r="E152" s="1" t="n">
        <v>46262</v>
      </c>
      <c r="F152" t="inlineStr">
        <is>
          <t>ÖSTERGÖTLANDS LÄN</t>
        </is>
      </c>
      <c r="G152" t="inlineStr">
        <is>
          <t>YDRE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32635-2025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45838</v>
      </c>
      <c r="E153" s="1" t="n">
        <v>46262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46262</v>
      </c>
      <c r="F154" t="inlineStr">
        <is>
          <t>ÖSTERGÖTLANDS LÄN</t>
        </is>
      </c>
      <c r="G154" t="inlineStr">
        <is>
          <t>YDRE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46262</v>
      </c>
      <c r="F155" t="inlineStr">
        <is>
          <t>ÖSTERGÖTLANDS LÄN</t>
        </is>
      </c>
      <c r="G155" t="inlineStr">
        <is>
          <t>YDRE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46086-2025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45924</v>
      </c>
      <c r="E156" s="1" t="n">
        <v>46262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46262</v>
      </c>
      <c r="F157" t="inlineStr">
        <is>
          <t>ÖSTERGÖTLANDS LÄN</t>
        </is>
      </c>
      <c r="G157" t="inlineStr">
        <is>
          <t>YDRE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46262</v>
      </c>
      <c r="F158" t="inlineStr">
        <is>
          <t>ÖSTERGÖTLANDS LÄN</t>
        </is>
      </c>
      <c r="G158" t="inlineStr">
        <is>
          <t>YDRE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46262</v>
      </c>
      <c r="F159" t="inlineStr">
        <is>
          <t>ÖSTERGÖTLANDS LÄN</t>
        </is>
      </c>
      <c r="G159" t="inlineStr">
        <is>
          <t>YDRE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63830-2023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45278</v>
      </c>
      <c r="E160" s="1" t="n">
        <v>46262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46262</v>
      </c>
      <c r="F161" t="inlineStr">
        <is>
          <t>ÖSTERGÖTLANDS LÄN</t>
        </is>
      </c>
      <c r="G161" t="inlineStr">
        <is>
          <t>YDRE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46262</v>
      </c>
      <c r="F162" t="inlineStr">
        <is>
          <t>ÖSTERGÖTLANDS LÄN</t>
        </is>
      </c>
      <c r="G162" t="inlineStr">
        <is>
          <t>YDRE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45236</v>
      </c>
      <c r="E163" s="1" t="n">
        <v>46262</v>
      </c>
      <c r="F163" t="inlineStr">
        <is>
          <t>ÖSTERGÖTLANDS LÄN</t>
        </is>
      </c>
      <c r="G163" t="inlineStr">
        <is>
          <t>YDRE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46262</v>
      </c>
      <c r="F164" t="inlineStr">
        <is>
          <t>ÖSTERGÖTLANDS LÄN</t>
        </is>
      </c>
      <c r="G164" t="inlineStr">
        <is>
          <t>YDRE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46262</v>
      </c>
      <c r="F165" t="inlineStr">
        <is>
          <t>ÖSTERGÖTLANDS LÄN</t>
        </is>
      </c>
      <c r="G165" t="inlineStr">
        <is>
          <t>YDRE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46262</v>
      </c>
      <c r="F166" t="inlineStr">
        <is>
          <t>ÖSTERGÖTLANDS LÄN</t>
        </is>
      </c>
      <c r="G166" t="inlineStr">
        <is>
          <t>YDRE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46262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46262</v>
      </c>
      <c r="F168" t="inlineStr">
        <is>
          <t>ÖSTERGÖTLANDS LÄN</t>
        </is>
      </c>
      <c r="G168" t="inlineStr">
        <is>
          <t>YDRE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46262</v>
      </c>
      <c r="F169" t="inlineStr">
        <is>
          <t>ÖSTERGÖTLANDS LÄN</t>
        </is>
      </c>
      <c r="G169" t="inlineStr">
        <is>
          <t>YDRE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62815-2021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44504</v>
      </c>
      <c r="E170" s="1" t="n">
        <v>46262</v>
      </c>
      <c r="F170" t="inlineStr">
        <is>
          <t>ÖSTERGÖTLANDS LÄN</t>
        </is>
      </c>
      <c r="G170" t="inlineStr">
        <is>
          <t>YDRE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45000</v>
      </c>
      <c r="E171" s="1" t="n">
        <v>46262</v>
      </c>
      <c r="F171" t="inlineStr">
        <is>
          <t>ÖSTERGÖTLANDS LÄN</t>
        </is>
      </c>
      <c r="G171" t="inlineStr">
        <is>
          <t>YDRE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46262</v>
      </c>
      <c r="F172" t="inlineStr">
        <is>
          <t>ÖSTERGÖTLANDS LÄN</t>
        </is>
      </c>
      <c r="G172" t="inlineStr">
        <is>
          <t>YDRE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17309-2024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45414</v>
      </c>
      <c r="E173" s="1" t="n">
        <v>46262</v>
      </c>
      <c r="F173" t="inlineStr">
        <is>
          <t>ÖSTERGÖTLANDS LÄN</t>
        </is>
      </c>
      <c r="G173" t="inlineStr">
        <is>
          <t>YDRE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46262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46262</v>
      </c>
      <c r="F175" t="inlineStr">
        <is>
          <t>ÖSTERGÖTLANDS LÄN</t>
        </is>
      </c>
      <c r="G175" t="inlineStr">
        <is>
          <t>YDRE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46262</v>
      </c>
      <c r="F176" t="inlineStr">
        <is>
          <t>ÖSTERGÖTLANDS LÄN</t>
        </is>
      </c>
      <c r="G176" t="inlineStr">
        <is>
          <t>YDRE</t>
        </is>
      </c>
      <c r="H176" t="inlineStr">
        <is>
          <t>Kyrkan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46262</v>
      </c>
      <c r="F177" t="inlineStr">
        <is>
          <t>ÖSTERGÖTLANDS LÄN</t>
        </is>
      </c>
      <c r="G177" t="inlineStr">
        <is>
          <t>YDRE</t>
        </is>
      </c>
      <c r="H177" t="inlineStr">
        <is>
          <t>Kyrkan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46262</v>
      </c>
      <c r="F178" t="inlineStr">
        <is>
          <t>ÖSTERGÖTLANDS LÄN</t>
        </is>
      </c>
      <c r="G178" t="inlineStr">
        <is>
          <t>YDRE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46262</v>
      </c>
      <c r="F179" t="inlineStr">
        <is>
          <t>ÖSTERGÖTLANDS LÄN</t>
        </is>
      </c>
      <c r="G179" t="inlineStr">
        <is>
          <t>YDRE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46262</v>
      </c>
      <c r="F180" t="inlineStr">
        <is>
          <t>ÖSTERGÖTLANDS LÄN</t>
        </is>
      </c>
      <c r="G180" t="inlineStr">
        <is>
          <t>YDRE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47464-2021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46262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46262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62485-2021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44503</v>
      </c>
      <c r="E183" s="1" t="n">
        <v>46262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46262</v>
      </c>
      <c r="F184" t="inlineStr">
        <is>
          <t>ÖSTERGÖTLANDS LÄN</t>
        </is>
      </c>
      <c r="G184" t="inlineStr">
        <is>
          <t>YDRE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46007</v>
      </c>
      <c r="E185" s="1" t="n">
        <v>46262</v>
      </c>
      <c r="F185" t="inlineStr">
        <is>
          <t>ÖSTERGÖTLANDS LÄN</t>
        </is>
      </c>
      <c r="G185" t="inlineStr">
        <is>
          <t>YDRE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44831</v>
      </c>
      <c r="E186" s="1" t="n">
        <v>46262</v>
      </c>
      <c r="F186" t="inlineStr">
        <is>
          <t>ÖSTERGÖTLANDS LÄN</t>
        </is>
      </c>
      <c r="G186" t="inlineStr">
        <is>
          <t>YDRE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46006</v>
      </c>
      <c r="E187" s="1" t="n">
        <v>46262</v>
      </c>
      <c r="F187" t="inlineStr">
        <is>
          <t>ÖSTERGÖTLANDS LÄN</t>
        </is>
      </c>
      <c r="G187" t="inlineStr">
        <is>
          <t>YDRE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46262</v>
      </c>
      <c r="F188" t="inlineStr">
        <is>
          <t>ÖSTERGÖTLANDS LÄN</t>
        </is>
      </c>
      <c r="G188" t="inlineStr">
        <is>
          <t>YDRE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44749</v>
      </c>
      <c r="E189" s="1" t="n">
        <v>46262</v>
      </c>
      <c r="F189" t="inlineStr">
        <is>
          <t>ÖSTERGÖTLANDS LÄN</t>
        </is>
      </c>
      <c r="G189" t="inlineStr">
        <is>
          <t>YDRE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46262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46262</v>
      </c>
      <c r="F191" t="inlineStr">
        <is>
          <t>ÖSTERGÖTLANDS LÄN</t>
        </is>
      </c>
      <c r="G191" t="inlineStr">
        <is>
          <t>YDRE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46262</v>
      </c>
      <c r="F192" t="inlineStr">
        <is>
          <t>ÖSTERGÖTLANDS LÄN</t>
        </is>
      </c>
      <c r="G192" t="inlineStr">
        <is>
          <t>YDRE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46262</v>
      </c>
      <c r="F193" t="inlineStr">
        <is>
          <t>ÖSTERGÖTLANDS LÄN</t>
        </is>
      </c>
      <c r="G193" t="inlineStr">
        <is>
          <t>YDRE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45434</v>
      </c>
      <c r="E194" s="1" t="n">
        <v>46262</v>
      </c>
      <c r="F194" t="inlineStr">
        <is>
          <t>ÖSTERGÖTLANDS LÄN</t>
        </is>
      </c>
      <c r="G194" t="inlineStr">
        <is>
          <t>YDRE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45218</v>
      </c>
      <c r="E195" s="1" t="n">
        <v>46262</v>
      </c>
      <c r="F195" t="inlineStr">
        <is>
          <t>ÖSTERGÖTLANDS LÄN</t>
        </is>
      </c>
      <c r="G195" t="inlineStr">
        <is>
          <t>YDRE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46262</v>
      </c>
      <c r="F196" t="inlineStr">
        <is>
          <t>ÖSTERGÖTLANDS LÄN</t>
        </is>
      </c>
      <c r="G196" t="inlineStr">
        <is>
          <t>YDRE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46262</v>
      </c>
      <c r="F197" t="inlineStr">
        <is>
          <t>ÖSTERGÖTLANDS LÄN</t>
        </is>
      </c>
      <c r="G197" t="inlineStr">
        <is>
          <t>YDRE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46262</v>
      </c>
      <c r="F198" t="inlineStr">
        <is>
          <t>ÖSTERGÖTLANDS LÄN</t>
        </is>
      </c>
      <c r="G198" t="inlineStr">
        <is>
          <t>YDRE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46262</v>
      </c>
      <c r="F199" t="inlineStr">
        <is>
          <t>ÖSTERGÖTLANDS LÄN</t>
        </is>
      </c>
      <c r="G199" t="inlineStr">
        <is>
          <t>YDRE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45216</v>
      </c>
      <c r="E200" s="1" t="n">
        <v>46262</v>
      </c>
      <c r="F200" t="inlineStr">
        <is>
          <t>ÖSTERGÖTLANDS LÄN</t>
        </is>
      </c>
      <c r="G200" t="inlineStr">
        <is>
          <t>YDRE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52076-2023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46262</v>
      </c>
      <c r="F201" t="inlineStr">
        <is>
          <t>ÖSTERGÖTLANDS LÄN</t>
        </is>
      </c>
      <c r="G201" t="inlineStr">
        <is>
          <t>YDRE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46013</v>
      </c>
      <c r="E202" s="1" t="n">
        <v>46262</v>
      </c>
      <c r="F202" t="inlineStr">
        <is>
          <t>ÖSTERGÖTLANDS LÄN</t>
        </is>
      </c>
      <c r="G202" t="inlineStr">
        <is>
          <t>YDRE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46013</v>
      </c>
      <c r="E203" s="1" t="n">
        <v>46262</v>
      </c>
      <c r="F203" t="inlineStr">
        <is>
          <t>ÖSTERGÖTLANDS LÄN</t>
        </is>
      </c>
      <c r="G203" t="inlineStr">
        <is>
          <t>YDRE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46262</v>
      </c>
      <c r="F204" t="inlineStr">
        <is>
          <t>ÖSTERGÖTLANDS LÄN</t>
        </is>
      </c>
      <c r="G204" t="inlineStr">
        <is>
          <t>YDRE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46010</v>
      </c>
      <c r="E205" s="1" t="n">
        <v>46262</v>
      </c>
      <c r="F205" t="inlineStr">
        <is>
          <t>ÖSTERGÖTLANDS LÄN</t>
        </is>
      </c>
      <c r="G205" t="inlineStr">
        <is>
          <t>YDRE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46262</v>
      </c>
      <c r="F206" t="inlineStr">
        <is>
          <t>ÖSTERGÖTLANDS LÄN</t>
        </is>
      </c>
      <c r="G206" t="inlineStr">
        <is>
          <t>YDRE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46262</v>
      </c>
      <c r="F207" t="inlineStr">
        <is>
          <t>ÖSTERGÖTLANDS LÄN</t>
        </is>
      </c>
      <c r="G207" t="inlineStr">
        <is>
          <t>YDRE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46262</v>
      </c>
      <c r="F208" t="inlineStr">
        <is>
          <t>ÖSTERGÖTLANDS LÄN</t>
        </is>
      </c>
      <c r="G208" t="inlineStr">
        <is>
          <t>YDRE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46262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44966</v>
      </c>
      <c r="E210" s="1" t="n">
        <v>46262</v>
      </c>
      <c r="F210" t="inlineStr">
        <is>
          <t>ÖSTERGÖTLANDS LÄN</t>
        </is>
      </c>
      <c r="G210" t="inlineStr">
        <is>
          <t>YDRE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44480</v>
      </c>
      <c r="E211" s="1" t="n">
        <v>46262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44939</v>
      </c>
      <c r="E212" s="1" t="n">
        <v>46262</v>
      </c>
      <c r="F212" t="inlineStr">
        <is>
          <t>ÖSTERGÖTLANDS LÄN</t>
        </is>
      </c>
      <c r="G212" t="inlineStr">
        <is>
          <t>YDRE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46262</v>
      </c>
      <c r="F213" t="inlineStr">
        <is>
          <t>ÖSTERGÖTLANDS LÄN</t>
        </is>
      </c>
      <c r="G213" t="inlineStr">
        <is>
          <t>YDRE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46262</v>
      </c>
      <c r="F214" t="inlineStr">
        <is>
          <t>ÖSTERGÖTLANDS LÄN</t>
        </is>
      </c>
      <c r="G214" t="inlineStr">
        <is>
          <t>YDRE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46262</v>
      </c>
      <c r="F215" t="inlineStr">
        <is>
          <t>ÖSTERGÖTLANDS LÄN</t>
        </is>
      </c>
      <c r="G215" t="inlineStr">
        <is>
          <t>YDRE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46262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45091</v>
      </c>
      <c r="E217" s="1" t="n">
        <v>46262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46262</v>
      </c>
      <c r="F218" t="inlineStr">
        <is>
          <t>ÖSTERGÖTLANDS LÄN</t>
        </is>
      </c>
      <c r="G218" t="inlineStr">
        <is>
          <t>YDRE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46262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46262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44576</v>
      </c>
      <c r="E221" s="1" t="n">
        <v>46262</v>
      </c>
      <c r="F221" t="inlineStr">
        <is>
          <t>ÖSTERGÖTLANDS LÄN</t>
        </is>
      </c>
      <c r="G221" t="inlineStr">
        <is>
          <t>YDRE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46262</v>
      </c>
      <c r="F222" t="inlineStr">
        <is>
          <t>ÖSTERGÖTLANDS LÄN</t>
        </is>
      </c>
      <c r="G222" t="inlineStr">
        <is>
          <t>YDRE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46262</v>
      </c>
      <c r="F223" t="inlineStr">
        <is>
          <t>ÖSTERGÖTLANDS LÄN</t>
        </is>
      </c>
      <c r="G223" t="inlineStr">
        <is>
          <t>YDRE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46262</v>
      </c>
      <c r="F224" t="inlineStr">
        <is>
          <t>ÖSTERGÖTLANDS LÄN</t>
        </is>
      </c>
      <c r="G224" t="inlineStr">
        <is>
          <t>YDRE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45575</v>
      </c>
      <c r="E225" s="1" t="n">
        <v>46262</v>
      </c>
      <c r="F225" t="inlineStr">
        <is>
          <t>ÖSTERGÖTLANDS LÄN</t>
        </is>
      </c>
      <c r="G225" t="inlineStr">
        <is>
          <t>YDRE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44789</v>
      </c>
      <c r="E226" s="1" t="n">
        <v>46262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6293-2026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46055</v>
      </c>
      <c r="E227" s="1" t="n">
        <v>46262</v>
      </c>
      <c r="F227" t="inlineStr">
        <is>
          <t>ÖSTERGÖTLANDS LÄN</t>
        </is>
      </c>
      <c r="G227" t="inlineStr">
        <is>
          <t>YDRE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46262</v>
      </c>
      <c r="F228" t="inlineStr">
        <is>
          <t>ÖSTERGÖTLANDS LÄN</t>
        </is>
      </c>
      <c r="G228" t="inlineStr">
        <is>
          <t>YDRE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59812-2022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46262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46262</v>
      </c>
      <c r="F230" t="inlineStr">
        <is>
          <t>ÖSTERGÖTLANDS LÄN</t>
        </is>
      </c>
      <c r="G230" t="inlineStr">
        <is>
          <t>YDRE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46262</v>
      </c>
      <c r="F231" t="inlineStr">
        <is>
          <t>ÖSTERGÖTLANDS LÄN</t>
        </is>
      </c>
      <c r="G231" t="inlineStr">
        <is>
          <t>YDRE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46262</v>
      </c>
      <c r="F232" t="inlineStr">
        <is>
          <t>ÖSTERGÖTLANDS LÄN</t>
        </is>
      </c>
      <c r="G232" t="inlineStr">
        <is>
          <t>YDRE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46262</v>
      </c>
      <c r="F233" t="inlineStr">
        <is>
          <t>ÖSTERGÖTLANDS LÄN</t>
        </is>
      </c>
      <c r="G233" t="inlineStr">
        <is>
          <t>YDRE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46062</v>
      </c>
      <c r="E234" s="1" t="n">
        <v>46262</v>
      </c>
      <c r="F234" t="inlineStr">
        <is>
          <t>ÖSTERGÖTLANDS LÄN</t>
        </is>
      </c>
      <c r="G234" t="inlineStr">
        <is>
          <t>YDRE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7641-2026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46262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46262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46262</v>
      </c>
      <c r="F237" t="inlineStr">
        <is>
          <t>ÖSTERGÖTLANDS LÄN</t>
        </is>
      </c>
      <c r="G237" t="inlineStr">
        <is>
          <t>YDRE</t>
        </is>
      </c>
      <c r="H237" t="inlineStr">
        <is>
          <t>Övriga Aktiebolag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46262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46069</v>
      </c>
      <c r="E239" s="1" t="n">
        <v>46262</v>
      </c>
      <c r="F239" t="inlineStr">
        <is>
          <t>ÖSTERGÖTLANDS LÄN</t>
        </is>
      </c>
      <c r="G239" t="inlineStr">
        <is>
          <t>YDRE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45647</v>
      </c>
      <c r="E240" s="1" t="n">
        <v>46262</v>
      </c>
      <c r="F240" t="inlineStr">
        <is>
          <t>ÖSTERGÖTLANDS LÄN</t>
        </is>
      </c>
      <c r="G240" t="inlineStr">
        <is>
          <t>YDRE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46262</v>
      </c>
      <c r="F241" t="inlineStr">
        <is>
          <t>ÖSTERGÖTLANDS LÄN</t>
        </is>
      </c>
      <c r="G241" t="inlineStr">
        <is>
          <t>YDRE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45634</v>
      </c>
      <c r="E242" s="1" t="n">
        <v>46262</v>
      </c>
      <c r="F242" t="inlineStr">
        <is>
          <t>ÖSTERGÖTLANDS LÄN</t>
        </is>
      </c>
      <c r="G242" t="inlineStr">
        <is>
          <t>YDRE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46262</v>
      </c>
      <c r="F243" t="inlineStr">
        <is>
          <t>ÖSTERGÖTLANDS LÄN</t>
        </is>
      </c>
      <c r="G243" t="inlineStr">
        <is>
          <t>YDRE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46076</v>
      </c>
      <c r="E244" s="1" t="n">
        <v>46262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46076</v>
      </c>
      <c r="E245" s="1" t="n">
        <v>46262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45406</v>
      </c>
      <c r="E246" s="1" t="n">
        <v>46262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46262</v>
      </c>
      <c r="F247" t="inlineStr">
        <is>
          <t>ÖSTERGÖTLANDS LÄN</t>
        </is>
      </c>
      <c r="G247" t="inlineStr">
        <is>
          <t>YDRE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46262</v>
      </c>
      <c r="F248" t="inlineStr">
        <is>
          <t>ÖSTERGÖTLANDS LÄN</t>
        </is>
      </c>
      <c r="G248" t="inlineStr">
        <is>
          <t>YDRE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45273</v>
      </c>
      <c r="E249" s="1" t="n">
        <v>46262</v>
      </c>
      <c r="F249" t="inlineStr">
        <is>
          <t>ÖSTERGÖTLANDS LÄN</t>
        </is>
      </c>
      <c r="G249" t="inlineStr">
        <is>
          <t>YDRE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46262</v>
      </c>
      <c r="F250" t="inlineStr">
        <is>
          <t>ÖSTERGÖTLANDS LÄN</t>
        </is>
      </c>
      <c r="G250" t="inlineStr">
        <is>
          <t>YDRE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46262</v>
      </c>
      <c r="F251" t="inlineStr">
        <is>
          <t>ÖSTERGÖTLANDS LÄN</t>
        </is>
      </c>
      <c r="G251" t="inlineStr">
        <is>
          <t>YDRE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56900-2022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44894</v>
      </c>
      <c r="E252" s="1" t="n">
        <v>46262</v>
      </c>
      <c r="F252" t="inlineStr">
        <is>
          <t>ÖSTERGÖTLANDS LÄN</t>
        </is>
      </c>
      <c r="G252" t="inlineStr">
        <is>
          <t>YDRE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56323-2021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44480</v>
      </c>
      <c r="E253" s="1" t="n">
        <v>46262</v>
      </c>
      <c r="F253" t="inlineStr">
        <is>
          <t>ÖSTERGÖTLANDS LÄN</t>
        </is>
      </c>
      <c r="G253" t="inlineStr">
        <is>
          <t>YDRE</t>
        </is>
      </c>
      <c r="H253" t="inlineStr">
        <is>
          <t>Sveaskog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  <c r="Z253">
        <f>HYPERLINK("https://klasma.github.io/Logging_0512/knärot/A 56323-2021 karta knärot.png", "A 56323-2021")</f>
        <v/>
      </c>
      <c r="AA253">
        <f>HYPERLINK("https://klasma.github.io/Logging_0512/klagomål/A 56323-2021 FSC-klagomål.docx", "A 56323-2021")</f>
        <v/>
      </c>
      <c r="AB253">
        <f>HYPERLINK("https://klasma.github.io/Logging_0512/klagomålsmail/A 56323-2021 FSC-klagomål mail.docx", "A 56323-2021")</f>
        <v/>
      </c>
      <c r="AC253">
        <f>HYPERLINK("https://klasma.github.io/Logging_0512/tillsyn/A 56323-2021 tillsynsbegäran.docx", "A 56323-2021")</f>
        <v/>
      </c>
      <c r="AD253">
        <f>HYPERLINK("https://klasma.github.io/Logging_0512/tillsynsmail/A 56323-2021 tillsynsbegäran mail.docx", "A 56323-2021")</f>
        <v/>
      </c>
    </row>
    <row r="254" ht="15" customHeight="1">
      <c r="A254" t="inlineStr">
        <is>
          <t>A 35209-2023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46262</v>
      </c>
      <c r="F254" t="inlineStr">
        <is>
          <t>ÖSTERGÖTLANDS LÄN</t>
        </is>
      </c>
      <c r="G254" t="inlineStr">
        <is>
          <t>YDRE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45666</v>
      </c>
      <c r="E255" s="1" t="n">
        <v>46262</v>
      </c>
      <c r="F255" t="inlineStr">
        <is>
          <t>ÖSTERGÖTLANDS LÄN</t>
        </is>
      </c>
      <c r="G255" t="inlineStr">
        <is>
          <t>YDRE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46262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46262</v>
      </c>
      <c r="F257" t="inlineStr">
        <is>
          <t>ÖSTERGÖTLANDS LÄN</t>
        </is>
      </c>
      <c r="G257" t="inlineStr">
        <is>
          <t>YDRE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46097</v>
      </c>
      <c r="E258" s="1" t="n">
        <v>46262</v>
      </c>
      <c r="F258" t="inlineStr">
        <is>
          <t>ÖSTERGÖTLANDS LÄN</t>
        </is>
      </c>
      <c r="G258" t="inlineStr">
        <is>
          <t>YDRE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46099</v>
      </c>
      <c r="E259" s="1" t="n">
        <v>46262</v>
      </c>
      <c r="F259" t="inlineStr">
        <is>
          <t>ÖSTERGÖTLANDS LÄN</t>
        </is>
      </c>
      <c r="G259" t="inlineStr">
        <is>
          <t>YDRE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46262</v>
      </c>
      <c r="F260" t="inlineStr">
        <is>
          <t>ÖSTERGÖTLANDS LÄN</t>
        </is>
      </c>
      <c r="G260" t="inlineStr">
        <is>
          <t>YDRE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61942-2021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44502</v>
      </c>
      <c r="E261" s="1" t="n">
        <v>46262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44965</v>
      </c>
      <c r="E262" s="1" t="n">
        <v>46262</v>
      </c>
      <c r="F262" t="inlineStr">
        <is>
          <t>ÖSTERGÖTLANDS LÄN</t>
        </is>
      </c>
      <c r="G262" t="inlineStr">
        <is>
          <t>YDRE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46262</v>
      </c>
      <c r="F263" t="inlineStr">
        <is>
          <t>ÖSTERGÖTLANDS LÄN</t>
        </is>
      </c>
      <c r="G263" t="inlineStr">
        <is>
          <t>YDRE</t>
        </is>
      </c>
      <c r="I263" t="n">
        <v>9.9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46262</v>
      </c>
      <c r="F264" t="inlineStr">
        <is>
          <t>ÖSTERGÖTLANDS LÄN</t>
        </is>
      </c>
      <c r="G264" t="inlineStr">
        <is>
          <t>YDRE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46262</v>
      </c>
      <c r="F265" t="inlineStr">
        <is>
          <t>ÖSTERGÖTLANDS LÄN</t>
        </is>
      </c>
      <c r="G265" t="inlineStr">
        <is>
          <t>YDRE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45310</v>
      </c>
      <c r="E266" s="1" t="n">
        <v>46262</v>
      </c>
      <c r="F266" t="inlineStr">
        <is>
          <t>ÖSTERGÖTLANDS LÄN</t>
        </is>
      </c>
      <c r="G266" t="inlineStr">
        <is>
          <t>YDRE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45428</v>
      </c>
      <c r="E267" s="1" t="n">
        <v>46262</v>
      </c>
      <c r="F267" t="inlineStr">
        <is>
          <t>ÖSTERGÖTLANDS LÄN</t>
        </is>
      </c>
      <c r="G267" t="inlineStr">
        <is>
          <t>YDRE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45737</v>
      </c>
      <c r="E268" s="1" t="n">
        <v>46262</v>
      </c>
      <c r="F268" t="inlineStr">
        <is>
          <t>ÖSTERGÖTLANDS LÄN</t>
        </is>
      </c>
      <c r="G268" t="inlineStr">
        <is>
          <t>YDRE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45449-2023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45194</v>
      </c>
      <c r="E269" s="1" t="n">
        <v>46262</v>
      </c>
      <c r="F269" t="inlineStr">
        <is>
          <t>ÖSTERGÖTLANDS LÄN</t>
        </is>
      </c>
      <c r="G269" t="inlineStr">
        <is>
          <t>YDRE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46116</v>
      </c>
      <c r="E270" s="1" t="n">
        <v>46262</v>
      </c>
      <c r="F270" t="inlineStr">
        <is>
          <t>ÖSTERGÖTLANDS LÄN</t>
        </is>
      </c>
      <c r="G270" t="inlineStr">
        <is>
          <t>YDRE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46262</v>
      </c>
      <c r="F271" t="inlineStr">
        <is>
          <t>ÖSTERGÖTLANDS LÄN</t>
        </is>
      </c>
      <c r="G271" t="inlineStr">
        <is>
          <t>YDRE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46262</v>
      </c>
      <c r="F272" t="inlineStr">
        <is>
          <t>ÖSTERGÖTLANDS LÄN</t>
        </is>
      </c>
      <c r="G272" t="inlineStr">
        <is>
          <t>YDRE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46262</v>
      </c>
      <c r="F273" t="inlineStr">
        <is>
          <t>ÖSTERGÖTLANDS LÄN</t>
        </is>
      </c>
      <c r="G273" t="inlineStr">
        <is>
          <t>YDRE</t>
        </is>
      </c>
      <c r="H273" t="inlineStr">
        <is>
          <t>Kyrkan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45456-2023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46262</v>
      </c>
      <c r="F274" t="inlineStr">
        <is>
          <t>ÖSTERGÖTLANDS LÄN</t>
        </is>
      </c>
      <c r="G274" t="inlineStr">
        <is>
          <t>YDRE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61589-2022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44916</v>
      </c>
      <c r="E275" s="1" t="n">
        <v>46262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45194-2021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44439</v>
      </c>
      <c r="E276" s="1" t="n">
        <v>46262</v>
      </c>
      <c r="F276" t="inlineStr">
        <is>
          <t>ÖSTERGÖTLANDS LÄN</t>
        </is>
      </c>
      <c r="G276" t="inlineStr">
        <is>
          <t>YDRE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46262</v>
      </c>
      <c r="F277" t="inlineStr">
        <is>
          <t>ÖSTERGÖTLANDS LÄN</t>
        </is>
      </c>
      <c r="G277" t="inlineStr">
        <is>
          <t>YDRE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46262</v>
      </c>
      <c r="F278" t="inlineStr">
        <is>
          <t>ÖSTERGÖTLANDS LÄN</t>
        </is>
      </c>
      <c r="G278" t="inlineStr">
        <is>
          <t>YDRE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44562</v>
      </c>
      <c r="E279" s="1" t="n">
        <v>46262</v>
      </c>
      <c r="F279" t="inlineStr">
        <is>
          <t>ÖSTERGÖTLANDS LÄN</t>
        </is>
      </c>
      <c r="G279" t="inlineStr">
        <is>
          <t>YDRE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45272</v>
      </c>
      <c r="E280" s="1" t="n">
        <v>46262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46125</v>
      </c>
      <c r="E281" s="1" t="n">
        <v>46262</v>
      </c>
      <c r="F281" t="inlineStr">
        <is>
          <t>ÖSTERGÖTLANDS LÄN</t>
        </is>
      </c>
      <c r="G281" t="inlineStr">
        <is>
          <t>YDRE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46262</v>
      </c>
      <c r="F282" t="inlineStr">
        <is>
          <t>ÖSTERGÖTLANDS LÄN</t>
        </is>
      </c>
      <c r="G282" t="inlineStr">
        <is>
          <t>YDRE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46262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46262</v>
      </c>
      <c r="F284" t="inlineStr">
        <is>
          <t>ÖSTERGÖTLANDS LÄN</t>
        </is>
      </c>
      <c r="G284" t="inlineStr">
        <is>
          <t>YDRE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70448-2021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44536</v>
      </c>
      <c r="E285" s="1" t="n">
        <v>46262</v>
      </c>
      <c r="F285" t="inlineStr">
        <is>
          <t>ÖSTERGÖTLANDS LÄN</t>
        </is>
      </c>
      <c r="G285" t="inlineStr">
        <is>
          <t>YDRE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45701</v>
      </c>
      <c r="E286" s="1" t="n">
        <v>46262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46262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44908</v>
      </c>
      <c r="E288" s="1" t="n">
        <v>46262</v>
      </c>
      <c r="F288" t="inlineStr">
        <is>
          <t>ÖSTERGÖTLANDS LÄN</t>
        </is>
      </c>
      <c r="G288" t="inlineStr">
        <is>
          <t>YDRE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44908</v>
      </c>
      <c r="E289" s="1" t="n">
        <v>46262</v>
      </c>
      <c r="F289" t="inlineStr">
        <is>
          <t>ÖSTERGÖTLANDS LÄN</t>
        </is>
      </c>
      <c r="G289" t="inlineStr">
        <is>
          <t>YDRE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46262</v>
      </c>
      <c r="F290" t="inlineStr">
        <is>
          <t>ÖSTERGÖTLANDS LÄN</t>
        </is>
      </c>
      <c r="G290" t="inlineStr">
        <is>
          <t>YDRE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44624</v>
      </c>
      <c r="E291" s="1" t="n">
        <v>46262</v>
      </c>
      <c r="F291" t="inlineStr">
        <is>
          <t>ÖSTERGÖTLANDS LÄN</t>
        </is>
      </c>
      <c r="G291" t="inlineStr">
        <is>
          <t>YDRE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44505-2025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45916</v>
      </c>
      <c r="E292" s="1" t="n">
        <v>46262</v>
      </c>
      <c r="F292" t="inlineStr">
        <is>
          <t>ÖSTERGÖTLANDS LÄN</t>
        </is>
      </c>
      <c r="G292" t="inlineStr">
        <is>
          <t>YDRE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46262</v>
      </c>
      <c r="F293" t="inlineStr">
        <is>
          <t>ÖSTERGÖTLANDS LÄN</t>
        </is>
      </c>
      <c r="G293" t="inlineStr">
        <is>
          <t>YDRE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45917</v>
      </c>
      <c r="E294" s="1" t="n">
        <v>46262</v>
      </c>
      <c r="F294" t="inlineStr">
        <is>
          <t>ÖSTERGÖTLANDS LÄN</t>
        </is>
      </c>
      <c r="G294" t="inlineStr">
        <is>
          <t>YDRE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45616</v>
      </c>
      <c r="E295" s="1" t="n">
        <v>46262</v>
      </c>
      <c r="F295" t="inlineStr">
        <is>
          <t>ÖSTERGÖTLANDS LÄN</t>
        </is>
      </c>
      <c r="G295" t="inlineStr">
        <is>
          <t>YDRE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45910</v>
      </c>
      <c r="E296" s="1" t="n">
        <v>46262</v>
      </c>
      <c r="F296" t="inlineStr">
        <is>
          <t>ÖSTERGÖTLANDS LÄN</t>
        </is>
      </c>
      <c r="G296" t="inlineStr">
        <is>
          <t>YDRE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46262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46262</v>
      </c>
      <c r="F298" t="inlineStr">
        <is>
          <t>ÖSTERGÖTLANDS LÄN</t>
        </is>
      </c>
      <c r="G298" t="inlineStr">
        <is>
          <t>YDRE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45871</v>
      </c>
      <c r="E299" s="1" t="n">
        <v>46262</v>
      </c>
      <c r="F299" t="inlineStr">
        <is>
          <t>ÖSTERGÖTLANDS LÄN</t>
        </is>
      </c>
      <c r="G299" t="inlineStr">
        <is>
          <t>YDRE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46262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46262</v>
      </c>
      <c r="F301" t="inlineStr">
        <is>
          <t>ÖSTERGÖTLANDS LÄN</t>
        </is>
      </c>
      <c r="G301" t="inlineStr">
        <is>
          <t>YDRE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46262</v>
      </c>
      <c r="F302" t="inlineStr">
        <is>
          <t>ÖSTERGÖTLANDS LÄN</t>
        </is>
      </c>
      <c r="G302" t="inlineStr">
        <is>
          <t>YDRE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11185-2024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46262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46262</v>
      </c>
      <c r="F304" t="inlineStr">
        <is>
          <t>ÖSTERGÖTLANDS LÄN</t>
        </is>
      </c>
      <c r="G304" t="inlineStr">
        <is>
          <t>YDRE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46262</v>
      </c>
      <c r="F305" t="inlineStr">
        <is>
          <t>ÖSTERGÖTLANDS LÄN</t>
        </is>
      </c>
      <c r="G305" t="inlineStr">
        <is>
          <t>YDRE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46262</v>
      </c>
      <c r="F306" t="inlineStr">
        <is>
          <t>ÖSTERGÖTLANDS LÄN</t>
        </is>
      </c>
      <c r="G306" t="inlineStr">
        <is>
          <t>YDRE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45701</v>
      </c>
      <c r="E307" s="1" t="n">
        <v>46262</v>
      </c>
      <c r="F307" t="inlineStr">
        <is>
          <t>ÖSTERGÖTLANDS LÄN</t>
        </is>
      </c>
      <c r="G307" t="inlineStr">
        <is>
          <t>YDRE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51153-2022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46262</v>
      </c>
      <c r="F308" t="inlineStr">
        <is>
          <t>ÖSTERGÖTLANDS LÄN</t>
        </is>
      </c>
      <c r="G308" t="inlineStr">
        <is>
          <t>YDRE</t>
        </is>
      </c>
      <c r="H308" t="inlineStr">
        <is>
          <t>Övriga Aktiebolag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45110</v>
      </c>
      <c r="E309" s="1" t="n">
        <v>46262</v>
      </c>
      <c r="F309" t="inlineStr">
        <is>
          <t>ÖSTERGÖTLANDS LÄN</t>
        </is>
      </c>
      <c r="G309" t="inlineStr">
        <is>
          <t>YDRE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46262</v>
      </c>
      <c r="F310" t="inlineStr">
        <is>
          <t>ÖSTERGÖTLANDS LÄN</t>
        </is>
      </c>
      <c r="G310" t="inlineStr">
        <is>
          <t>YDRE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46262</v>
      </c>
      <c r="F311" t="inlineStr">
        <is>
          <t>ÖSTERGÖTLANDS LÄN</t>
        </is>
      </c>
      <c r="G311" t="inlineStr">
        <is>
          <t>YDRE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46262</v>
      </c>
      <c r="F312" t="inlineStr">
        <is>
          <t>ÖSTERGÖTLANDS LÄN</t>
        </is>
      </c>
      <c r="G312" t="inlineStr">
        <is>
          <t>YDRE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46146</v>
      </c>
      <c r="E313" s="1" t="n">
        <v>46262</v>
      </c>
      <c r="F313" t="inlineStr">
        <is>
          <t>ÖSTERGÖTLANDS LÄN</t>
        </is>
      </c>
      <c r="G313" t="inlineStr">
        <is>
          <t>YDRE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46262</v>
      </c>
      <c r="F314" t="inlineStr">
        <is>
          <t>ÖSTERGÖTLANDS LÄN</t>
        </is>
      </c>
      <c r="G314" t="inlineStr">
        <is>
          <t>YDRE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46262</v>
      </c>
      <c r="F315" t="inlineStr">
        <is>
          <t>ÖSTERGÖTLANDS LÄN</t>
        </is>
      </c>
      <c r="G315" t="inlineStr">
        <is>
          <t>YDRE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21064-2026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46262</v>
      </c>
      <c r="F316" t="inlineStr">
        <is>
          <t>ÖSTERGÖTLANDS LÄN</t>
        </is>
      </c>
      <c r="G316" t="inlineStr">
        <is>
          <t>YDRE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45099</v>
      </c>
      <c r="E317" s="1" t="n">
        <v>46262</v>
      </c>
      <c r="F317" t="inlineStr">
        <is>
          <t>ÖSTERGÖTLANDS LÄN</t>
        </is>
      </c>
      <c r="G317" t="inlineStr">
        <is>
          <t>YDRE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49441-2024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45595</v>
      </c>
      <c r="E318" s="1" t="n">
        <v>46262</v>
      </c>
      <c r="F318" t="inlineStr">
        <is>
          <t>ÖSTERGÖTLANDS LÄN</t>
        </is>
      </c>
      <c r="G318" t="inlineStr">
        <is>
          <t>YDRE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46262</v>
      </c>
      <c r="F319" t="inlineStr">
        <is>
          <t>ÖSTERGÖTLANDS LÄN</t>
        </is>
      </c>
      <c r="G319" t="inlineStr">
        <is>
          <t>YDRE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46262</v>
      </c>
      <c r="F320" t="inlineStr">
        <is>
          <t>ÖSTERGÖTLANDS LÄN</t>
        </is>
      </c>
      <c r="G320" t="inlineStr">
        <is>
          <t>YDRE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44572</v>
      </c>
      <c r="E321" s="1" t="n">
        <v>46262</v>
      </c>
      <c r="F321" t="inlineStr">
        <is>
          <t>ÖSTERGÖTLANDS LÄN</t>
        </is>
      </c>
      <c r="G321" t="inlineStr">
        <is>
          <t>YDRE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59407-2021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44491</v>
      </c>
      <c r="E322" s="1" t="n">
        <v>46262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22312-2026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46154</v>
      </c>
      <c r="E323" s="1" t="n">
        <v>46262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61636-2021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44501</v>
      </c>
      <c r="E324" s="1" t="n">
        <v>46262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46262</v>
      </c>
      <c r="F325" t="inlineStr">
        <is>
          <t>ÖSTERGÖTLANDS LÄN</t>
        </is>
      </c>
      <c r="G325" t="inlineStr">
        <is>
          <t>YDRE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46262</v>
      </c>
      <c r="F326" t="inlineStr">
        <is>
          <t>ÖSTERGÖTLANDS LÄN</t>
        </is>
      </c>
      <c r="G326" t="inlineStr">
        <is>
          <t>YDRE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45198-2024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45575</v>
      </c>
      <c r="E327" s="1" t="n">
        <v>46262</v>
      </c>
      <c r="F327" t="inlineStr">
        <is>
          <t>ÖSTERGÖTLANDS LÄN</t>
        </is>
      </c>
      <c r="G327" t="inlineStr">
        <is>
          <t>YDRE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44874</v>
      </c>
      <c r="E328" s="1" t="n">
        <v>46262</v>
      </c>
      <c r="F328" t="inlineStr">
        <is>
          <t>ÖSTERGÖTLANDS LÄN</t>
        </is>
      </c>
      <c r="G328" t="inlineStr">
        <is>
          <t>YDRE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21982-2022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44711</v>
      </c>
      <c r="E329" s="1" t="n">
        <v>46262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2745-2026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46038</v>
      </c>
      <c r="E330" s="1" t="n">
        <v>46262</v>
      </c>
      <c r="F330" t="inlineStr">
        <is>
          <t>ÖSTERGÖTLANDS LÄN</t>
        </is>
      </c>
      <c r="G330" t="inlineStr">
        <is>
          <t>YDRE</t>
        </is>
      </c>
      <c r="H330" t="inlineStr">
        <is>
          <t>Övriga Aktiebolag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46262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24780-2026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46171</v>
      </c>
      <c r="E332" s="1" t="n">
        <v>46262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46262</v>
      </c>
      <c r="F333" t="inlineStr">
        <is>
          <t>ÖSTERGÖTLANDS LÄN</t>
        </is>
      </c>
      <c r="G333" t="inlineStr">
        <is>
          <t>YDRE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46262</v>
      </c>
      <c r="F334" t="inlineStr">
        <is>
          <t>ÖSTERGÖTLANDS LÄN</t>
        </is>
      </c>
      <c r="G334" t="inlineStr">
        <is>
          <t>YDRE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45580</v>
      </c>
      <c r="E335" s="1" t="n">
        <v>46262</v>
      </c>
      <c r="F335" t="inlineStr">
        <is>
          <t>ÖSTERGÖTLANDS LÄN</t>
        </is>
      </c>
      <c r="G335" t="inlineStr">
        <is>
          <t>YDRE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45170</v>
      </c>
      <c r="E336" s="1" t="n">
        <v>46262</v>
      </c>
      <c r="F336" t="inlineStr">
        <is>
          <t>ÖSTERGÖTLANDS LÄN</t>
        </is>
      </c>
      <c r="G336" t="inlineStr">
        <is>
          <t>YDRE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46262</v>
      </c>
      <c r="F337" t="inlineStr">
        <is>
          <t>ÖSTERGÖTLANDS LÄN</t>
        </is>
      </c>
      <c r="G337" t="inlineStr">
        <is>
          <t>YDRE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45664</v>
      </c>
      <c r="E338" s="1" t="n">
        <v>46262</v>
      </c>
      <c r="F338" t="inlineStr">
        <is>
          <t>ÖSTERGÖTLANDS LÄN</t>
        </is>
      </c>
      <c r="G338" t="inlineStr">
        <is>
          <t>YDRE</t>
        </is>
      </c>
      <c r="I338" t="n">
        <v>8.6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44741-2021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44438</v>
      </c>
      <c r="E339" s="1" t="n">
        <v>46262</v>
      </c>
      <c r="F339" t="inlineStr">
        <is>
          <t>ÖSTERGÖTLANDS LÄN</t>
        </is>
      </c>
      <c r="G339" t="inlineStr">
        <is>
          <t>YDRE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45436</v>
      </c>
      <c r="E340" s="1" t="n">
        <v>46262</v>
      </c>
      <c r="F340" t="inlineStr">
        <is>
          <t>ÖSTERGÖTLANDS LÄN</t>
        </is>
      </c>
      <c r="G340" t="inlineStr">
        <is>
          <t>YDRE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46177</v>
      </c>
      <c r="E341" s="1" t="n">
        <v>46262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68983-2021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46262</v>
      </c>
      <c r="F342" t="inlineStr">
        <is>
          <t>ÖSTERGÖTLANDS LÄN</t>
        </is>
      </c>
      <c r="G342" t="inlineStr">
        <is>
          <t>YDRE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61257-2023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46262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46183</v>
      </c>
      <c r="E344" s="1" t="n">
        <v>46262</v>
      </c>
      <c r="F344" t="inlineStr">
        <is>
          <t>ÖSTERGÖTLANDS LÄN</t>
        </is>
      </c>
      <c r="G344" t="inlineStr">
        <is>
          <t>YDRE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45649</v>
      </c>
      <c r="E345" s="1" t="n">
        <v>46262</v>
      </c>
      <c r="F345" t="inlineStr">
        <is>
          <t>ÖSTERGÖTLANDS LÄN</t>
        </is>
      </c>
      <c r="G345" t="inlineStr">
        <is>
          <t>YDRE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45398</v>
      </c>
      <c r="E346" s="1" t="n">
        <v>46262</v>
      </c>
      <c r="F346" t="inlineStr">
        <is>
          <t>ÖSTERGÖTLANDS LÄN</t>
        </is>
      </c>
      <c r="G346" t="inlineStr">
        <is>
          <t>YDRE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44987</v>
      </c>
      <c r="E347" s="1" t="n">
        <v>46262</v>
      </c>
      <c r="F347" t="inlineStr">
        <is>
          <t>ÖSTERGÖTLANDS LÄN</t>
        </is>
      </c>
      <c r="G347" t="inlineStr">
        <is>
          <t>YDRE</t>
        </is>
      </c>
      <c r="I347" t="n">
        <v>10.2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46262</v>
      </c>
      <c r="F348" t="inlineStr">
        <is>
          <t>ÖSTERGÖTLANDS LÄN</t>
        </is>
      </c>
      <c r="G348" t="inlineStr">
        <is>
          <t>YDRE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45758</v>
      </c>
      <c r="E349" s="1" t="n">
        <v>46262</v>
      </c>
      <c r="F349" t="inlineStr">
        <is>
          <t>ÖSTERGÖTLANDS LÄN</t>
        </is>
      </c>
      <c r="G349" t="inlineStr">
        <is>
          <t>YDRE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46262</v>
      </c>
      <c r="F350" t="inlineStr">
        <is>
          <t>ÖSTERGÖTLANDS LÄN</t>
        </is>
      </c>
      <c r="G350" t="inlineStr">
        <is>
          <t>YDRE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46262</v>
      </c>
      <c r="F351" t="inlineStr">
        <is>
          <t>ÖSTERGÖTLANDS LÄN</t>
        </is>
      </c>
      <c r="G351" t="inlineStr">
        <is>
          <t>YDRE</t>
        </is>
      </c>
      <c r="H351" t="inlineStr">
        <is>
          <t>Kyrkan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45638</v>
      </c>
      <c r="E352" s="1" t="n">
        <v>46262</v>
      </c>
      <c r="F352" t="inlineStr">
        <is>
          <t>ÖSTERGÖTLANDS LÄN</t>
        </is>
      </c>
      <c r="G352" t="inlineStr">
        <is>
          <t>YDRE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27700-2026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46190</v>
      </c>
      <c r="E353" s="1" t="n">
        <v>46262</v>
      </c>
      <c r="F353" t="inlineStr">
        <is>
          <t>ÖSTERGÖTLANDS LÄN</t>
        </is>
      </c>
      <c r="G353" t="inlineStr">
        <is>
          <t>YDRE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45414</v>
      </c>
      <c r="E354" s="1" t="n">
        <v>46262</v>
      </c>
      <c r="F354" t="inlineStr">
        <is>
          <t>ÖSTERGÖTLANDS LÄN</t>
        </is>
      </c>
      <c r="G354" t="inlineStr">
        <is>
          <t>YDRE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45334</v>
      </c>
      <c r="E355" s="1" t="n">
        <v>46262</v>
      </c>
      <c r="F355" t="inlineStr">
        <is>
          <t>ÖSTERGÖTLANDS LÄN</t>
        </is>
      </c>
      <c r="G355" t="inlineStr">
        <is>
          <t>YDRE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44816</v>
      </c>
      <c r="E356" s="1" t="n">
        <v>46262</v>
      </c>
      <c r="F356" t="inlineStr">
        <is>
          <t>ÖSTERGÖTLANDS LÄN</t>
        </is>
      </c>
      <c r="G356" t="inlineStr">
        <is>
          <t>YDRE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45016</v>
      </c>
      <c r="E357" s="1" t="n">
        <v>46262</v>
      </c>
      <c r="F357" t="inlineStr">
        <is>
          <t>ÖSTERGÖTLANDS LÄN</t>
        </is>
      </c>
      <c r="G357" t="inlineStr">
        <is>
          <t>YDRE</t>
        </is>
      </c>
      <c r="H357" t="inlineStr">
        <is>
          <t>Övriga Aktiebolag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27874-2026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46262</v>
      </c>
      <c r="F358" t="inlineStr">
        <is>
          <t>ÖSTERGÖTLANDS LÄN</t>
        </is>
      </c>
      <c r="G358" t="inlineStr">
        <is>
          <t>YDRE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44655</v>
      </c>
      <c r="E359" s="1" t="n">
        <v>46262</v>
      </c>
      <c r="F359" t="inlineStr">
        <is>
          <t>ÖSTERGÖTLANDS LÄN</t>
        </is>
      </c>
      <c r="G359" t="inlineStr">
        <is>
          <t>YDRE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45348</v>
      </c>
      <c r="E360" s="1" t="n">
        <v>46262</v>
      </c>
      <c r="F360" t="inlineStr">
        <is>
          <t>ÖSTERGÖTLANDS LÄN</t>
        </is>
      </c>
      <c r="G360" t="inlineStr">
        <is>
          <t>YDRE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45085</v>
      </c>
      <c r="E361" s="1" t="n">
        <v>46262</v>
      </c>
      <c r="F361" t="inlineStr">
        <is>
          <t>ÖSTERGÖTLANDS LÄN</t>
        </is>
      </c>
      <c r="G361" t="inlineStr">
        <is>
          <t>YDRE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45414</v>
      </c>
      <c r="E362" s="1" t="n">
        <v>46262</v>
      </c>
      <c r="F362" t="inlineStr">
        <is>
          <t>ÖSTERGÖTLANDS LÄN</t>
        </is>
      </c>
      <c r="G362" t="inlineStr">
        <is>
          <t>YDRE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44987</v>
      </c>
      <c r="E363" s="1" t="n">
        <v>46262</v>
      </c>
      <c r="F363" t="inlineStr">
        <is>
          <t>ÖSTERGÖTLANDS LÄN</t>
        </is>
      </c>
      <c r="G363" t="inlineStr">
        <is>
          <t>YDRE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46262</v>
      </c>
      <c r="F364" t="inlineStr">
        <is>
          <t>ÖSTERGÖTLANDS LÄN</t>
        </is>
      </c>
      <c r="G364" t="inlineStr">
        <is>
          <t>YDRE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59805-2022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44908</v>
      </c>
      <c r="E365" s="1" t="n">
        <v>46262</v>
      </c>
      <c r="F365" t="inlineStr">
        <is>
          <t>ÖSTERGÖTLANDS LÄN</t>
        </is>
      </c>
      <c r="G365" t="inlineStr">
        <is>
          <t>YDRE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45634</v>
      </c>
      <c r="E366" s="1" t="n">
        <v>46262</v>
      </c>
      <c r="F366" t="inlineStr">
        <is>
          <t>ÖSTERGÖTLANDS LÄN</t>
        </is>
      </c>
      <c r="G366" t="inlineStr">
        <is>
          <t>YDRE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46240</v>
      </c>
      <c r="E367" s="1" t="n">
        <v>46262</v>
      </c>
      <c r="F367" t="inlineStr">
        <is>
          <t>ÖSTERGÖTLANDS LÄN</t>
        </is>
      </c>
      <c r="G367" t="inlineStr">
        <is>
          <t>YDRE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46240</v>
      </c>
      <c r="E368" s="1" t="n">
        <v>46262</v>
      </c>
      <c r="F368" t="inlineStr">
        <is>
          <t>ÖSTERGÖTLANDS LÄN</t>
        </is>
      </c>
      <c r="G368" t="inlineStr">
        <is>
          <t>YDRE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45218</v>
      </c>
      <c r="E369" s="1" t="n">
        <v>46262</v>
      </c>
      <c r="F369" t="inlineStr">
        <is>
          <t>ÖSTERGÖTLANDS LÄN</t>
        </is>
      </c>
      <c r="G369" t="inlineStr">
        <is>
          <t>YDRE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46262</v>
      </c>
      <c r="F370" t="inlineStr">
        <is>
          <t>ÖSTERGÖTLANDS LÄN</t>
        </is>
      </c>
      <c r="G370" t="inlineStr">
        <is>
          <t>YDRE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46262</v>
      </c>
      <c r="F371" t="inlineStr">
        <is>
          <t>ÖSTERGÖTLANDS LÄN</t>
        </is>
      </c>
      <c r="G371" t="inlineStr">
        <is>
          <t>YDRE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29304-2026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46262</v>
      </c>
      <c r="F372" t="inlineStr">
        <is>
          <t>ÖSTERGÖTLANDS LÄN</t>
        </is>
      </c>
      <c r="G372" t="inlineStr">
        <is>
          <t>YDRE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14184-2022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44651</v>
      </c>
      <c r="E373" s="1" t="n">
        <v>46262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45395-2022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44844</v>
      </c>
      <c r="E374" s="1" t="n">
        <v>46262</v>
      </c>
      <c r="F374" t="inlineStr">
        <is>
          <t>ÖSTERGÖTLANDS LÄN</t>
        </is>
      </c>
      <c r="G374" t="inlineStr">
        <is>
          <t>YDRE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60244-2023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45257</v>
      </c>
      <c r="E375" s="1" t="n">
        <v>46262</v>
      </c>
      <c r="F375" t="inlineStr">
        <is>
          <t>ÖSTERGÖTLANDS LÄN</t>
        </is>
      </c>
      <c r="G375" t="inlineStr">
        <is>
          <t>YDRE</t>
        </is>
      </c>
      <c r="I375" t="n">
        <v>17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46262</v>
      </c>
      <c r="F376" t="inlineStr">
        <is>
          <t>ÖSTERGÖTLANDS LÄN</t>
        </is>
      </c>
      <c r="G376" t="inlineStr">
        <is>
          <t>YDRE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29148-2026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46262</v>
      </c>
      <c r="F377" t="inlineStr">
        <is>
          <t>ÖSTERGÖTLANDS LÄN</t>
        </is>
      </c>
      <c r="G377" t="inlineStr">
        <is>
          <t>YDRE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29284-2026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46262</v>
      </c>
      <c r="F378" t="inlineStr">
        <is>
          <t>ÖSTERGÖTLANDS LÄN</t>
        </is>
      </c>
      <c r="G378" t="inlineStr">
        <is>
          <t>YDRE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46262</v>
      </c>
      <c r="F379" t="inlineStr">
        <is>
          <t>ÖSTERGÖTLANDS LÄN</t>
        </is>
      </c>
      <c r="G379" t="inlineStr">
        <is>
          <t>YDRE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46262</v>
      </c>
      <c r="F380" t="inlineStr">
        <is>
          <t>ÖSTERGÖTLANDS LÄN</t>
        </is>
      </c>
      <c r="G380" t="inlineStr">
        <is>
          <t>YDRE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45755</v>
      </c>
      <c r="E381" s="1" t="n">
        <v>46262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40988-2024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45558</v>
      </c>
      <c r="E382" s="1" t="n">
        <v>46262</v>
      </c>
      <c r="F382" t="inlineStr">
        <is>
          <t>ÖSTERGÖTLANDS LÄN</t>
        </is>
      </c>
      <c r="G382" t="inlineStr">
        <is>
          <t>YDRE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45054</v>
      </c>
      <c r="E383" s="1" t="n">
        <v>46262</v>
      </c>
      <c r="F383" t="inlineStr">
        <is>
          <t>ÖSTERGÖTLANDS LÄN</t>
        </is>
      </c>
      <c r="G383" t="inlineStr">
        <is>
          <t>YDRE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46262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46262</v>
      </c>
      <c r="F385" t="inlineStr">
        <is>
          <t>ÖSTERGÖTLANDS LÄN</t>
        </is>
      </c>
      <c r="G385" t="inlineStr">
        <is>
          <t>YDRE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45692</v>
      </c>
      <c r="E386" s="1" t="n">
        <v>46262</v>
      </c>
      <c r="F386" t="inlineStr">
        <is>
          <t>ÖSTERGÖTLANDS LÄN</t>
        </is>
      </c>
      <c r="G386" t="inlineStr">
        <is>
          <t>YDRE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44670</v>
      </c>
      <c r="E387" s="1" t="n">
        <v>46262</v>
      </c>
      <c r="F387" t="inlineStr">
        <is>
          <t>ÖSTERGÖTLANDS LÄN</t>
        </is>
      </c>
      <c r="G387" t="inlineStr">
        <is>
          <t>YDRE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46262</v>
      </c>
      <c r="F388" t="inlineStr">
        <is>
          <t>ÖSTERGÖTLANDS LÄN</t>
        </is>
      </c>
      <c r="G388" t="inlineStr">
        <is>
          <t>YDRE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14101-2022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44651</v>
      </c>
      <c r="E389" s="1" t="n">
        <v>46262</v>
      </c>
      <c r="F389" t="inlineStr">
        <is>
          <t>ÖSTERGÖTLANDS LÄN</t>
        </is>
      </c>
      <c r="G389" t="inlineStr">
        <is>
          <t>YDRE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45671</v>
      </c>
      <c r="E390" s="1" t="n">
        <v>46262</v>
      </c>
      <c r="F390" t="inlineStr">
        <is>
          <t>ÖSTERGÖTLANDS LÄN</t>
        </is>
      </c>
      <c r="G390" t="inlineStr">
        <is>
          <t>YDRE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59296-2021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44490</v>
      </c>
      <c r="E391" s="1" t="n">
        <v>46262</v>
      </c>
      <c r="F391" t="inlineStr">
        <is>
          <t>ÖSTERGÖTLANDS LÄN</t>
        </is>
      </c>
      <c r="G391" t="inlineStr">
        <is>
          <t>YDRE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46262</v>
      </c>
      <c r="F392" t="inlineStr">
        <is>
          <t>ÖSTERGÖTLANDS LÄN</t>
        </is>
      </c>
      <c r="G392" t="inlineStr">
        <is>
          <t>YDRE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45096</v>
      </c>
      <c r="E393" s="1" t="n">
        <v>46262</v>
      </c>
      <c r="F393" t="inlineStr">
        <is>
          <t>ÖSTERGÖTLANDS LÄN</t>
        </is>
      </c>
      <c r="G393" t="inlineStr">
        <is>
          <t>YDRE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45677</v>
      </c>
      <c r="E394" s="1" t="n">
        <v>46262</v>
      </c>
      <c r="F394" t="inlineStr">
        <is>
          <t>ÖSTERGÖTLANDS LÄN</t>
        </is>
      </c>
      <c r="G394" t="inlineStr">
        <is>
          <t>YDRE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45736</v>
      </c>
      <c r="E395" s="1" t="n">
        <v>46262</v>
      </c>
      <c r="F395" t="inlineStr">
        <is>
          <t>ÖSTERGÖTLANDS LÄN</t>
        </is>
      </c>
      <c r="G395" t="inlineStr">
        <is>
          <t>YDRE</t>
        </is>
      </c>
      <c r="H395" t="inlineStr">
        <is>
          <t>Övriga Aktiebolag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45748</v>
      </c>
      <c r="E396" s="1" t="n">
        <v>46262</v>
      </c>
      <c r="F396" t="inlineStr">
        <is>
          <t>ÖSTERGÖTLANDS LÄN</t>
        </is>
      </c>
      <c r="G396" t="inlineStr">
        <is>
          <t>YDRE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61205-2023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45264</v>
      </c>
      <c r="E397" s="1" t="n">
        <v>46262</v>
      </c>
      <c r="F397" t="inlineStr">
        <is>
          <t>ÖSTERGÖTLANDS LÄN</t>
        </is>
      </c>
      <c r="G397" t="inlineStr">
        <is>
          <t>YDRE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57290-2021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46262</v>
      </c>
      <c r="F398" t="inlineStr">
        <is>
          <t>ÖSTERGÖTLANDS LÄN</t>
        </is>
      </c>
      <c r="G398" t="inlineStr">
        <is>
          <t>YDRE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45492</v>
      </c>
      <c r="E399" s="1" t="n">
        <v>46262</v>
      </c>
      <c r="F399" t="inlineStr">
        <is>
          <t>ÖSTERGÖTLANDS LÄN</t>
        </is>
      </c>
      <c r="G399" t="inlineStr">
        <is>
          <t>YDRE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45468</v>
      </c>
      <c r="E400" s="1" t="n">
        <v>46262</v>
      </c>
      <c r="F400" t="inlineStr">
        <is>
          <t>ÖSTERGÖTLANDS LÄN</t>
        </is>
      </c>
      <c r="G400" t="inlineStr">
        <is>
          <t>YDRE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46258</v>
      </c>
      <c r="E401" s="1" t="n">
        <v>46262</v>
      </c>
      <c r="F401" t="inlineStr">
        <is>
          <t>ÖSTERGÖTLANDS LÄN</t>
        </is>
      </c>
      <c r="G401" t="inlineStr">
        <is>
          <t>YDRE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46262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46262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46262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46262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46262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46262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2026-08-28T01:50:19Z</dcterms:created>
  <dcterms:modified xmlns:dcterms="http://purl.org/dc/terms/" xmlns:xsi="http://www.w3.org/2001/XMLSchema-instance" xsi:type="dcterms:W3CDTF">2026-08-28T01:50:20Z</dcterms:modified>
</cp:coreProperties>
</file>