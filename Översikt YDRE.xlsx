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46306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46306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46306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46306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46306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46306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46306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46306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7621-2024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46306</v>
      </c>
      <c r="F15" t="inlineStr">
        <is>
          <t>ÖSTERGÖTLANDS LÄN</t>
        </is>
      </c>
      <c r="G15" t="inlineStr">
        <is>
          <t>YDRE</t>
        </is>
      </c>
      <c r="I15" t="n">
        <v>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Vattenfladdermus</t>
        </is>
      </c>
      <c r="W15">
        <f>HYPERLINK("https://klasma.github.io/Logging_0512/artfynd/A 7621-2024 artfynd.xlsx", "A 7621-2024")</f>
        <v/>
      </c>
      <c r="X15">
        <f>HYPERLINK("https://klasma.github.io/Logging_0512/kartor/A 7621-2024 karta.png", "A 7621-2024")</f>
        <v/>
      </c>
      <c r="Y15">
        <f>HYPERLINK("https://klasma.github.io/Logging_0512/kartor_geotiff/A 7621-2024 georefererad karta.tif", "A 7621-2024")</f>
        <v/>
      </c>
      <c r="AA15">
        <f>HYPERLINK("https://klasma.github.io/Logging_0512/klagomål/A 7621-2024 FSC-klagomål.docx", "A 7621-2024")</f>
        <v/>
      </c>
      <c r="AB15">
        <f>HYPERLINK("https://klasma.github.io/Logging_0512/klagomålsmail/A 7621-2024 FSC-klagomål mail.docx", "A 7621-2024")</f>
        <v/>
      </c>
      <c r="AC15">
        <f>HYPERLINK("https://klasma.github.io/Logging_0512/tillsyn/A 7621-2024 tillsynsbegäran.docx", "A 7621-2024")</f>
        <v/>
      </c>
      <c r="AD15">
        <f>HYPERLINK("https://klasma.github.io/Logging_0512/tillsynsmail/A 7621-2024 tillsynsbegäran mail.docx", "A 7621-2024")</f>
        <v/>
      </c>
    </row>
    <row r="16" ht="15" customHeight="1">
      <c r="A16" t="inlineStr">
        <is>
          <t>A 25498-2022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44732</v>
      </c>
      <c r="E16" s="1" t="n">
        <v>46306</v>
      </c>
      <c r="F16" t="inlineStr">
        <is>
          <t>ÖSTERGÖTLANDS LÄN</t>
        </is>
      </c>
      <c r="G16" t="inlineStr">
        <is>
          <t>YDRE</t>
        </is>
      </c>
      <c r="H16" t="inlineStr">
        <is>
          <t>Kyrkan</t>
        </is>
      </c>
      <c r="I16" t="n">
        <v>71.09999999999999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Garnlav
Brunpudrad nållav</t>
        </is>
      </c>
      <c r="W16">
        <f>HYPERLINK("https://klasma.github.io/Logging_0512/artfynd/A 25498-2022 artfynd.xlsx", "A 25498-2022")</f>
        <v/>
      </c>
      <c r="X16">
        <f>HYPERLINK("https://klasma.github.io/Logging_0512/kartor/A 25498-2022 karta.png", "A 25498-2022")</f>
        <v/>
      </c>
      <c r="Y16">
        <f>HYPERLINK("https://klasma.github.io/Logging_0512/kartor_geotiff/A 25498-2022 georefererad karta.tif", "A 25498-2022")</f>
        <v/>
      </c>
      <c r="AA16">
        <f>HYPERLINK("https://klasma.github.io/Logging_0512/klagomål/A 25498-2022 FSC-klagomål.docx", "A 25498-2022")</f>
        <v/>
      </c>
      <c r="AB16">
        <f>HYPERLINK("https://klasma.github.io/Logging_0512/klagomålsmail/A 25498-2022 FSC-klagomål mail.docx", "A 25498-2022")</f>
        <v/>
      </c>
      <c r="AC16">
        <f>HYPERLINK("https://klasma.github.io/Logging_0512/tillsyn/A 25498-2022 tillsynsbegäran.docx", "A 25498-2022")</f>
        <v/>
      </c>
      <c r="AD16">
        <f>HYPERLINK("https://klasma.github.io/Logging_0512/tillsynsmail/A 25498-2022 tillsynsbegäran mail.docx", "A 25498-2022")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46306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26030-2023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46306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0.9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Aspelandsfibbla
Smal guldkornsfibbla</t>
        </is>
      </c>
      <c r="W18">
        <f>HYPERLINK("https://klasma.github.io/Logging_0512/artfynd/A 26030-2023 artfynd.xlsx", "A 26030-2023")</f>
        <v/>
      </c>
      <c r="X18">
        <f>HYPERLINK("https://klasma.github.io/Logging_0512/kartor/A 26030-2023 karta.png", "A 26030-2023")</f>
        <v/>
      </c>
      <c r="Y18">
        <f>HYPERLINK("https://klasma.github.io/Logging_0512/kartor_geotiff/A 26030-2023 georefererad karta.tif", "A 26030-2023")</f>
        <v/>
      </c>
      <c r="AA18">
        <f>HYPERLINK("https://klasma.github.io/Logging_0512/klagomål/A 26030-2023 FSC-klagomål.docx", "A 26030-2023")</f>
        <v/>
      </c>
      <c r="AB18">
        <f>HYPERLINK("https://klasma.github.io/Logging_0512/klagomålsmail/A 26030-2023 FSC-klagomål mail.docx", "A 26030-2023")</f>
        <v/>
      </c>
      <c r="AC18">
        <f>HYPERLINK("https://klasma.github.io/Logging_0512/tillsyn/A 26030-2023 tillsynsbegäran.docx", "A 26030-2023")</f>
        <v/>
      </c>
      <c r="AD18">
        <f>HYPERLINK("https://klasma.github.io/Logging_0512/tillsynsmail/A 26030-2023 tillsynsbegäran mail.docx", "A 26030-2023")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46306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17526-2024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46306</v>
      </c>
      <c r="F20" t="inlineStr">
        <is>
          <t>ÖSTERGÖTLANDS LÄN</t>
        </is>
      </c>
      <c r="G20" t="inlineStr">
        <is>
          <t>YDRE</t>
        </is>
      </c>
      <c r="I20" t="n">
        <v>1.6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Svinrot
Blåsippa</t>
        </is>
      </c>
      <c r="W20">
        <f>HYPERLINK("https://klasma.github.io/Logging_0512/artfynd/A 17526-2024 artfynd.xlsx", "A 17526-2024")</f>
        <v/>
      </c>
      <c r="X20">
        <f>HYPERLINK("https://klasma.github.io/Logging_0512/kartor/A 17526-2024 karta.png", "A 17526-2024")</f>
        <v/>
      </c>
      <c r="Y20">
        <f>HYPERLINK("https://klasma.github.io/Logging_0512/kartor_geotiff/A 17526-2024 georefererad karta.tif", "A 17526-2024")</f>
        <v/>
      </c>
      <c r="AA20">
        <f>HYPERLINK("https://klasma.github.io/Logging_0512/klagomål/A 17526-2024 FSC-klagomål.docx", "A 17526-2024")</f>
        <v/>
      </c>
      <c r="AB20">
        <f>HYPERLINK("https://klasma.github.io/Logging_0512/klagomålsmail/A 17526-2024 FSC-klagomål mail.docx", "A 17526-2024")</f>
        <v/>
      </c>
      <c r="AC20">
        <f>HYPERLINK("https://klasma.github.io/Logging_0512/tillsyn/A 17526-2024 tillsynsbegäran.docx", "A 17526-2024")</f>
        <v/>
      </c>
      <c r="AD20">
        <f>HYPERLINK("https://klasma.github.io/Logging_0512/tillsynsmail/A 17526-2024 tillsynsbegäran mail.docx", "A 17526-2024")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46306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A 55870-2025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45973</v>
      </c>
      <c r="E22" s="1" t="n">
        <v>46306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4.4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Västlig njurlav
Grynig filtlav</t>
        </is>
      </c>
      <c r="W22">
        <f>HYPERLINK("https://klasma.github.io/Logging_0512/artfynd/A 55870-2025 artfynd.xlsx", "A 55870-2025")</f>
        <v/>
      </c>
      <c r="X22">
        <f>HYPERLINK("https://klasma.github.io/Logging_0512/kartor/A 55870-2025 karta.png", "A 55870-2025")</f>
        <v/>
      </c>
      <c r="Y22">
        <f>HYPERLINK("https://klasma.github.io/Logging_0512/kartor_geotiff/A 55870-2025 georefererad karta.tif", "A 55870-2025")</f>
        <v/>
      </c>
      <c r="AA22">
        <f>HYPERLINK("https://klasma.github.io/Logging_0512/klagomål/A 55870-2025 FSC-klagomål.docx", "A 55870-2025")</f>
        <v/>
      </c>
      <c r="AB22">
        <f>HYPERLINK("https://klasma.github.io/Logging_0512/klagomålsmail/A 55870-2025 FSC-klagomål mail.docx", "A 55870-2025")</f>
        <v/>
      </c>
      <c r="AC22">
        <f>HYPERLINK("https://klasma.github.io/Logging_0512/tillsyn/A 55870-2025 tillsynsbegäran.docx", "A 55870-2025")</f>
        <v/>
      </c>
      <c r="AD22">
        <f>HYPERLINK("https://klasma.github.io/Logging_0512/tillsynsmail/A 55870-2025 tillsynsbegäran mail.docx", "A 55870-2025")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46306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46306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46306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46306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41907-2024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46306</v>
      </c>
      <c r="F29" t="inlineStr">
        <is>
          <t>ÖSTERGÖTLANDS LÄN</t>
        </is>
      </c>
      <c r="G29" t="inlineStr">
        <is>
          <t>YDRE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Grovticka</t>
        </is>
      </c>
      <c r="W29">
        <f>HYPERLINK("https://klasma.github.io/Logging_0512/artfynd/A 41907-2024 artfynd.xlsx", "A 41907-2024")</f>
        <v/>
      </c>
      <c r="X29">
        <f>HYPERLINK("https://klasma.github.io/Logging_0512/kartor/A 41907-2024 karta.png", "A 41907-2024")</f>
        <v/>
      </c>
      <c r="Y29">
        <f>HYPERLINK("https://klasma.github.io/Logging_0512/kartor_geotiff/A 41907-2024 georefererad karta.tif", "A 41907-2024")</f>
        <v/>
      </c>
      <c r="AA29">
        <f>HYPERLINK("https://klasma.github.io/Logging_0512/klagomål/A 41907-2024 FSC-klagomål.docx", "A 41907-2024")</f>
        <v/>
      </c>
      <c r="AB29">
        <f>HYPERLINK("https://klasma.github.io/Logging_0512/klagomålsmail/A 41907-2024 FSC-klagomål mail.docx", "A 41907-2024")</f>
        <v/>
      </c>
      <c r="AC29">
        <f>HYPERLINK("https://klasma.github.io/Logging_0512/tillsyn/A 41907-2024 tillsynsbegäran.docx", "A 41907-2024")</f>
        <v/>
      </c>
      <c r="AD29">
        <f>HYPERLINK("https://klasma.github.io/Logging_0512/tillsynsmail/A 41907-2024 tillsynsbegäran mail.docx", "A 41907-2024")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46306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46306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46306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46306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46306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46306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46306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46306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46306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46306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4248-2026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46045</v>
      </c>
      <c r="E40" s="1" t="n">
        <v>46306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HYPERLINK("https://klasma.github.io/Logging_0512/artfynd/A 4248-2026 artfynd.xlsx", "A 4248-2026")</f>
        <v/>
      </c>
      <c r="X40">
        <f>HYPERLINK("https://klasma.github.io/Logging_0512/kartor/A 4248-2026 karta.png", "A 4248-2026")</f>
        <v/>
      </c>
      <c r="Y40">
        <f>HYPERLINK("https://klasma.github.io/Logging_0512/kartor_geotiff/A 4248-2026 georefererad karta.tif", "A 4248-2026")</f>
        <v/>
      </c>
      <c r="AA40">
        <f>HYPERLINK("https://klasma.github.io/Logging_0512/klagomål/A 4248-2026 FSC-klagomål.docx", "A 4248-2026")</f>
        <v/>
      </c>
      <c r="AB40">
        <f>HYPERLINK("https://klasma.github.io/Logging_0512/klagomålsmail/A 4248-2026 FSC-klagomål mail.docx", "A 4248-2026")</f>
        <v/>
      </c>
      <c r="AC40">
        <f>HYPERLINK("https://klasma.github.io/Logging_0512/tillsyn/A 4248-2026 tillsynsbegäran.docx", "A 4248-2026")</f>
        <v/>
      </c>
      <c r="AD40">
        <f>HYPERLINK("https://klasma.github.io/Logging_0512/tillsynsmail/A 4248-2026 tillsynsbegäran mail.docx", "A 4248-2026")</f>
        <v/>
      </c>
      <c r="AE40">
        <f>HYPERLINK("https://klasma.github.io/Logging_0512/fåglar/A 4248-2026 prioriterade fågelarter.docx", "A 4248-2026")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46306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46306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46306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46306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46306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46306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46306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46306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46306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46306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46306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46306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46306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46306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46306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46306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46306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46306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46306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46306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46306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46306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46306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46306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46306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46306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46306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46306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46306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46306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46306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46306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46306</v>
      </c>
      <c r="F73" t="inlineStr">
        <is>
          <t>ÖSTERGÖTLANDS LÄN</t>
        </is>
      </c>
      <c r="G73" t="inlineStr">
        <is>
          <t>YDRE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69307-2021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44531</v>
      </c>
      <c r="E74" s="1" t="n">
        <v>46306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46306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35209-2023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46306</v>
      </c>
      <c r="F76" t="inlineStr">
        <is>
          <t>ÖSTERGÖTLANDS LÄN</t>
        </is>
      </c>
      <c r="G76" t="inlineStr">
        <is>
          <t>YDRE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51153-2022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46306</v>
      </c>
      <c r="F77" t="inlineStr">
        <is>
          <t>ÖSTERGÖTLANDS LÄN</t>
        </is>
      </c>
      <c r="G77" t="inlineStr">
        <is>
          <t>YDRE</t>
        </is>
      </c>
      <c r="H77" t="inlineStr">
        <is>
          <t>Övriga Aktiebolag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45264</v>
      </c>
      <c r="E78" s="1" t="n">
        <v>46306</v>
      </c>
      <c r="F78" t="inlineStr">
        <is>
          <t>ÖSTERGÖTLANDS LÄN</t>
        </is>
      </c>
      <c r="G78" t="inlineStr">
        <is>
          <t>YDRE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46306</v>
      </c>
      <c r="F79" t="inlineStr">
        <is>
          <t>ÖSTERGÖTLANDS LÄN</t>
        </is>
      </c>
      <c r="G79" t="inlineStr">
        <is>
          <t>YDRE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46306</v>
      </c>
      <c r="F80" t="inlineStr">
        <is>
          <t>ÖSTERGÖTLANDS LÄN</t>
        </is>
      </c>
      <c r="G80" t="inlineStr">
        <is>
          <t>YDRE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45272</v>
      </c>
      <c r="E81" s="1" t="n">
        <v>46306</v>
      </c>
      <c r="F81" t="inlineStr">
        <is>
          <t>ÖSTERGÖTLANDS LÄN</t>
        </is>
      </c>
      <c r="G81" t="inlineStr">
        <is>
          <t>YDRE</t>
        </is>
      </c>
      <c r="H81" t="inlineStr">
        <is>
          <t>Övriga Aktiebolag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46306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45737</v>
      </c>
      <c r="E83" s="1" t="n">
        <v>46306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46306</v>
      </c>
      <c r="F84" t="inlineStr">
        <is>
          <t>ÖSTERGÖTLANDS LÄN</t>
        </is>
      </c>
      <c r="G84" t="inlineStr">
        <is>
          <t>YDRE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46306</v>
      </c>
      <c r="F85" t="inlineStr">
        <is>
          <t>ÖSTERGÖTLANDS LÄN</t>
        </is>
      </c>
      <c r="G85" t="inlineStr">
        <is>
          <t>YDRE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46306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46306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46306</v>
      </c>
      <c r="F88" t="inlineStr">
        <is>
          <t>ÖSTERGÖTLANDS LÄN</t>
        </is>
      </c>
      <c r="G88" t="inlineStr">
        <is>
          <t>YDRE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46306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44994</v>
      </c>
      <c r="E90" s="1" t="n">
        <v>46306</v>
      </c>
      <c r="F90" t="inlineStr">
        <is>
          <t>ÖSTERGÖTLANDS LÄN</t>
        </is>
      </c>
      <c r="G90" t="inlineStr">
        <is>
          <t>YDRE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46306</v>
      </c>
      <c r="F91" t="inlineStr">
        <is>
          <t>ÖSTERGÖTLANDS LÄN</t>
        </is>
      </c>
      <c r="G91" t="inlineStr">
        <is>
          <t>YDRE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46306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46306</v>
      </c>
      <c r="F93" t="inlineStr">
        <is>
          <t>ÖSTERGÖTLANDS LÄN</t>
        </is>
      </c>
      <c r="G93" t="inlineStr">
        <is>
          <t>YDRE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46306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45595</v>
      </c>
      <c r="E95" s="1" t="n">
        <v>46306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57290-2021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44483</v>
      </c>
      <c r="E96" s="1" t="n">
        <v>46306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46306</v>
      </c>
      <c r="F97" t="inlineStr">
        <is>
          <t>ÖSTERGÖTLANDS LÄN</t>
        </is>
      </c>
      <c r="G97" t="inlineStr">
        <is>
          <t>YDRE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45701</v>
      </c>
      <c r="E98" s="1" t="n">
        <v>46306</v>
      </c>
      <c r="F98" t="inlineStr">
        <is>
          <t>ÖSTERGÖTLANDS LÄN</t>
        </is>
      </c>
      <c r="G98" t="inlineStr">
        <is>
          <t>YDRE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46306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46306</v>
      </c>
      <c r="F100" t="inlineStr">
        <is>
          <t>ÖSTERGÖTLANDS LÄN</t>
        </is>
      </c>
      <c r="G100" t="inlineStr">
        <is>
          <t>YDRE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46306</v>
      </c>
      <c r="F101" t="inlineStr">
        <is>
          <t>ÖSTERGÖTLANDS LÄN</t>
        </is>
      </c>
      <c r="G101" t="inlineStr">
        <is>
          <t>YDRE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46306</v>
      </c>
      <c r="F102" t="inlineStr">
        <is>
          <t>ÖSTERGÖTLANDS LÄN</t>
        </is>
      </c>
      <c r="G102" t="inlineStr">
        <is>
          <t>YDRE</t>
        </is>
      </c>
      <c r="I102" t="n">
        <v>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44916</v>
      </c>
      <c r="E103" s="1" t="n">
        <v>46306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46306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46306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45596</v>
      </c>
      <c r="E106" s="1" t="n">
        <v>46306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45085</v>
      </c>
      <c r="E107" s="1" t="n">
        <v>46306</v>
      </c>
      <c r="F107" t="inlineStr">
        <is>
          <t>ÖSTERGÖTLANDS LÄN</t>
        </is>
      </c>
      <c r="G107" t="inlineStr">
        <is>
          <t>YDRE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46306</v>
      </c>
      <c r="F108" t="inlineStr">
        <is>
          <t>ÖSTERGÖTLANDS LÄN</t>
        </is>
      </c>
      <c r="G108" t="inlineStr">
        <is>
          <t>YDRE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45460</v>
      </c>
      <c r="E109" s="1" t="n">
        <v>46306</v>
      </c>
      <c r="F109" t="inlineStr">
        <is>
          <t>ÖSTERGÖTLANDS LÄN</t>
        </is>
      </c>
      <c r="G109" t="inlineStr">
        <is>
          <t>YDRE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46306</v>
      </c>
      <c r="F110" t="inlineStr">
        <is>
          <t>ÖSTERGÖTLANDS LÄN</t>
        </is>
      </c>
      <c r="G110" t="inlineStr">
        <is>
          <t>YDRE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46306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44994</v>
      </c>
      <c r="E112" s="1" t="n">
        <v>46306</v>
      </c>
      <c r="F112" t="inlineStr">
        <is>
          <t>ÖSTERGÖTLANDS LÄN</t>
        </is>
      </c>
      <c r="G112" t="inlineStr">
        <is>
          <t>YDRE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46306</v>
      </c>
      <c r="F113" t="inlineStr">
        <is>
          <t>ÖSTERGÖTLANDS LÄN</t>
        </is>
      </c>
      <c r="G113" t="inlineStr">
        <is>
          <t>YDRE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44635</v>
      </c>
      <c r="E114" s="1" t="n">
        <v>46306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46306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46306</v>
      </c>
      <c r="F116" t="inlineStr">
        <is>
          <t>ÖSTERGÖTLANDS LÄN</t>
        </is>
      </c>
      <c r="G116" t="inlineStr">
        <is>
          <t>YDRE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46306</v>
      </c>
      <c r="F117" t="inlineStr">
        <is>
          <t>ÖSTERGÖTLANDS LÄN</t>
        </is>
      </c>
      <c r="G117" t="inlineStr">
        <is>
          <t>YDRE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68983-2021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46306</v>
      </c>
      <c r="F118" t="inlineStr">
        <is>
          <t>ÖSTERGÖTLANDS LÄN</t>
        </is>
      </c>
      <c r="G118" t="inlineStr">
        <is>
          <t>YDRE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46306</v>
      </c>
      <c r="F119" t="inlineStr">
        <is>
          <t>ÖSTERGÖTLANDS LÄN</t>
        </is>
      </c>
      <c r="G119" t="inlineStr">
        <is>
          <t>YDRE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46306</v>
      </c>
      <c r="F120" t="inlineStr">
        <is>
          <t>ÖSTERGÖTLANDS LÄN</t>
        </is>
      </c>
      <c r="G120" t="inlineStr">
        <is>
          <t>YDRE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50977-2023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46306</v>
      </c>
      <c r="F121" t="inlineStr">
        <is>
          <t>ÖSTERGÖTLANDS LÄN</t>
        </is>
      </c>
      <c r="G121" t="inlineStr">
        <is>
          <t>YDRE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46306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46306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46306</v>
      </c>
      <c r="F124" t="inlineStr">
        <is>
          <t>ÖSTERGÖTLANDS LÄN</t>
        </is>
      </c>
      <c r="G124" t="inlineStr">
        <is>
          <t>YDRE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46306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46306</v>
      </c>
      <c r="F126" t="inlineStr">
        <is>
          <t>ÖSTERGÖTLANDS LÄN</t>
        </is>
      </c>
      <c r="G126" t="inlineStr">
        <is>
          <t>YDRE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46306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45054</v>
      </c>
      <c r="E128" s="1" t="n">
        <v>46306</v>
      </c>
      <c r="F128" t="inlineStr">
        <is>
          <t>ÖSTERGÖTLANDS LÄN</t>
        </is>
      </c>
      <c r="G128" t="inlineStr">
        <is>
          <t>YDRE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46306</v>
      </c>
      <c r="F129" t="inlineStr">
        <is>
          <t>ÖSTERGÖTLANDS LÄN</t>
        </is>
      </c>
      <c r="G129" t="inlineStr">
        <is>
          <t>YDRE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46306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45677</v>
      </c>
      <c r="E131" s="1" t="n">
        <v>46306</v>
      </c>
      <c r="F131" t="inlineStr">
        <is>
          <t>ÖSTERGÖTLANDS LÄN</t>
        </is>
      </c>
      <c r="G131" t="inlineStr">
        <is>
          <t>YDRE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46306</v>
      </c>
      <c r="F132" t="inlineStr">
        <is>
          <t>ÖSTERGÖTLANDS LÄN</t>
        </is>
      </c>
      <c r="G132" t="inlineStr">
        <is>
          <t>YDRE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46306</v>
      </c>
      <c r="F133" t="inlineStr">
        <is>
          <t>ÖSTERGÖTLANDS LÄN</t>
        </is>
      </c>
      <c r="G133" t="inlineStr">
        <is>
          <t>YDRE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46306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46306</v>
      </c>
      <c r="F135" t="inlineStr">
        <is>
          <t>ÖSTERGÖTLANDS LÄN</t>
        </is>
      </c>
      <c r="G135" t="inlineStr">
        <is>
          <t>YDRE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45414</v>
      </c>
      <c r="E136" s="1" t="n">
        <v>46306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46306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46306</v>
      </c>
      <c r="F138" t="inlineStr">
        <is>
          <t>ÖSTERGÖTLANDS LÄN</t>
        </is>
      </c>
      <c r="G138" t="inlineStr">
        <is>
          <t>YDRE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46306</v>
      </c>
      <c r="F139" t="inlineStr">
        <is>
          <t>ÖSTERGÖTLANDS LÄN</t>
        </is>
      </c>
      <c r="G139" t="inlineStr">
        <is>
          <t>YDRE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45647</v>
      </c>
      <c r="E140" s="1" t="n">
        <v>46306</v>
      </c>
      <c r="F140" t="inlineStr">
        <is>
          <t>ÖSTERGÖTLANDS LÄN</t>
        </is>
      </c>
      <c r="G140" t="inlineStr">
        <is>
          <t>YDRE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46306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45649</v>
      </c>
      <c r="E142" s="1" t="n">
        <v>46306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46306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46306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46306</v>
      </c>
      <c r="F145" t="inlineStr">
        <is>
          <t>ÖSTERGÖTLANDS LÄN</t>
        </is>
      </c>
      <c r="G145" t="inlineStr">
        <is>
          <t>YDRE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46306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46306</v>
      </c>
      <c r="F147" t="inlineStr">
        <is>
          <t>ÖSTERGÖTLANDS LÄN</t>
        </is>
      </c>
      <c r="G147" t="inlineStr">
        <is>
          <t>YDRE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45492</v>
      </c>
      <c r="E148" s="1" t="n">
        <v>46306</v>
      </c>
      <c r="F148" t="inlineStr">
        <is>
          <t>ÖSTERGÖTLANDS LÄN</t>
        </is>
      </c>
      <c r="G148" t="inlineStr">
        <is>
          <t>YDRE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45138</v>
      </c>
      <c r="E149" s="1" t="n">
        <v>46306</v>
      </c>
      <c r="F149" t="inlineStr">
        <is>
          <t>ÖSTERGÖTLANDS LÄN</t>
        </is>
      </c>
      <c r="G149" t="inlineStr">
        <is>
          <t>YDRE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46306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46306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46306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62815-2021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44504</v>
      </c>
      <c r="E153" s="1" t="n">
        <v>46306</v>
      </c>
      <c r="F153" t="inlineStr">
        <is>
          <t>ÖSTERGÖTLANDS LÄN</t>
        </is>
      </c>
      <c r="G153" t="inlineStr">
        <is>
          <t>YDRE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45666</v>
      </c>
      <c r="E154" s="1" t="n">
        <v>46306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46306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46306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46306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46306</v>
      </c>
      <c r="F158" t="inlineStr">
        <is>
          <t>ÖSTERGÖTLANDS LÄN</t>
        </is>
      </c>
      <c r="G158" t="inlineStr">
        <is>
          <t>YDRE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46306</v>
      </c>
      <c r="F159" t="inlineStr">
        <is>
          <t>ÖSTERGÖTLANDS LÄN</t>
        </is>
      </c>
      <c r="G159" t="inlineStr">
        <is>
          <t>YDRE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46306</v>
      </c>
      <c r="F160" t="inlineStr">
        <is>
          <t>ÖSTERGÖTLANDS LÄN</t>
        </is>
      </c>
      <c r="G160" t="inlineStr">
        <is>
          <t>YDRE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46306</v>
      </c>
      <c r="F161" t="inlineStr">
        <is>
          <t>ÖSTERGÖTLANDS LÄN</t>
        </is>
      </c>
      <c r="G161" t="inlineStr">
        <is>
          <t>YDRE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44651</v>
      </c>
      <c r="E162" s="1" t="n">
        <v>46306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62485-2021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46306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46306</v>
      </c>
      <c r="F164" t="inlineStr">
        <is>
          <t>ÖSTERGÖTLANDS LÄN</t>
        </is>
      </c>
      <c r="G164" t="inlineStr">
        <is>
          <t>YDRE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44624</v>
      </c>
      <c r="E165" s="1" t="n">
        <v>46306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45475</v>
      </c>
      <c r="E166" s="1" t="n">
        <v>46306</v>
      </c>
      <c r="F166" t="inlineStr">
        <is>
          <t>ÖSTERGÖTLANDS LÄN</t>
        </is>
      </c>
      <c r="G166" t="inlineStr">
        <is>
          <t>YDRE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46306</v>
      </c>
      <c r="F167" t="inlineStr">
        <is>
          <t>ÖSTERGÖTLANDS LÄN</t>
        </is>
      </c>
      <c r="G167" t="inlineStr">
        <is>
          <t>YDRE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45510</v>
      </c>
      <c r="E168" s="1" t="n">
        <v>46306</v>
      </c>
      <c r="F168" t="inlineStr">
        <is>
          <t>ÖSTERGÖTLANDS LÄN</t>
        </is>
      </c>
      <c r="G168" t="inlineStr">
        <is>
          <t>YDRE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45714</v>
      </c>
      <c r="E169" s="1" t="n">
        <v>46306</v>
      </c>
      <c r="F169" t="inlineStr">
        <is>
          <t>ÖSTERGÖTLANDS LÄN</t>
        </is>
      </c>
      <c r="G169" t="inlineStr">
        <is>
          <t>YDRE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46306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46306</v>
      </c>
      <c r="F171" t="inlineStr">
        <is>
          <t>ÖSTERGÖTLANDS LÄN</t>
        </is>
      </c>
      <c r="G171" t="inlineStr">
        <is>
          <t>YDRE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46086-2025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45924</v>
      </c>
      <c r="E172" s="1" t="n">
        <v>46306</v>
      </c>
      <c r="F172" t="inlineStr">
        <is>
          <t>ÖSTERGÖTLANDS LÄN</t>
        </is>
      </c>
      <c r="G172" t="inlineStr">
        <is>
          <t>YDRE</t>
        </is>
      </c>
      <c r="H172" t="inlineStr">
        <is>
          <t>Övriga Aktiebolag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46306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46306</v>
      </c>
      <c r="F174" t="inlineStr">
        <is>
          <t>ÖSTERGÖTLANDS LÄN</t>
        </is>
      </c>
      <c r="G174" t="inlineStr">
        <is>
          <t>YDRE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46306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18.2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20540-2024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45436</v>
      </c>
      <c r="E176" s="1" t="n">
        <v>46306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46306</v>
      </c>
      <c r="F177" t="inlineStr">
        <is>
          <t>ÖSTERGÖTLANDS LÄN</t>
        </is>
      </c>
      <c r="G177" t="inlineStr">
        <is>
          <t>YDRE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44606</v>
      </c>
      <c r="E178" s="1" t="n">
        <v>46306</v>
      </c>
      <c r="F178" t="inlineStr">
        <is>
          <t>ÖSTERGÖTLANDS LÄN</t>
        </is>
      </c>
      <c r="G178" t="inlineStr">
        <is>
          <t>YDRE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46306</v>
      </c>
      <c r="F179" t="inlineStr">
        <is>
          <t>ÖSTERGÖTLANDS LÄN</t>
        </is>
      </c>
      <c r="G179" t="inlineStr">
        <is>
          <t>YDRE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46306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45796</v>
      </c>
      <c r="E181" s="1" t="n">
        <v>46306</v>
      </c>
      <c r="F181" t="inlineStr">
        <is>
          <t>ÖSTERGÖTLANDS LÄN</t>
        </is>
      </c>
      <c r="G181" t="inlineStr">
        <is>
          <t>YDRE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46306</v>
      </c>
      <c r="F182" t="inlineStr">
        <is>
          <t>ÖSTERGÖTLANDS LÄN</t>
        </is>
      </c>
      <c r="G182" t="inlineStr">
        <is>
          <t>YDRE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45796</v>
      </c>
      <c r="E183" s="1" t="n">
        <v>46306</v>
      </c>
      <c r="F183" t="inlineStr">
        <is>
          <t>ÖSTERGÖTLANDS LÄN</t>
        </is>
      </c>
      <c r="G183" t="inlineStr">
        <is>
          <t>YDRE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47515-2025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46306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46306</v>
      </c>
      <c r="F185" t="inlineStr">
        <is>
          <t>ÖSTERGÖTLANDS LÄN</t>
        </is>
      </c>
      <c r="G185" t="inlineStr">
        <is>
          <t>YDRE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46306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46306</v>
      </c>
      <c r="F187" t="inlineStr">
        <is>
          <t>ÖSTERGÖTLANDS LÄN</t>
        </is>
      </c>
      <c r="G187" t="inlineStr">
        <is>
          <t>YDRE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45932</v>
      </c>
      <c r="E188" s="1" t="n">
        <v>46306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59296-2021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44490</v>
      </c>
      <c r="E189" s="1" t="n">
        <v>46306</v>
      </c>
      <c r="F189" t="inlineStr">
        <is>
          <t>ÖSTERGÖTLANDS LÄN</t>
        </is>
      </c>
      <c r="G189" t="inlineStr">
        <is>
          <t>YDRE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46306</v>
      </c>
      <c r="F190" t="inlineStr">
        <is>
          <t>ÖSTERGÖTLANDS LÄN</t>
        </is>
      </c>
      <c r="G190" t="inlineStr">
        <is>
          <t>YDRE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46306</v>
      </c>
      <c r="F191" t="inlineStr">
        <is>
          <t>ÖSTERGÖTLANDS LÄN</t>
        </is>
      </c>
      <c r="G191" t="inlineStr">
        <is>
          <t>YDRE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45449-2023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45194</v>
      </c>
      <c r="E192" s="1" t="n">
        <v>46306</v>
      </c>
      <c r="F192" t="inlineStr">
        <is>
          <t>ÖSTERGÖTLANDS LÄN</t>
        </is>
      </c>
      <c r="G192" t="inlineStr">
        <is>
          <t>YDRE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14101-2022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44651</v>
      </c>
      <c r="E193" s="1" t="n">
        <v>46306</v>
      </c>
      <c r="F193" t="inlineStr">
        <is>
          <t>ÖSTERGÖTLANDS LÄN</t>
        </is>
      </c>
      <c r="G193" t="inlineStr">
        <is>
          <t>YDRE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46306</v>
      </c>
      <c r="F194" t="inlineStr">
        <is>
          <t>ÖSTERGÖTLANDS LÄN</t>
        </is>
      </c>
      <c r="G194" t="inlineStr">
        <is>
          <t>YDRE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46306</v>
      </c>
      <c r="F195" t="inlineStr">
        <is>
          <t>ÖSTERGÖTLANDS LÄN</t>
        </is>
      </c>
      <c r="G195" t="inlineStr">
        <is>
          <t>YDRE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46306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46306</v>
      </c>
      <c r="F197" t="inlineStr">
        <is>
          <t>ÖSTERGÖTLANDS LÄN</t>
        </is>
      </c>
      <c r="G197" t="inlineStr">
        <is>
          <t>YDRE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46306</v>
      </c>
      <c r="F198" t="inlineStr">
        <is>
          <t>ÖSTERGÖTLANDS LÄN</t>
        </is>
      </c>
      <c r="G198" t="inlineStr">
        <is>
          <t>YDRE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46306</v>
      </c>
      <c r="F199" t="inlineStr">
        <is>
          <t>ÖSTERGÖTLANDS LÄN</t>
        </is>
      </c>
      <c r="G199" t="inlineStr">
        <is>
          <t>YDRE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46306</v>
      </c>
      <c r="F200" t="inlineStr">
        <is>
          <t>ÖSTERGÖTLANDS LÄN</t>
        </is>
      </c>
      <c r="G200" t="inlineStr">
        <is>
          <t>YDRE</t>
        </is>
      </c>
      <c r="H200" t="inlineStr">
        <is>
          <t>Övriga Aktiebolag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46306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46306</v>
      </c>
      <c r="F202" t="inlineStr">
        <is>
          <t>ÖSTERGÖTLANDS LÄN</t>
        </is>
      </c>
      <c r="G202" t="inlineStr">
        <is>
          <t>YDRE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46306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45600</v>
      </c>
      <c r="E204" s="1" t="n">
        <v>46306</v>
      </c>
      <c r="F204" t="inlineStr">
        <is>
          <t>ÖSTERGÖTLANDS LÄN</t>
        </is>
      </c>
      <c r="G204" t="inlineStr">
        <is>
          <t>YDRE</t>
        </is>
      </c>
      <c r="H204" t="inlineStr">
        <is>
          <t>Kyrkan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44789</v>
      </c>
      <c r="E205" s="1" t="n">
        <v>46306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44576</v>
      </c>
      <c r="E206" s="1" t="n">
        <v>46306</v>
      </c>
      <c r="F206" t="inlineStr">
        <is>
          <t>ÖSTERGÖTLANDS LÄN</t>
        </is>
      </c>
      <c r="G206" t="inlineStr">
        <is>
          <t>YDRE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46306</v>
      </c>
      <c r="F207" t="inlineStr">
        <is>
          <t>ÖSTERGÖTLANDS LÄN</t>
        </is>
      </c>
      <c r="G207" t="inlineStr">
        <is>
          <t>YDRE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45434</v>
      </c>
      <c r="E208" s="1" t="n">
        <v>46306</v>
      </c>
      <c r="F208" t="inlineStr">
        <is>
          <t>ÖSTERGÖTLANDS LÄN</t>
        </is>
      </c>
      <c r="G208" t="inlineStr">
        <is>
          <t>YDRE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46306</v>
      </c>
      <c r="F209" t="inlineStr">
        <is>
          <t>ÖSTERGÖTLANDS LÄN</t>
        </is>
      </c>
      <c r="G209" t="inlineStr">
        <is>
          <t>YDRE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46306</v>
      </c>
      <c r="F210" t="inlineStr">
        <is>
          <t>ÖSTERGÖTLANDS LÄN</t>
        </is>
      </c>
      <c r="G210" t="inlineStr">
        <is>
          <t>YDRE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46306</v>
      </c>
      <c r="F211" t="inlineStr">
        <is>
          <t>ÖSTERGÖTLANDS LÄN</t>
        </is>
      </c>
      <c r="G211" t="inlineStr">
        <is>
          <t>YDRE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46306</v>
      </c>
      <c r="F212" t="inlineStr">
        <is>
          <t>ÖSTERGÖTLANDS LÄN</t>
        </is>
      </c>
      <c r="G212" t="inlineStr">
        <is>
          <t>YDRE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46306</v>
      </c>
      <c r="F213" t="inlineStr">
        <is>
          <t>ÖSTERGÖTLANDS LÄN</t>
        </is>
      </c>
      <c r="G213" t="inlineStr">
        <is>
          <t>YDRE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46306</v>
      </c>
      <c r="F214" t="inlineStr">
        <is>
          <t>ÖSTERGÖTLANDS LÄN</t>
        </is>
      </c>
      <c r="G214" t="inlineStr">
        <is>
          <t>YDRE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46306</v>
      </c>
      <c r="F215" t="inlineStr">
        <is>
          <t>ÖSTERGÖTLANDS LÄN</t>
        </is>
      </c>
      <c r="G215" t="inlineStr">
        <is>
          <t>YDRE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46306</v>
      </c>
      <c r="F216" t="inlineStr">
        <is>
          <t>ÖSTERGÖTLANDS LÄN</t>
        </is>
      </c>
      <c r="G216" t="inlineStr">
        <is>
          <t>YDRE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46306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46306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46306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46306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46306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46306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46306</v>
      </c>
      <c r="F223" t="inlineStr">
        <is>
          <t>ÖSTERGÖTLANDS LÄN</t>
        </is>
      </c>
      <c r="G223" t="inlineStr">
        <is>
          <t>YDRE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46306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46306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46306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46306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46306</v>
      </c>
      <c r="F228" t="inlineStr">
        <is>
          <t>ÖSTERGÖTLANDS LÄN</t>
        </is>
      </c>
      <c r="G228" t="inlineStr">
        <is>
          <t>YDRE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46306</v>
      </c>
      <c r="F229" t="inlineStr">
        <is>
          <t>ÖSTERGÖTLANDS LÄN</t>
        </is>
      </c>
      <c r="G229" t="inlineStr">
        <is>
          <t>YDRE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46306</v>
      </c>
      <c r="F230" t="inlineStr">
        <is>
          <t>ÖSTERGÖTLANDS LÄN</t>
        </is>
      </c>
      <c r="G230" t="inlineStr">
        <is>
          <t>YDRE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46306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46306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46306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46306</v>
      </c>
      <c r="F234" t="inlineStr">
        <is>
          <t>ÖSTERGÖTLANDS LÄN</t>
        </is>
      </c>
      <c r="G234" t="inlineStr">
        <is>
          <t>YDRE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46306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32635-2025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45838</v>
      </c>
      <c r="E236" s="1" t="n">
        <v>46306</v>
      </c>
      <c r="F236" t="inlineStr">
        <is>
          <t>ÖSTERGÖTLANDS LÄN</t>
        </is>
      </c>
      <c r="G236" t="inlineStr">
        <is>
          <t>YDRE</t>
        </is>
      </c>
      <c r="H236" t="inlineStr">
        <is>
          <t>Övriga Aktiebolag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46306</v>
      </c>
      <c r="F237" t="inlineStr">
        <is>
          <t>ÖSTERGÖTLANDS LÄN</t>
        </is>
      </c>
      <c r="G237" t="inlineStr">
        <is>
          <t>YDRE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17309-2024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45414</v>
      </c>
      <c r="E238" s="1" t="n">
        <v>46306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9155-2025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45714</v>
      </c>
      <c r="E239" s="1" t="n">
        <v>46306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46306</v>
      </c>
      <c r="F240" t="inlineStr">
        <is>
          <t>ÖSTERGÖTLANDS LÄN</t>
        </is>
      </c>
      <c r="G240" t="inlineStr">
        <is>
          <t>YDRE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46306</v>
      </c>
      <c r="F241" t="inlineStr">
        <is>
          <t>ÖSTERGÖTLANDS LÄN</t>
        </is>
      </c>
      <c r="G241" t="inlineStr">
        <is>
          <t>YDRE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46306</v>
      </c>
      <c r="F242" t="inlineStr">
        <is>
          <t>ÖSTERGÖTLANDS LÄN</t>
        </is>
      </c>
      <c r="G242" t="inlineStr">
        <is>
          <t>YDRE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45810</v>
      </c>
      <c r="E243" s="1" t="n">
        <v>46306</v>
      </c>
      <c r="F243" t="inlineStr">
        <is>
          <t>ÖSTERGÖTLANDS LÄN</t>
        </is>
      </c>
      <c r="G243" t="inlineStr">
        <is>
          <t>YDRE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46306</v>
      </c>
      <c r="F244" t="inlineStr">
        <is>
          <t>ÖSTERGÖTLANDS LÄN</t>
        </is>
      </c>
      <c r="G244" t="inlineStr">
        <is>
          <t>YDRE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45016</v>
      </c>
      <c r="E245" s="1" t="n">
        <v>46306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45278</v>
      </c>
      <c r="E246" s="1" t="n">
        <v>46306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45634</v>
      </c>
      <c r="E247" s="1" t="n">
        <v>46306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46306</v>
      </c>
      <c r="F248" t="inlineStr">
        <is>
          <t>ÖSTERGÖTLANDS LÄN</t>
        </is>
      </c>
      <c r="G248" t="inlineStr">
        <is>
          <t>YDRE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46306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46306</v>
      </c>
      <c r="F250" t="inlineStr">
        <is>
          <t>ÖSTERGÖTLANDS LÄN</t>
        </is>
      </c>
      <c r="G250" t="inlineStr">
        <is>
          <t>YDRE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44816</v>
      </c>
      <c r="E251" s="1" t="n">
        <v>46306</v>
      </c>
      <c r="F251" t="inlineStr">
        <is>
          <t>ÖSTERGÖTLANDS LÄN</t>
        </is>
      </c>
      <c r="G251" t="inlineStr">
        <is>
          <t>YDRE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45769</v>
      </c>
      <c r="E252" s="1" t="n">
        <v>46306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46306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46306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46306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44562</v>
      </c>
      <c r="E256" s="1" t="n">
        <v>46306</v>
      </c>
      <c r="F256" t="inlineStr">
        <is>
          <t>ÖSTERGÖTLANDS LÄN</t>
        </is>
      </c>
      <c r="G256" t="inlineStr">
        <is>
          <t>YDRE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46306</v>
      </c>
      <c r="F257" t="inlineStr">
        <is>
          <t>ÖSTERGÖTLANDS LÄN</t>
        </is>
      </c>
      <c r="G257" t="inlineStr">
        <is>
          <t>YDRE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45091</v>
      </c>
      <c r="E258" s="1" t="n">
        <v>46306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61942-2021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44502</v>
      </c>
      <c r="E259" s="1" t="n">
        <v>46306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45302</v>
      </c>
      <c r="E260" s="1" t="n">
        <v>46306</v>
      </c>
      <c r="F260" t="inlineStr">
        <is>
          <t>ÖSTERGÖTLANDS LÄN</t>
        </is>
      </c>
      <c r="G260" t="inlineStr">
        <is>
          <t>YDRE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46306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46306</v>
      </c>
      <c r="F262" t="inlineStr">
        <is>
          <t>ÖSTERGÖTLANDS LÄN</t>
        </is>
      </c>
      <c r="G262" t="inlineStr">
        <is>
          <t>YDRE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46306</v>
      </c>
      <c r="F263" t="inlineStr">
        <is>
          <t>ÖSTERGÖTLANDS LÄN</t>
        </is>
      </c>
      <c r="G263" t="inlineStr">
        <is>
          <t>YDRE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46306</v>
      </c>
      <c r="F264" t="inlineStr">
        <is>
          <t>ÖSTERGÖTLANDS LÄN</t>
        </is>
      </c>
      <c r="G264" t="inlineStr">
        <is>
          <t>YDRE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46306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56900-2022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44894</v>
      </c>
      <c r="E266" s="1" t="n">
        <v>46306</v>
      </c>
      <c r="F266" t="inlineStr">
        <is>
          <t>ÖSTERGÖTLANDS LÄN</t>
        </is>
      </c>
      <c r="G266" t="inlineStr">
        <is>
          <t>YDRE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46306</v>
      </c>
      <c r="F267" t="inlineStr">
        <is>
          <t>ÖSTERGÖTLANDS LÄN</t>
        </is>
      </c>
      <c r="G267" t="inlineStr">
        <is>
          <t>YDRE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46306</v>
      </c>
      <c r="F268" t="inlineStr">
        <is>
          <t>ÖSTERGÖTLANDS LÄN</t>
        </is>
      </c>
      <c r="G268" t="inlineStr">
        <is>
          <t>YDRE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46306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46306</v>
      </c>
      <c r="F270" t="inlineStr">
        <is>
          <t>ÖSTERGÖTLANDS LÄN</t>
        </is>
      </c>
      <c r="G270" t="inlineStr">
        <is>
          <t>YDRE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46306</v>
      </c>
      <c r="F271" t="inlineStr">
        <is>
          <t>ÖSTERGÖTLANDS LÄN</t>
        </is>
      </c>
      <c r="G271" t="inlineStr">
        <is>
          <t>YDRE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46306</v>
      </c>
      <c r="F272" t="inlineStr">
        <is>
          <t>ÖSTERGÖTLANDS LÄN</t>
        </is>
      </c>
      <c r="G272" t="inlineStr">
        <is>
          <t>YDRE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46306</v>
      </c>
      <c r="F273" t="inlineStr">
        <is>
          <t>ÖSTERGÖTLANDS LÄN</t>
        </is>
      </c>
      <c r="G273" t="inlineStr">
        <is>
          <t>YDRE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46306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71524-2021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44538</v>
      </c>
      <c r="E275" s="1" t="n">
        <v>46306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44987</v>
      </c>
      <c r="E276" s="1" t="n">
        <v>46306</v>
      </c>
      <c r="F276" t="inlineStr">
        <is>
          <t>ÖSTERGÖTLANDS LÄN</t>
        </is>
      </c>
      <c r="G276" t="inlineStr">
        <is>
          <t>YDRE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46306</v>
      </c>
      <c r="F277" t="inlineStr">
        <is>
          <t>ÖSTERGÖTLANDS LÄN</t>
        </is>
      </c>
      <c r="G277" t="inlineStr">
        <is>
          <t>YDRE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45634</v>
      </c>
      <c r="E278" s="1" t="n">
        <v>46306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46306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46306</v>
      </c>
      <c r="F280" t="inlineStr">
        <is>
          <t>ÖSTERGÖTLANDS LÄN</t>
        </is>
      </c>
      <c r="G280" t="inlineStr">
        <is>
          <t>YDRE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45406</v>
      </c>
      <c r="E281" s="1" t="n">
        <v>46306</v>
      </c>
      <c r="F281" t="inlineStr">
        <is>
          <t>ÖSTERGÖTLANDS LÄN</t>
        </is>
      </c>
      <c r="G281" t="inlineStr">
        <is>
          <t>YDRE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46306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46306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46306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46116</v>
      </c>
      <c r="E285" s="1" t="n">
        <v>46306</v>
      </c>
      <c r="F285" t="inlineStr">
        <is>
          <t>ÖSTERGÖTLANDS LÄN</t>
        </is>
      </c>
      <c r="G285" t="inlineStr">
        <is>
          <t>YDRE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46306</v>
      </c>
      <c r="F286" t="inlineStr">
        <is>
          <t>ÖSTERGÖTLANDS LÄN</t>
        </is>
      </c>
      <c r="G286" t="inlineStr">
        <is>
          <t>YDRE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46306</v>
      </c>
      <c r="F287" t="inlineStr">
        <is>
          <t>ÖSTERGÖTLANDS LÄN</t>
        </is>
      </c>
      <c r="G287" t="inlineStr">
        <is>
          <t>YDRE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46306</v>
      </c>
      <c r="F288" t="inlineStr">
        <is>
          <t>ÖSTERGÖTLANDS LÄN</t>
        </is>
      </c>
      <c r="G288" t="inlineStr">
        <is>
          <t>YDRE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46306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46306</v>
      </c>
      <c r="F290" t="inlineStr">
        <is>
          <t>ÖSTERGÖTLANDS LÄN</t>
        </is>
      </c>
      <c r="G290" t="inlineStr">
        <is>
          <t>YDRE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46306</v>
      </c>
      <c r="F291" t="inlineStr">
        <is>
          <t>ÖSTERGÖTLANDS LÄN</t>
        </is>
      </c>
      <c r="G291" t="inlineStr">
        <is>
          <t>YDRE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46306</v>
      </c>
      <c r="F292" t="inlineStr">
        <is>
          <t>ÖSTERGÖTLANDS LÄN</t>
        </is>
      </c>
      <c r="G292" t="inlineStr">
        <is>
          <t>YDRE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46306</v>
      </c>
      <c r="F293" t="inlineStr">
        <is>
          <t>ÖSTERGÖTLANDS LÄN</t>
        </is>
      </c>
      <c r="G293" t="inlineStr">
        <is>
          <t>YDRE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46306</v>
      </c>
      <c r="F294" t="inlineStr">
        <is>
          <t>ÖSTERGÖTLANDS LÄN</t>
        </is>
      </c>
      <c r="G294" t="inlineStr">
        <is>
          <t>YDRE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46306</v>
      </c>
      <c r="F295" t="inlineStr">
        <is>
          <t>ÖSTERGÖTLANDS LÄN</t>
        </is>
      </c>
      <c r="G295" t="inlineStr">
        <is>
          <t>YDRE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46306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46306</v>
      </c>
      <c r="F297" t="inlineStr">
        <is>
          <t>ÖSTERGÖTLANDS LÄN</t>
        </is>
      </c>
      <c r="G297" t="inlineStr">
        <is>
          <t>YDRE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45257</v>
      </c>
      <c r="E298" s="1" t="n">
        <v>46306</v>
      </c>
      <c r="F298" t="inlineStr">
        <is>
          <t>ÖSTERGÖTLANDS LÄN</t>
        </is>
      </c>
      <c r="G298" t="inlineStr">
        <is>
          <t>YDRE</t>
        </is>
      </c>
      <c r="I298" t="n">
        <v>17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44592</v>
      </c>
      <c r="E299" s="1" t="n">
        <v>46306</v>
      </c>
      <c r="F299" t="inlineStr">
        <is>
          <t>ÖSTERGÖTLANDS LÄN</t>
        </is>
      </c>
      <c r="G299" t="inlineStr">
        <is>
          <t>YDRE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46306</v>
      </c>
      <c r="F300" t="inlineStr">
        <is>
          <t>ÖSTERGÖTLANDS LÄN</t>
        </is>
      </c>
      <c r="G300" t="inlineStr">
        <is>
          <t>YDRE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46306</v>
      </c>
      <c r="F301" t="inlineStr">
        <is>
          <t>ÖSTERGÖTLANDS LÄN</t>
        </is>
      </c>
      <c r="G301" t="inlineStr">
        <is>
          <t>YDRE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46306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46306</v>
      </c>
      <c r="F303" t="inlineStr">
        <is>
          <t>ÖSTERGÖTLANDS LÄN</t>
        </is>
      </c>
      <c r="G303" t="inlineStr">
        <is>
          <t>YDRE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46306</v>
      </c>
      <c r="F304" t="inlineStr">
        <is>
          <t>ÖSTERGÖTLANDS LÄN</t>
        </is>
      </c>
      <c r="G304" t="inlineStr">
        <is>
          <t>YDRE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45841</v>
      </c>
      <c r="E305" s="1" t="n">
        <v>46306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46306</v>
      </c>
      <c r="F306" t="inlineStr">
        <is>
          <t>ÖSTERGÖTLANDS LÄN</t>
        </is>
      </c>
      <c r="G306" t="inlineStr">
        <is>
          <t>YDRE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46306</v>
      </c>
      <c r="F307" t="inlineStr">
        <is>
          <t>ÖSTERGÖTLANDS LÄN</t>
        </is>
      </c>
      <c r="G307" t="inlineStr">
        <is>
          <t>YDRE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46306</v>
      </c>
      <c r="F308" t="inlineStr">
        <is>
          <t>ÖSTERGÖTLANDS LÄN</t>
        </is>
      </c>
      <c r="G308" t="inlineStr">
        <is>
          <t>YDRE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46306</v>
      </c>
      <c r="F309" t="inlineStr">
        <is>
          <t>ÖSTERGÖTLANDS LÄN</t>
        </is>
      </c>
      <c r="G309" t="inlineStr">
        <is>
          <t>YDRE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46306</v>
      </c>
      <c r="F310" t="inlineStr">
        <is>
          <t>ÖSTERGÖTLANDS LÄN</t>
        </is>
      </c>
      <c r="G310" t="inlineStr">
        <is>
          <t>YDRE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45871</v>
      </c>
      <c r="E311" s="1" t="n">
        <v>46306</v>
      </c>
      <c r="F311" t="inlineStr">
        <is>
          <t>ÖSTERGÖTLANDS LÄN</t>
        </is>
      </c>
      <c r="G311" t="inlineStr">
        <is>
          <t>YDRE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63264-2025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46306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46306</v>
      </c>
      <c r="F313" t="inlineStr">
        <is>
          <t>ÖSTERGÖTLANDS LÄN</t>
        </is>
      </c>
      <c r="G313" t="inlineStr">
        <is>
          <t>YDRE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46306</v>
      </c>
      <c r="F314" t="inlineStr">
        <is>
          <t>ÖSTERGÖTLANDS LÄN</t>
        </is>
      </c>
      <c r="G314" t="inlineStr">
        <is>
          <t>YDRE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44600</v>
      </c>
      <c r="E315" s="1" t="n">
        <v>46306</v>
      </c>
      <c r="F315" t="inlineStr">
        <is>
          <t>ÖSTERGÖTLANDS LÄN</t>
        </is>
      </c>
      <c r="G315" t="inlineStr">
        <is>
          <t>YDRE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45428</v>
      </c>
      <c r="E316" s="1" t="n">
        <v>46306</v>
      </c>
      <c r="F316" t="inlineStr">
        <is>
          <t>ÖSTERGÖTLANDS LÄN</t>
        </is>
      </c>
      <c r="G316" t="inlineStr">
        <is>
          <t>YDRE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46306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45793</v>
      </c>
      <c r="E318" s="1" t="n">
        <v>46306</v>
      </c>
      <c r="F318" t="inlineStr">
        <is>
          <t>ÖSTERGÖTLANDS LÄN</t>
        </is>
      </c>
      <c r="G318" t="inlineStr">
        <is>
          <t>YDRE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46306</v>
      </c>
      <c r="F319" t="inlineStr">
        <is>
          <t>ÖSTERGÖTLANDS LÄN</t>
        </is>
      </c>
      <c r="G319" t="inlineStr">
        <is>
          <t>YDRE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46306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63536-2025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46306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46306</v>
      </c>
      <c r="F322" t="inlineStr">
        <is>
          <t>ÖSTERGÖTLANDS LÄN</t>
        </is>
      </c>
      <c r="G322" t="inlineStr">
        <is>
          <t>YDRE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46306</v>
      </c>
      <c r="F323" t="inlineStr">
        <is>
          <t>ÖSTERGÖTLANDS LÄN</t>
        </is>
      </c>
      <c r="G323" t="inlineStr">
        <is>
          <t>YDRE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63998-2025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46306</v>
      </c>
      <c r="F324" t="inlineStr">
        <is>
          <t>ÖSTERGÖTLANDS LÄN</t>
        </is>
      </c>
      <c r="G324" t="inlineStr">
        <is>
          <t>YDRE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56323-2021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46306</v>
      </c>
      <c r="F325" t="inlineStr">
        <is>
          <t>ÖSTERGÖTLANDS LÄN</t>
        </is>
      </c>
      <c r="G325" t="inlineStr">
        <is>
          <t>YDRE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  <c r="Z325">
        <f>HYPERLINK("https://klasma.github.io/Logging_0512/knärot/A 56323-2021 karta knärot.png", "A 56323-2021")</f>
        <v/>
      </c>
      <c r="AA325">
        <f>HYPERLINK("https://klasma.github.io/Logging_0512/klagomål/A 56323-2021 FSC-klagomål.docx", "A 56323-2021")</f>
        <v/>
      </c>
      <c r="AB325">
        <f>HYPERLINK("https://klasma.github.io/Logging_0512/klagomålsmail/A 56323-2021 FSC-klagomål mail.docx", "A 56323-2021")</f>
        <v/>
      </c>
      <c r="AC325">
        <f>HYPERLINK("https://klasma.github.io/Logging_0512/tillsyn/A 56323-2021 tillsynsbegäran.docx", "A 56323-2021")</f>
        <v/>
      </c>
      <c r="AD325">
        <f>HYPERLINK("https://klasma.github.io/Logging_0512/tillsynsmail/A 56323-2021 tillsynsbegäran mail.docx", "A 56323-2021")</f>
        <v/>
      </c>
    </row>
    <row r="326" ht="15" customHeight="1">
      <c r="A326" t="inlineStr">
        <is>
          <t>A 44505-2025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46306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61636-2021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46306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44536</v>
      </c>
      <c r="E328" s="1" t="n">
        <v>46306</v>
      </c>
      <c r="F328" t="inlineStr">
        <is>
          <t>ÖSTERGÖTLANDS LÄN</t>
        </is>
      </c>
      <c r="G328" t="inlineStr">
        <is>
          <t>YDRE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46306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46306</v>
      </c>
      <c r="F330" t="inlineStr">
        <is>
          <t>ÖSTERGÖTLANDS LÄN</t>
        </is>
      </c>
      <c r="G330" t="inlineStr">
        <is>
          <t>YDRE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45616</v>
      </c>
      <c r="E331" s="1" t="n">
        <v>46306</v>
      </c>
      <c r="F331" t="inlineStr">
        <is>
          <t>ÖSTERGÖTLANDS LÄN</t>
        </is>
      </c>
      <c r="G331" t="inlineStr">
        <is>
          <t>YDRE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4170-2026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46306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46306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46306</v>
      </c>
      <c r="F334" t="inlineStr">
        <is>
          <t>ÖSTERGÖTLANDS LÄN</t>
        </is>
      </c>
      <c r="G334" t="inlineStr">
        <is>
          <t>YDRE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46306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46306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46306</v>
      </c>
      <c r="F337" t="inlineStr">
        <is>
          <t>ÖSTERGÖTLANDS LÄN</t>
        </is>
      </c>
      <c r="G337" t="inlineStr">
        <is>
          <t>YDRE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46306</v>
      </c>
      <c r="F338" t="inlineStr">
        <is>
          <t>ÖSTERGÖTLANDS LÄN</t>
        </is>
      </c>
      <c r="G338" t="inlineStr">
        <is>
          <t>YDRE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6293-2026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46055</v>
      </c>
      <c r="E339" s="1" t="n">
        <v>46306</v>
      </c>
      <c r="F339" t="inlineStr">
        <is>
          <t>ÖSTERGÖTLANDS LÄN</t>
        </is>
      </c>
      <c r="G339" t="inlineStr">
        <is>
          <t>YDRE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46058</v>
      </c>
      <c r="E340" s="1" t="n">
        <v>46306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46306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46306</v>
      </c>
      <c r="F342" t="inlineStr">
        <is>
          <t>ÖSTERGÖTLANDS LÄN</t>
        </is>
      </c>
      <c r="G342" t="inlineStr">
        <is>
          <t>YDRE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21063-2026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46306</v>
      </c>
      <c r="F343" t="inlineStr">
        <is>
          <t>ÖSTERGÖTLANDS LÄN</t>
        </is>
      </c>
      <c r="G343" t="inlineStr">
        <is>
          <t>YDRE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21069-2026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46306</v>
      </c>
      <c r="F344" t="inlineStr">
        <is>
          <t>ÖSTERGÖTLANDS LÄN</t>
        </is>
      </c>
      <c r="G344" t="inlineStr">
        <is>
          <t>YDRE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46306</v>
      </c>
      <c r="F345" t="inlineStr">
        <is>
          <t>ÖSTERGÖTLANDS LÄN</t>
        </is>
      </c>
      <c r="G345" t="inlineStr">
        <is>
          <t>YDRE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46306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46146</v>
      </c>
      <c r="E347" s="1" t="n">
        <v>46306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46306</v>
      </c>
      <c r="F348" t="inlineStr">
        <is>
          <t>ÖSTERGÖTLANDS LÄN</t>
        </is>
      </c>
      <c r="G348" t="inlineStr">
        <is>
          <t>YDRE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46306</v>
      </c>
      <c r="F349" t="inlineStr">
        <is>
          <t>ÖSTERGÖTLANDS LÄN</t>
        </is>
      </c>
      <c r="G349" t="inlineStr">
        <is>
          <t>YDRE</t>
        </is>
      </c>
      <c r="H349" t="inlineStr">
        <is>
          <t>Övriga Aktiebolag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46306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22312-2026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46154</v>
      </c>
      <c r="E351" s="1" t="n">
        <v>46306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46306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46306</v>
      </c>
      <c r="F353" t="inlineStr">
        <is>
          <t>ÖSTERGÖTLANDS LÄN</t>
        </is>
      </c>
      <c r="G353" t="inlineStr">
        <is>
          <t>YDRE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2745-2026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46038</v>
      </c>
      <c r="E354" s="1" t="n">
        <v>46306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46306</v>
      </c>
      <c r="F355" t="inlineStr">
        <is>
          <t>ÖSTERGÖTLANDS LÄN</t>
        </is>
      </c>
      <c r="G355" t="inlineStr">
        <is>
          <t>YDRE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24780-2026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46171</v>
      </c>
      <c r="E356" s="1" t="n">
        <v>46306</v>
      </c>
      <c r="F356" t="inlineStr">
        <is>
          <t>ÖSTERGÖTLANDS LÄN</t>
        </is>
      </c>
      <c r="G356" t="inlineStr">
        <is>
          <t>YDRE</t>
        </is>
      </c>
      <c r="H356" t="inlineStr">
        <is>
          <t>Övriga Aktiebolag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46306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46306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46306</v>
      </c>
      <c r="F359" t="inlineStr">
        <is>
          <t>ÖSTERGÖTLANDS LÄN</t>
        </is>
      </c>
      <c r="G359" t="inlineStr">
        <is>
          <t>YDRE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27700-2026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46190</v>
      </c>
      <c r="E360" s="1" t="n">
        <v>46306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46306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46306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46306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46306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46202</v>
      </c>
      <c r="E365" s="1" t="n">
        <v>46306</v>
      </c>
      <c r="F365" t="inlineStr">
        <is>
          <t>ÖSTERGÖTLANDS LÄN</t>
        </is>
      </c>
      <c r="G365" t="inlineStr">
        <is>
          <t>YDRE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46306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46306</v>
      </c>
      <c r="F367" t="inlineStr">
        <is>
          <t>ÖSTERGÖTLANDS LÄN</t>
        </is>
      </c>
      <c r="G367" t="inlineStr">
        <is>
          <t>YDRE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46269</v>
      </c>
      <c r="E368" s="1" t="n">
        <v>46306</v>
      </c>
      <c r="F368" t="inlineStr">
        <is>
          <t>ÖSTERGÖTLANDS LÄN</t>
        </is>
      </c>
      <c r="G368" t="inlineStr">
        <is>
          <t>YDRE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46306</v>
      </c>
      <c r="F369" t="inlineStr">
        <is>
          <t>ÖSTERGÖTLANDS LÄN</t>
        </is>
      </c>
      <c r="G369" t="inlineStr">
        <is>
          <t>YDRE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46273</v>
      </c>
      <c r="E370" s="1" t="n">
        <v>46306</v>
      </c>
      <c r="F370" t="inlineStr">
        <is>
          <t>ÖSTERGÖTLANDS LÄN</t>
        </is>
      </c>
      <c r="G370" t="inlineStr">
        <is>
          <t>YDRE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46306</v>
      </c>
      <c r="F371" t="inlineStr">
        <is>
          <t>ÖSTERGÖTLANDS LÄN</t>
        </is>
      </c>
      <c r="G371" t="inlineStr">
        <is>
          <t>YDRE</t>
        </is>
      </c>
      <c r="I371" t="n">
        <v>15.6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46306</v>
      </c>
      <c r="F372" t="inlineStr">
        <is>
          <t>ÖSTERGÖTLANDS LÄN</t>
        </is>
      </c>
      <c r="G372" t="inlineStr">
        <is>
          <t>YDRE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46275</v>
      </c>
      <c r="E373" s="1" t="n">
        <v>46306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46306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46282</v>
      </c>
      <c r="E375" s="1" t="n">
        <v>46306</v>
      </c>
      <c r="F375" t="inlineStr">
        <is>
          <t>ÖSTERGÖTLANDS LÄN</t>
        </is>
      </c>
      <c r="G375" t="inlineStr">
        <is>
          <t>YDRE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46306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46282</v>
      </c>
      <c r="E377" s="1" t="n">
        <v>46306</v>
      </c>
      <c r="F377" t="inlineStr">
        <is>
          <t>ÖSTERGÖTLANDS LÄN</t>
        </is>
      </c>
      <c r="G377" t="inlineStr">
        <is>
          <t>YDRE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46282</v>
      </c>
      <c r="E378" s="1" t="n">
        <v>46306</v>
      </c>
      <c r="F378" t="inlineStr">
        <is>
          <t>ÖSTERGÖTLANDS LÄN</t>
        </is>
      </c>
      <c r="G378" t="inlineStr">
        <is>
          <t>YDRE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46306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46306</v>
      </c>
      <c r="F380" t="inlineStr">
        <is>
          <t>ÖSTERGÖTLANDS LÄN</t>
        </is>
      </c>
      <c r="G380" t="inlineStr">
        <is>
          <t>YDRE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46306</v>
      </c>
      <c r="F381" t="inlineStr">
        <is>
          <t>ÖSTERGÖTLANDS LÄN</t>
        </is>
      </c>
      <c r="G381" t="inlineStr">
        <is>
          <t>YDRE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38611-2026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46283</v>
      </c>
      <c r="E382" s="1" t="n">
        <v>46306</v>
      </c>
      <c r="F382" t="inlineStr">
        <is>
          <t>ÖSTERGÖTLANDS LÄN</t>
        </is>
      </c>
      <c r="G382" t="inlineStr">
        <is>
          <t>YDRE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46283</v>
      </c>
      <c r="E383" s="1" t="n">
        <v>46306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46286</v>
      </c>
      <c r="E384" s="1" t="n">
        <v>46306</v>
      </c>
      <c r="F384" t="inlineStr">
        <is>
          <t>ÖSTERGÖTLANDS LÄN</t>
        </is>
      </c>
      <c r="G384" t="inlineStr">
        <is>
          <t>YDRE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46306</v>
      </c>
      <c r="F385" t="inlineStr">
        <is>
          <t>ÖSTERGÖTLANDS LÄN</t>
        </is>
      </c>
      <c r="G385" t="inlineStr">
        <is>
          <t>YDRE</t>
        </is>
      </c>
      <c r="H385" t="inlineStr">
        <is>
          <t>Sveaskog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46240</v>
      </c>
      <c r="E386" s="1" t="n">
        <v>46306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46283</v>
      </c>
      <c r="E387" s="1" t="n">
        <v>46306</v>
      </c>
      <c r="F387" t="inlineStr">
        <is>
          <t>ÖSTERGÖTLANDS LÄN</t>
        </is>
      </c>
      <c r="G387" t="inlineStr">
        <is>
          <t>YDRE</t>
        </is>
      </c>
      <c r="H387" t="inlineStr">
        <is>
          <t>Sveaskog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46283</v>
      </c>
      <c r="E388" s="1" t="n">
        <v>46306</v>
      </c>
      <c r="F388" t="inlineStr">
        <is>
          <t>ÖSTERGÖTLANDS LÄN</t>
        </is>
      </c>
      <c r="G388" t="inlineStr">
        <is>
          <t>YDRE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46283</v>
      </c>
      <c r="E389" s="1" t="n">
        <v>46306</v>
      </c>
      <c r="F389" t="inlineStr">
        <is>
          <t>ÖSTERGÖTLANDS LÄN</t>
        </is>
      </c>
      <c r="G389" t="inlineStr">
        <is>
          <t>YDRE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46290</v>
      </c>
      <c r="E390" s="1" t="n">
        <v>46306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39742-2026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46306</v>
      </c>
      <c r="F391" t="inlineStr">
        <is>
          <t>ÖSTERGÖTLANDS LÄN</t>
        </is>
      </c>
      <c r="G391" t="inlineStr">
        <is>
          <t>YDRE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46306</v>
      </c>
      <c r="F392" t="inlineStr">
        <is>
          <t>ÖSTERGÖTLANDS LÄN</t>
        </is>
      </c>
      <c r="G392" t="inlineStr">
        <is>
          <t>YDRE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46258</v>
      </c>
      <c r="E393" s="1" t="n">
        <v>46306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46306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46306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46303</v>
      </c>
      <c r="E396" s="1" t="n">
        <v>46306</v>
      </c>
      <c r="F396" t="inlineStr">
        <is>
          <t>ÖSTERGÖTLANDS LÄN</t>
        </is>
      </c>
      <c r="G396" t="inlineStr">
        <is>
          <t>YDRE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46303</v>
      </c>
      <c r="E397" s="1" t="n">
        <v>46306</v>
      </c>
      <c r="F397" t="inlineStr">
        <is>
          <t>ÖSTERGÖTLANDS LÄN</t>
        </is>
      </c>
      <c r="G397" t="inlineStr">
        <is>
          <t>YDRE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46304</v>
      </c>
      <c r="E398" s="1" t="n">
        <v>46306</v>
      </c>
      <c r="F398" t="inlineStr">
        <is>
          <t>ÖSTERGÖTLANDS LÄN</t>
        </is>
      </c>
      <c r="G398" t="inlineStr">
        <is>
          <t>YDRE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46304</v>
      </c>
      <c r="E399" s="1" t="n">
        <v>46306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46306</v>
      </c>
      <c r="F400" t="inlineStr">
        <is>
          <t>ÖSTERGÖTLANDS LÄN</t>
        </is>
      </c>
      <c r="G400" t="inlineStr">
        <is>
          <t>YDRE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416-2022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44585</v>
      </c>
      <c r="E401" s="1" t="n">
        <v>46306</v>
      </c>
      <c r="F401" t="inlineStr">
        <is>
          <t>ÖSTERGÖTLANDS LÄN</t>
        </is>
      </c>
      <c r="G401" t="inlineStr">
        <is>
          <t>YDRE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2053-2025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45839</v>
      </c>
      <c r="E402" s="1" t="n">
        <v>46306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2604-2025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45916</v>
      </c>
      <c r="E403" s="1" t="n">
        <v>46306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3063-2025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45964</v>
      </c>
      <c r="E404" s="1" t="n">
        <v>46306</v>
      </c>
      <c r="F404" t="inlineStr">
        <is>
          <t>ÖSTERGÖTLANDS LÄN</t>
        </is>
      </c>
      <c r="G404" t="inlineStr">
        <is>
          <t>YDRE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384-2026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46066</v>
      </c>
      <c r="E405" s="1" t="n">
        <v>46306</v>
      </c>
      <c r="F405" t="inlineStr">
        <is>
          <t>ÖSTERGÖTLANDS LÄN</t>
        </is>
      </c>
      <c r="G405" t="inlineStr">
        <is>
          <t>YDRE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2485-2026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46287</v>
      </c>
      <c r="E406" s="1" t="n">
        <v>46306</v>
      </c>
      <c r="F406" t="inlineStr">
        <is>
          <t>ÖSTERGÖTLANDS LÄN</t>
        </is>
      </c>
      <c r="G406" t="inlineStr">
        <is>
          <t>YDRE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2026-10-11T02:01:10Z</dcterms:created>
  <dcterms:modified xmlns:dcterms="http://purl.org/dc/terms/" xmlns:xsi="http://www.w3.org/2001/XMLSchema-instance" xsi:type="dcterms:W3CDTF">2026-10-11T02:01:11Z</dcterms:modified>
</cp:coreProperties>
</file>