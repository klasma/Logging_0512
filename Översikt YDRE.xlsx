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46219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46219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46219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46219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46219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s="2" t="inlineStr">
        <is>
          <t>Knärot
Vedtrappmossa
Kornig nållav</t>
        </is>
      </c>
      <c r="V7">
        <f>HYPERLINK("https://klasma.github.io/Logging_0512/artfynd/A 46582-2023 artfynd.xlsx", "A 46582-2023")</f>
        <v/>
      </c>
      <c r="W7">
        <f>HYPERLINK("https://klasma.github.io/Logging_0512/kartor/A 46582-2023 karta.png", "A 46582-2023")</f>
        <v/>
      </c>
      <c r="X7">
        <f>HYPERLINK("https://klasma.github.io/Logging_0512/knärot/A 46582-2023 karta knärot.png", "A 46582-2023")</f>
        <v/>
      </c>
      <c r="Y7">
        <f>HYPERLINK("https://klasma.github.io/Logging_0512/klagomål/A 46582-2023 FSC-klagomål.docx", "A 46582-2023")</f>
        <v/>
      </c>
      <c r="Z7">
        <f>HYPERLINK("https://klasma.github.io/Logging_0512/klagomålsmail/A 46582-2023 FSC-klagomål mail.docx", "A 46582-2023")</f>
        <v/>
      </c>
      <c r="AA7">
        <f>HYPERLINK("https://klasma.github.io/Logging_0512/tillsyn/A 46582-2023 tillsynsbegäran.docx", "A 46582-2023")</f>
        <v/>
      </c>
      <c r="AB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46219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Dunmossa
Skogshakmossa
Revlummer</t>
        </is>
      </c>
      <c r="V8">
        <f>HYPERLINK("https://klasma.github.io/Logging_0512/artfynd/A 8451-2025 artfynd.xlsx", "A 8451-2025")</f>
        <v/>
      </c>
      <c r="W8">
        <f>HYPERLINK("https://klasma.github.io/Logging_0512/kartor/A 8451-2025 karta.png", "A 8451-2025")</f>
        <v/>
      </c>
      <c r="Y8">
        <f>HYPERLINK("https://klasma.github.io/Logging_0512/klagomål/A 8451-2025 FSC-klagomål.docx", "A 8451-2025")</f>
        <v/>
      </c>
      <c r="Z8">
        <f>HYPERLINK("https://klasma.github.io/Logging_0512/klagomålsmail/A 8451-2025 FSC-klagomål mail.docx", "A 8451-2025")</f>
        <v/>
      </c>
      <c r="AA8">
        <f>HYPERLINK("https://klasma.github.io/Logging_0512/tillsyn/A 8451-2025 tillsynsbegäran.docx", "A 8451-2025")</f>
        <v/>
      </c>
      <c r="AB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46219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Slåttergubbe
Svinrot
Gullviva</t>
        </is>
      </c>
      <c r="V9">
        <f>HYPERLINK("https://klasma.github.io/Logging_0512/artfynd/A 27469-2026 artfynd.xlsx", "A 27469-2026")</f>
        <v/>
      </c>
      <c r="W9">
        <f>HYPERLINK("https://klasma.github.io/Logging_0512/kartor/A 27469-2026 karta.png", "A 27469-2026")</f>
        <v/>
      </c>
      <c r="Y9">
        <f>HYPERLINK("https://klasma.github.io/Logging_0512/klagomål/A 27469-2026 FSC-klagomål.docx", "A 27469-2026")</f>
        <v/>
      </c>
      <c r="Z9">
        <f>HYPERLINK("https://klasma.github.io/Logging_0512/klagomålsmail/A 27469-2026 FSC-klagomål mail.docx", "A 27469-2026")</f>
        <v/>
      </c>
      <c r="AA9">
        <f>HYPERLINK("https://klasma.github.io/Logging_0512/tillsyn/A 27469-2026 tillsynsbegäran.docx", "A 27469-2026")</f>
        <v/>
      </c>
      <c r="AB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46219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58691-2023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46219</v>
      </c>
      <c r="F11" t="inlineStr">
        <is>
          <t>ÖSTERGÖTLANDS LÄN</t>
        </is>
      </c>
      <c r="G11" t="inlineStr">
        <is>
          <t>YDRE</t>
        </is>
      </c>
      <c r="I11" t="n">
        <v>1.7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Gulsparv
Grönsiska</t>
        </is>
      </c>
      <c r="V11">
        <f>HYPERLINK("https://klasma.github.io/Logging_0512/artfynd/A 58691-2023 artfynd.xlsx", "A 58691-2023")</f>
        <v/>
      </c>
      <c r="W11">
        <f>HYPERLINK("https://klasma.github.io/Logging_0512/kartor/A 58691-2023 karta.png", "A 58691-2023")</f>
        <v/>
      </c>
      <c r="Y11">
        <f>HYPERLINK("https://klasma.github.io/Logging_0512/klagomål/A 58691-2023 FSC-klagomål.docx", "A 58691-2023")</f>
        <v/>
      </c>
      <c r="Z11">
        <f>HYPERLINK("https://klasma.github.io/Logging_0512/klagomålsmail/A 58691-2023 FSC-klagomål mail.docx", "A 58691-2023")</f>
        <v/>
      </c>
      <c r="AA11">
        <f>HYPERLINK("https://klasma.github.io/Logging_0512/tillsyn/A 58691-2023 tillsynsbegäran.docx", "A 58691-2023")</f>
        <v/>
      </c>
      <c r="AB11">
        <f>HYPERLINK("https://klasma.github.io/Logging_0512/tillsynsmail/A 58691-2023 tillsynsbegäran mail.docx", "A 58691-2023")</f>
        <v/>
      </c>
      <c r="AC11">
        <f>HYPERLINK("https://klasma.github.io/Logging_0512/fåglar/A 58691-2023 prioriterade fågelarter.docx", "A 58691-2023")</f>
        <v/>
      </c>
    </row>
    <row r="12" ht="15" customHeight="1">
      <c r="A12" t="inlineStr">
        <is>
          <t>A 17526-2024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46219</v>
      </c>
      <c r="F12" t="inlineStr">
        <is>
          <t>ÖSTERGÖTLANDS LÄN</t>
        </is>
      </c>
      <c r="G12" t="inlineStr">
        <is>
          <t>YDRE</t>
        </is>
      </c>
      <c r="I12" t="n">
        <v>1.6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Svinrot
Blåsippa</t>
        </is>
      </c>
      <c r="V12">
        <f>HYPERLINK("https://klasma.github.io/Logging_0512/artfynd/A 17526-2024 artfynd.xlsx", "A 17526-2024")</f>
        <v/>
      </c>
      <c r="W12">
        <f>HYPERLINK("https://klasma.github.io/Logging_0512/kartor/A 17526-2024 karta.png", "A 17526-2024")</f>
        <v/>
      </c>
      <c r="Y12">
        <f>HYPERLINK("https://klasma.github.io/Logging_0512/klagomål/A 17526-2024 FSC-klagomål.docx", "A 17526-2024")</f>
        <v/>
      </c>
      <c r="Z12">
        <f>HYPERLINK("https://klasma.github.io/Logging_0512/klagomålsmail/A 17526-2024 FSC-klagomål mail.docx", "A 17526-2024")</f>
        <v/>
      </c>
      <c r="AA12">
        <f>HYPERLINK("https://klasma.github.io/Logging_0512/tillsyn/A 17526-2024 tillsynsbegäran.docx", "A 17526-2024")</f>
        <v/>
      </c>
      <c r="AB12">
        <f>HYPERLINK("https://klasma.github.io/Logging_0512/tillsynsmail/A 17526-2024 tillsynsbegäran mail.docx", "A 17526-2024")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46219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Svinrot
Mattlummer</t>
        </is>
      </c>
      <c r="V13">
        <f>HYPERLINK("https://klasma.github.io/Logging_0512/artfynd/A 33676-2022 artfynd.xlsx", "A 33676-2022")</f>
        <v/>
      </c>
      <c r="W13">
        <f>HYPERLINK("https://klasma.github.io/Logging_0512/kartor/A 33676-2022 karta.png", "A 33676-2022")</f>
        <v/>
      </c>
      <c r="Y13">
        <f>HYPERLINK("https://klasma.github.io/Logging_0512/klagomål/A 33676-2022 FSC-klagomål.docx", "A 33676-2022")</f>
        <v/>
      </c>
      <c r="Z13">
        <f>HYPERLINK("https://klasma.github.io/Logging_0512/klagomålsmail/A 33676-2022 FSC-klagomål mail.docx", "A 33676-2022")</f>
        <v/>
      </c>
      <c r="AA13">
        <f>HYPERLINK("https://klasma.github.io/Logging_0512/tillsyn/A 33676-2022 tillsynsbegäran.docx", "A 33676-2022")</f>
        <v/>
      </c>
      <c r="AB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46219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Solvända
Mattlummer</t>
        </is>
      </c>
      <c r="V14">
        <f>HYPERLINK("https://klasma.github.io/Logging_0512/artfynd/A 52667-2022 artfynd.xlsx", "A 52667-2022")</f>
        <v/>
      </c>
      <c r="W14">
        <f>HYPERLINK("https://klasma.github.io/Logging_0512/kartor/A 52667-2022 karta.png", "A 52667-2022")</f>
        <v/>
      </c>
      <c r="Y14">
        <f>HYPERLINK("https://klasma.github.io/Logging_0512/klagomål/A 52667-2022 FSC-klagomål.docx", "A 52667-2022")</f>
        <v/>
      </c>
      <c r="Z14">
        <f>HYPERLINK("https://klasma.github.io/Logging_0512/klagomålsmail/A 52667-2022 FSC-klagomål mail.docx", "A 52667-2022")</f>
        <v/>
      </c>
      <c r="AA14">
        <f>HYPERLINK("https://klasma.github.io/Logging_0512/tillsyn/A 52667-2022 tillsynsbegäran.docx", "A 52667-2022")</f>
        <v/>
      </c>
      <c r="AB14">
        <f>HYPERLINK("https://klasma.github.io/Logging_0512/tillsynsmail/A 52667-2022 tillsynsbegäran mail.docx", "A 52667-2022")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46219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s="2" t="inlineStr">
        <is>
          <t>Västlig njurlav
Grynig filtlav</t>
        </is>
      </c>
      <c r="V15">
        <f>HYPERLINK("https://klasma.github.io/Logging_0512/artfynd/A 55870-2025 artfynd.xlsx", "A 55870-2025")</f>
        <v/>
      </c>
      <c r="W15">
        <f>HYPERLINK("https://klasma.github.io/Logging_0512/kartor/A 55870-2025 karta.png", "A 55870-2025")</f>
        <v/>
      </c>
      <c r="Y15">
        <f>HYPERLINK("https://klasma.github.io/Logging_0512/klagomål/A 55870-2025 FSC-klagomål.docx", "A 55870-2025")</f>
        <v/>
      </c>
      <c r="Z15">
        <f>HYPERLINK("https://klasma.github.io/Logging_0512/klagomålsmail/A 55870-2025 FSC-klagomål mail.docx", "A 55870-2025")</f>
        <v/>
      </c>
      <c r="AA15">
        <f>HYPERLINK("https://klasma.github.io/Logging_0512/tillsyn/A 55870-2025 tillsynsbegäran.docx", "A 55870-2025")</f>
        <v/>
      </c>
      <c r="AB15">
        <f>HYPERLINK("https://klasma.github.io/Logging_0512/tillsynsmail/A 55870-2025 tillsynsbegäran mail.docx", "A 55870-2025")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46219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Nordfladdermus
Vattenfladdermus</t>
        </is>
      </c>
      <c r="V16">
        <f>HYPERLINK("https://klasma.github.io/Logging_0512/artfynd/A 7621-2024 artfynd.xlsx", "A 7621-2024")</f>
        <v/>
      </c>
      <c r="W16">
        <f>HYPERLINK("https://klasma.github.io/Logging_0512/kartor/A 7621-2024 karta.png", "A 7621-2024")</f>
        <v/>
      </c>
      <c r="Y16">
        <f>HYPERLINK("https://klasma.github.io/Logging_0512/klagomål/A 7621-2024 FSC-klagomål.docx", "A 7621-2024")</f>
        <v/>
      </c>
      <c r="Z16">
        <f>HYPERLINK("https://klasma.github.io/Logging_0512/klagomålsmail/A 7621-2024 FSC-klagomål mail.docx", "A 7621-2024")</f>
        <v/>
      </c>
      <c r="AA16">
        <f>HYPERLINK("https://klasma.github.io/Logging_0512/tillsyn/A 7621-2024 tillsynsbegäran.docx", "A 7621-2024")</f>
        <v/>
      </c>
      <c r="AB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46219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Knärot
Ängsstarr</t>
        </is>
      </c>
      <c r="V17">
        <f>HYPERLINK("https://klasma.github.io/Logging_0512/artfynd/A 53091-2024 artfynd.xlsx", "A 53091-2024")</f>
        <v/>
      </c>
      <c r="W17">
        <f>HYPERLINK("https://klasma.github.io/Logging_0512/kartor/A 53091-2024 karta.png", "A 53091-2024")</f>
        <v/>
      </c>
      <c r="X17">
        <f>HYPERLINK("https://klasma.github.io/Logging_0512/knärot/A 53091-2024 karta knärot.png", "A 53091-2024")</f>
        <v/>
      </c>
      <c r="Y17">
        <f>HYPERLINK("https://klasma.github.io/Logging_0512/klagomål/A 53091-2024 FSC-klagomål.docx", "A 53091-2024")</f>
        <v/>
      </c>
      <c r="Z17">
        <f>HYPERLINK("https://klasma.github.io/Logging_0512/klagomålsmail/A 53091-2024 FSC-klagomål mail.docx", "A 53091-2024")</f>
        <v/>
      </c>
      <c r="AA17">
        <f>HYPERLINK("https://klasma.github.io/Logging_0512/tillsyn/A 53091-2024 tillsynsbegäran.docx", "A 53091-2024")</f>
        <v/>
      </c>
      <c r="AB17">
        <f>HYPERLINK("https://klasma.github.io/Logging_0512/tillsynsmail/A 53091-2024 tillsynsbegäran mail.docx", "A 53091-2024")</f>
        <v/>
      </c>
    </row>
    <row r="18" ht="15" customHeight="1">
      <c r="A18" t="inlineStr">
        <is>
          <t>A 25498-2022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44732</v>
      </c>
      <c r="E18" s="1" t="n">
        <v>46219</v>
      </c>
      <c r="F18" t="inlineStr">
        <is>
          <t>ÖSTERGÖTLANDS LÄN</t>
        </is>
      </c>
      <c r="G18" t="inlineStr">
        <is>
          <t>YDRE</t>
        </is>
      </c>
      <c r="H18" t="inlineStr">
        <is>
          <t>Kyrkan</t>
        </is>
      </c>
      <c r="I18" t="n">
        <v>71.09999999999999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Garnlav
Brunpudrad nållav</t>
        </is>
      </c>
      <c r="V18">
        <f>HYPERLINK("https://klasma.github.io/Logging_0512/artfynd/A 25498-2022 artfynd.xlsx", "A 25498-2022")</f>
        <v/>
      </c>
      <c r="W18">
        <f>HYPERLINK("https://klasma.github.io/Logging_0512/kartor/A 25498-2022 karta.png", "A 25498-2022")</f>
        <v/>
      </c>
      <c r="Y18">
        <f>HYPERLINK("https://klasma.github.io/Logging_0512/klagomål/A 25498-2022 FSC-klagomål.docx", "A 25498-2022")</f>
        <v/>
      </c>
      <c r="Z18">
        <f>HYPERLINK("https://klasma.github.io/Logging_0512/klagomålsmail/A 25498-2022 FSC-klagomål mail.docx", "A 25498-2022")</f>
        <v/>
      </c>
      <c r="AA18">
        <f>HYPERLINK("https://klasma.github.io/Logging_0512/tillsyn/A 25498-2022 tillsynsbegäran.docx", "A 25498-2022")</f>
        <v/>
      </c>
      <c r="AB18">
        <f>HYPERLINK("https://klasma.github.io/Logging_0512/tillsynsmail/A 25498-2022 tillsynsbegäran mail.docx", "A 25498-2022")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46219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Aspelandsfibbla
Smal guldkornsfibbla</t>
        </is>
      </c>
      <c r="V19">
        <f>HYPERLINK("https://klasma.github.io/Logging_0512/artfynd/A 26030-2023 artfynd.xlsx", "A 26030-2023")</f>
        <v/>
      </c>
      <c r="W19">
        <f>HYPERLINK("https://klasma.github.io/Logging_0512/kartor/A 26030-2023 karta.png", "A 26030-2023")</f>
        <v/>
      </c>
      <c r="Y19">
        <f>HYPERLINK("https://klasma.github.io/Logging_0512/klagomål/A 26030-2023 FSC-klagomål.docx", "A 26030-2023")</f>
        <v/>
      </c>
      <c r="Z19">
        <f>HYPERLINK("https://klasma.github.io/Logging_0512/klagomålsmail/A 26030-2023 FSC-klagomål mail.docx", "A 26030-2023")</f>
        <v/>
      </c>
      <c r="AA19">
        <f>HYPERLINK("https://klasma.github.io/Logging_0512/tillsyn/A 26030-2023 tillsynsbegäran.docx", "A 26030-2023")</f>
        <v/>
      </c>
      <c r="AB19">
        <f>HYPERLINK("https://klasma.github.io/Logging_0512/tillsynsmail/A 26030-2023 tillsynsbegäran mail.docx", "A 26030-2023")</f>
        <v/>
      </c>
    </row>
    <row r="20" ht="15" customHeight="1">
      <c r="A20" t="inlineStr">
        <is>
          <t>A 23612-2025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45792</v>
      </c>
      <c r="E20" s="1" t="n">
        <v>46219</v>
      </c>
      <c r="F20" t="inlineStr">
        <is>
          <t>ÖSTERGÖTLANDS LÄN</t>
        </is>
      </c>
      <c r="G20" t="inlineStr">
        <is>
          <t>YDRE</t>
        </is>
      </c>
      <c r="I20" t="n">
        <v>2.1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Tallticka
Blomkålssvamp</t>
        </is>
      </c>
      <c r="V20">
        <f>HYPERLINK("https://klasma.github.io/Logging_0512/artfynd/A 23612-2025 artfynd.xlsx", "A 23612-2025")</f>
        <v/>
      </c>
      <c r="W20">
        <f>HYPERLINK("https://klasma.github.io/Logging_0512/kartor/A 23612-2025 karta.png", "A 23612-2025")</f>
        <v/>
      </c>
      <c r="Y20">
        <f>HYPERLINK("https://klasma.github.io/Logging_0512/klagomål/A 23612-2025 FSC-klagomål.docx", "A 23612-2025")</f>
        <v/>
      </c>
      <c r="Z20">
        <f>HYPERLINK("https://klasma.github.io/Logging_0512/klagomålsmail/A 23612-2025 FSC-klagomål mail.docx", "A 23612-2025")</f>
        <v/>
      </c>
      <c r="AA20">
        <f>HYPERLINK("https://klasma.github.io/Logging_0512/tillsyn/A 23612-2025 tillsynsbegäran.docx", "A 23612-2025")</f>
        <v/>
      </c>
      <c r="AB20">
        <f>HYPERLINK("https://klasma.github.io/Logging_0512/tillsynsmail/A 23612-2025 tillsynsbegäran mail.docx", "A 23612-2025")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46219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46219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46219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HYPERLINK("https://klasma.github.io/Logging_0512/artfynd/A 53277-2021 artfynd.xlsx", "A 53277-2021")</f>
        <v/>
      </c>
      <c r="W23">
        <f>HYPERLINK("https://klasma.github.io/Logging_0512/kartor/A 53277-2021 karta.png", "A 53277-2021")</f>
        <v/>
      </c>
      <c r="Y23">
        <f>HYPERLINK("https://klasma.github.io/Logging_0512/klagomål/A 53277-2021 FSC-klagomål.docx", "A 53277-2021")</f>
        <v/>
      </c>
      <c r="Z23">
        <f>HYPERLINK("https://klasma.github.io/Logging_0512/klagomålsmail/A 53277-2021 FSC-klagomål mail.docx", "A 53277-2021")</f>
        <v/>
      </c>
      <c r="AA23">
        <f>HYPERLINK("https://klasma.github.io/Logging_0512/tillsyn/A 53277-2021 tillsynsbegäran.docx", "A 53277-2021")</f>
        <v/>
      </c>
      <c r="AB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46219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HYPERLINK("https://klasma.github.io/Logging_0512/artfynd/A 65337-2021 artfynd.xlsx", "A 65337-2021")</f>
        <v/>
      </c>
      <c r="W24">
        <f>HYPERLINK("https://klasma.github.io/Logging_0512/kartor/A 65337-2021 karta.png", "A 65337-2021")</f>
        <v/>
      </c>
      <c r="Y24">
        <f>HYPERLINK("https://klasma.github.io/Logging_0512/klagomål/A 65337-2021 FSC-klagomål.docx", "A 65337-2021")</f>
        <v/>
      </c>
      <c r="Z24">
        <f>HYPERLINK("https://klasma.github.io/Logging_0512/klagomålsmail/A 65337-2021 FSC-klagomål mail.docx", "A 65337-2021")</f>
        <v/>
      </c>
      <c r="AA24">
        <f>HYPERLINK("https://klasma.github.io/Logging_0512/tillsyn/A 65337-2021 tillsynsbegäran.docx", "A 65337-2021")</f>
        <v/>
      </c>
      <c r="AB24">
        <f>HYPERLINK("https://klasma.github.io/Logging_0512/tillsynsmail/A 65337-2021 tillsynsbegäran mail.docx", "A 65337-2021")</f>
        <v/>
      </c>
    </row>
    <row r="25" ht="15" customHeight="1">
      <c r="A25" t="inlineStr">
        <is>
          <t>A 11273-2024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45371</v>
      </c>
      <c r="E25" s="1" t="n">
        <v>46219</v>
      </c>
      <c r="F25" t="inlineStr">
        <is>
          <t>ÖSTERGÖTLANDS LÄN</t>
        </is>
      </c>
      <c r="G25" t="inlineStr">
        <is>
          <t>YDRE</t>
        </is>
      </c>
      <c r="I25" t="n">
        <v>3.6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Lungrot</t>
        </is>
      </c>
      <c r="V25">
        <f>HYPERLINK("https://klasma.github.io/Logging_0512/artfynd/A 11273-2024 artfynd.xlsx", "A 11273-2024")</f>
        <v/>
      </c>
      <c r="W25">
        <f>HYPERLINK("https://klasma.github.io/Logging_0512/kartor/A 11273-2024 karta.png", "A 11273-2024")</f>
        <v/>
      </c>
      <c r="Y25">
        <f>HYPERLINK("https://klasma.github.io/Logging_0512/klagomål/A 11273-2024 FSC-klagomål.docx", "A 11273-2024")</f>
        <v/>
      </c>
      <c r="Z25">
        <f>HYPERLINK("https://klasma.github.io/Logging_0512/klagomålsmail/A 11273-2024 FSC-klagomål mail.docx", "A 11273-2024")</f>
        <v/>
      </c>
      <c r="AA25">
        <f>HYPERLINK("https://klasma.github.io/Logging_0512/tillsyn/A 11273-2024 tillsynsbegäran.docx", "A 11273-2024")</f>
        <v/>
      </c>
      <c r="AB25">
        <f>HYPERLINK("https://klasma.github.io/Logging_0512/tillsynsmail/A 11273-2024 tillsynsbegäran mail.docx", "A 11273-2024")</f>
        <v/>
      </c>
    </row>
    <row r="26" ht="15" customHeight="1">
      <c r="A26" t="inlineStr">
        <is>
          <t>A 45354-2023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45192</v>
      </c>
      <c r="E26" s="1" t="n">
        <v>46219</v>
      </c>
      <c r="F26" t="inlineStr">
        <is>
          <t>ÖSTERGÖTLANDS LÄN</t>
        </is>
      </c>
      <c r="G26" t="inlineStr">
        <is>
          <t>YDRE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Grönvit nattviol</t>
        </is>
      </c>
      <c r="V26">
        <f>HYPERLINK("https://klasma.github.io/Logging_0512/artfynd/A 45354-2023 artfynd.xlsx", "A 45354-2023")</f>
        <v/>
      </c>
      <c r="W26">
        <f>HYPERLINK("https://klasma.github.io/Logging_0512/kartor/A 45354-2023 karta.png", "A 45354-2023")</f>
        <v/>
      </c>
      <c r="Y26">
        <f>HYPERLINK("https://klasma.github.io/Logging_0512/klagomål/A 45354-2023 FSC-klagomål.docx", "A 45354-2023")</f>
        <v/>
      </c>
      <c r="Z26">
        <f>HYPERLINK("https://klasma.github.io/Logging_0512/klagomålsmail/A 45354-2023 FSC-klagomål mail.docx", "A 45354-2023")</f>
        <v/>
      </c>
      <c r="AA26">
        <f>HYPERLINK("https://klasma.github.io/Logging_0512/tillsyn/A 45354-2023 tillsynsbegäran.docx", "A 45354-2023")</f>
        <v/>
      </c>
      <c r="AB26">
        <f>HYPERLINK("https://klasma.github.io/Logging_0512/tillsynsmail/A 45354-2023 tillsynsbegäran mail.docx", "A 45354-2023")</f>
        <v/>
      </c>
    </row>
    <row r="27" ht="15" customHeight="1">
      <c r="A27" t="inlineStr">
        <is>
          <t>A 19370-2025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46219</v>
      </c>
      <c r="F27" t="inlineStr">
        <is>
          <t>ÖSTERGÖTLANDS LÄN</t>
        </is>
      </c>
      <c r="G27" t="inlineStr">
        <is>
          <t>YDRE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Smal guldkornsfibbla</t>
        </is>
      </c>
      <c r="V27">
        <f>HYPERLINK("https://klasma.github.io/Logging_0512/artfynd/A 19370-2025 artfynd.xlsx", "A 19370-2025")</f>
        <v/>
      </c>
      <c r="W27">
        <f>HYPERLINK("https://klasma.github.io/Logging_0512/kartor/A 19370-2025 karta.png", "A 19370-2025")</f>
        <v/>
      </c>
      <c r="Y27">
        <f>HYPERLINK("https://klasma.github.io/Logging_0512/klagomål/A 19370-2025 FSC-klagomål.docx", "A 19370-2025")</f>
        <v/>
      </c>
      <c r="Z27">
        <f>HYPERLINK("https://klasma.github.io/Logging_0512/klagomålsmail/A 19370-2025 FSC-klagomål mail.docx", "A 19370-2025")</f>
        <v/>
      </c>
      <c r="AA27">
        <f>HYPERLINK("https://klasma.github.io/Logging_0512/tillsyn/A 19370-2025 tillsynsbegäran.docx", "A 19370-2025")</f>
        <v/>
      </c>
      <c r="AB27">
        <f>HYPERLINK("https://klasma.github.io/Logging_0512/tillsynsmail/A 19370-2025 tillsynsbegäran mail.docx", "A 19370-2025")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46219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HYPERLINK("https://klasma.github.io/Logging_0512/artfynd/A 44503-2025 artfynd.xlsx", "A 44503-2025")</f>
        <v/>
      </c>
      <c r="W28">
        <f>HYPERLINK("https://klasma.github.io/Logging_0512/kartor/A 44503-2025 karta.png", "A 44503-2025")</f>
        <v/>
      </c>
      <c r="Y28">
        <f>HYPERLINK("https://klasma.github.io/Logging_0512/klagomål/A 44503-2025 FSC-klagomål.docx", "A 44503-2025")</f>
        <v/>
      </c>
      <c r="Z28">
        <f>HYPERLINK("https://klasma.github.io/Logging_0512/klagomålsmail/A 44503-2025 FSC-klagomål mail.docx", "A 44503-2025")</f>
        <v/>
      </c>
      <c r="AA28">
        <f>HYPERLINK("https://klasma.github.io/Logging_0512/tillsyn/A 44503-2025 tillsynsbegäran.docx", "A 44503-2025")</f>
        <v/>
      </c>
      <c r="AB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46219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s="2" t="inlineStr">
        <is>
          <t>Kattfotslav</t>
        </is>
      </c>
      <c r="V29">
        <f>HYPERLINK("https://klasma.github.io/Logging_0512/artfynd/A 45771-2025 artfynd.xlsx", "A 45771-2025")</f>
        <v/>
      </c>
      <c r="W29">
        <f>HYPERLINK("https://klasma.github.io/Logging_0512/kartor/A 45771-2025 karta.png", "A 45771-2025")</f>
        <v/>
      </c>
      <c r="Y29">
        <f>HYPERLINK("https://klasma.github.io/Logging_0512/klagomål/A 45771-2025 FSC-klagomål.docx", "A 45771-2025")</f>
        <v/>
      </c>
      <c r="Z29">
        <f>HYPERLINK("https://klasma.github.io/Logging_0512/klagomålsmail/A 45771-2025 FSC-klagomål mail.docx", "A 45771-2025")</f>
        <v/>
      </c>
      <c r="AA29">
        <f>HYPERLINK("https://klasma.github.io/Logging_0512/tillsyn/A 45771-2025 tillsynsbegäran.docx", "A 45771-2025")</f>
        <v/>
      </c>
      <c r="AB29">
        <f>HYPERLINK("https://klasma.github.io/Logging_0512/tillsynsmail/A 45771-2025 tillsynsbegäran mail.docx", "A 45771-2025")</f>
        <v/>
      </c>
    </row>
    <row r="30" ht="15" customHeight="1">
      <c r="A30" t="inlineStr">
        <is>
          <t>A 45815-2025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46219</v>
      </c>
      <c r="F30" t="inlineStr">
        <is>
          <t>ÖSTERGÖTLANDS LÄN</t>
        </is>
      </c>
      <c r="G30" t="inlineStr">
        <is>
          <t>YDRE</t>
        </is>
      </c>
      <c r="I30" t="n">
        <v>6.3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Gullpudra</t>
        </is>
      </c>
      <c r="V30">
        <f>HYPERLINK("https://klasma.github.io/Logging_0512/artfynd/A 45815-2025 artfynd.xlsx", "A 45815-2025")</f>
        <v/>
      </c>
      <c r="W30">
        <f>HYPERLINK("https://klasma.github.io/Logging_0512/kartor/A 45815-2025 karta.png", "A 45815-2025")</f>
        <v/>
      </c>
      <c r="Y30">
        <f>HYPERLINK("https://klasma.github.io/Logging_0512/klagomål/A 45815-2025 FSC-klagomål.docx", "A 45815-2025")</f>
        <v/>
      </c>
      <c r="Z30">
        <f>HYPERLINK("https://klasma.github.io/Logging_0512/klagomålsmail/A 45815-2025 FSC-klagomål mail.docx", "A 45815-2025")</f>
        <v/>
      </c>
      <c r="AA30">
        <f>HYPERLINK("https://klasma.github.io/Logging_0512/tillsyn/A 45815-2025 tillsynsbegäran.docx", "A 45815-2025")</f>
        <v/>
      </c>
      <c r="AB30">
        <f>HYPERLINK("https://klasma.github.io/Logging_0512/tillsynsmail/A 45815-2025 tillsynsbegäran mail.docx", "A 45815-2025")</f>
        <v/>
      </c>
    </row>
    <row r="31" ht="15" customHeight="1">
      <c r="A31" t="inlineStr">
        <is>
          <t>A 16704-2025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46219</v>
      </c>
      <c r="F31" t="inlineStr">
        <is>
          <t>ÖSTERGÖTLANDS LÄN</t>
        </is>
      </c>
      <c r="G31" t="inlineStr">
        <is>
          <t>YDRE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 sköldmossa</t>
        </is>
      </c>
      <c r="V31">
        <f>HYPERLINK("https://klasma.github.io/Logging_0512/artfynd/A 16704-2025 artfynd.xlsx", "A 16704-2025")</f>
        <v/>
      </c>
      <c r="W31">
        <f>HYPERLINK("https://klasma.github.io/Logging_0512/kartor/A 16704-2025 karta.png", "A 16704-2025")</f>
        <v/>
      </c>
      <c r="Y31">
        <f>HYPERLINK("https://klasma.github.io/Logging_0512/klagomål/A 16704-2025 FSC-klagomål.docx", "A 16704-2025")</f>
        <v/>
      </c>
      <c r="Z31">
        <f>HYPERLINK("https://klasma.github.io/Logging_0512/klagomålsmail/A 16704-2025 FSC-klagomål mail.docx", "A 16704-2025")</f>
        <v/>
      </c>
      <c r="AA31">
        <f>HYPERLINK("https://klasma.github.io/Logging_0512/tillsyn/A 16704-2025 tillsynsbegäran.docx", "A 16704-2025")</f>
        <v/>
      </c>
      <c r="AB31">
        <f>HYPERLINK("https://klasma.github.io/Logging_0512/tillsynsmail/A 16704-2025 tillsynsbegäran mail.docx", "A 16704-2025")</f>
        <v/>
      </c>
    </row>
    <row r="32" ht="15" customHeight="1">
      <c r="A32" t="inlineStr">
        <is>
          <t>A 48344-2022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46219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7.6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Gullklöver</t>
        </is>
      </c>
      <c r="V32">
        <f>HYPERLINK("https://klasma.github.io/Logging_0512/artfynd/A 48344-2022 artfynd.xlsx", "A 48344-2022")</f>
        <v/>
      </c>
      <c r="W32">
        <f>HYPERLINK("https://klasma.github.io/Logging_0512/kartor/A 48344-2022 karta.png", "A 48344-2022")</f>
        <v/>
      </c>
      <c r="Y32">
        <f>HYPERLINK("https://klasma.github.io/Logging_0512/klagomål/A 48344-2022 FSC-klagomål.docx", "A 48344-2022")</f>
        <v/>
      </c>
      <c r="Z32">
        <f>HYPERLINK("https://klasma.github.io/Logging_0512/klagomålsmail/A 48344-2022 FSC-klagomål mail.docx", "A 48344-2022")</f>
        <v/>
      </c>
      <c r="AA32">
        <f>HYPERLINK("https://klasma.github.io/Logging_0512/tillsyn/A 48344-2022 tillsynsbegäran.docx", "A 48344-2022")</f>
        <v/>
      </c>
      <c r="AB32">
        <f>HYPERLINK("https://klasma.github.io/Logging_0512/tillsynsmail/A 48344-2022 tillsynsbegäran mail.docx", "A 48344-2022")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46219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HYPERLINK("https://klasma.github.io/Logging_0512/artfynd/A 54075-2025 artfynd.xlsx", "A 54075-2025")</f>
        <v/>
      </c>
      <c r="W33">
        <f>HYPERLINK("https://klasma.github.io/Logging_0512/kartor/A 54075-2025 karta.png", "A 54075-2025")</f>
        <v/>
      </c>
      <c r="Y33">
        <f>HYPERLINK("https://klasma.github.io/Logging_0512/klagomål/A 54075-2025 FSC-klagomål.docx", "A 54075-2025")</f>
        <v/>
      </c>
      <c r="Z33">
        <f>HYPERLINK("https://klasma.github.io/Logging_0512/klagomålsmail/A 54075-2025 FSC-klagomål mail.docx", "A 54075-2025")</f>
        <v/>
      </c>
      <c r="AA33">
        <f>HYPERLINK("https://klasma.github.io/Logging_0512/tillsyn/A 54075-2025 tillsynsbegäran.docx", "A 54075-2025")</f>
        <v/>
      </c>
      <c r="AB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46219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Talltita</t>
        </is>
      </c>
      <c r="V34">
        <f>HYPERLINK("https://klasma.github.io/Logging_0512/artfynd/A 54520-2025 artfynd.xlsx", "A 54520-2025")</f>
        <v/>
      </c>
      <c r="W34">
        <f>HYPERLINK("https://klasma.github.io/Logging_0512/kartor/A 54520-2025 karta.png", "A 54520-2025")</f>
        <v/>
      </c>
      <c r="Y34">
        <f>HYPERLINK("https://klasma.github.io/Logging_0512/klagomål/A 54520-2025 FSC-klagomål.docx", "A 54520-2025")</f>
        <v/>
      </c>
      <c r="Z34">
        <f>HYPERLINK("https://klasma.github.io/Logging_0512/klagomålsmail/A 54520-2025 FSC-klagomål mail.docx", "A 54520-2025")</f>
        <v/>
      </c>
      <c r="AA34">
        <f>HYPERLINK("https://klasma.github.io/Logging_0512/tillsyn/A 54520-2025 tillsynsbegäran.docx", "A 54520-2025")</f>
        <v/>
      </c>
      <c r="AB34">
        <f>HYPERLINK("https://klasma.github.io/Logging_0512/tillsynsmail/A 54520-2025 tillsynsbegäran mail.docx", "A 54520-2025")</f>
        <v/>
      </c>
      <c r="AC34">
        <f>HYPERLINK("https://klasma.github.io/Logging_0512/fåglar/A 54520-2025 prioriterade fågelarter.docx", "A 54520-2025")</f>
        <v/>
      </c>
    </row>
    <row r="35" ht="15" customHeight="1">
      <c r="A35" t="inlineStr">
        <is>
          <t>A 53049-2024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45611</v>
      </c>
      <c r="E35" s="1" t="n">
        <v>46219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Mosippa</t>
        </is>
      </c>
      <c r="V35">
        <f>HYPERLINK("https://klasma.github.io/Logging_0512/artfynd/A 53049-2024 artfynd.xlsx", "A 53049-2024")</f>
        <v/>
      </c>
      <c r="W35">
        <f>HYPERLINK("https://klasma.github.io/Logging_0512/kartor/A 53049-2024 karta.png", "A 53049-2024")</f>
        <v/>
      </c>
      <c r="Y35">
        <f>HYPERLINK("https://klasma.github.io/Logging_0512/klagomål/A 53049-2024 FSC-klagomål.docx", "A 53049-2024")</f>
        <v/>
      </c>
      <c r="Z35">
        <f>HYPERLINK("https://klasma.github.io/Logging_0512/klagomålsmail/A 53049-2024 FSC-klagomål mail.docx", "A 53049-2024")</f>
        <v/>
      </c>
      <c r="AA35">
        <f>HYPERLINK("https://klasma.github.io/Logging_0512/tillsyn/A 53049-2024 tillsynsbegäran.docx", "A 53049-2024")</f>
        <v/>
      </c>
      <c r="AB35">
        <f>HYPERLINK("https://klasma.github.io/Logging_0512/tillsynsmail/A 53049-2024 tillsynsbegäran mail.docx", "A 53049-2024")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46219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Grovticka</t>
        </is>
      </c>
      <c r="V36">
        <f>HYPERLINK("https://klasma.github.io/Logging_0512/artfynd/A 41907-2024 artfynd.xlsx", "A 41907-2024")</f>
        <v/>
      </c>
      <c r="W36">
        <f>HYPERLINK("https://klasma.github.io/Logging_0512/kartor/A 41907-2024 karta.png", "A 41907-2024")</f>
        <v/>
      </c>
      <c r="Y36">
        <f>HYPERLINK("https://klasma.github.io/Logging_0512/klagomål/A 41907-2024 FSC-klagomål.docx", "A 41907-2024")</f>
        <v/>
      </c>
      <c r="Z36">
        <f>HYPERLINK("https://klasma.github.io/Logging_0512/klagomålsmail/A 41907-2024 FSC-klagomål mail.docx", "A 41907-2024")</f>
        <v/>
      </c>
      <c r="AA36">
        <f>HYPERLINK("https://klasma.github.io/Logging_0512/tillsyn/A 41907-2024 tillsynsbegäran.docx", "A 41907-2024")</f>
        <v/>
      </c>
      <c r="AB36">
        <f>HYPERLINK("https://klasma.github.io/Logging_0512/tillsynsmail/A 41907-2024 tillsynsbegäran mail.docx", "A 41907-2024")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46219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Tjäder</t>
        </is>
      </c>
      <c r="V37">
        <f>HYPERLINK("https://klasma.github.io/Logging_0512/artfynd/A 4248-2026 artfynd.xlsx", "A 4248-2026")</f>
        <v/>
      </c>
      <c r="W37">
        <f>HYPERLINK("https://klasma.github.io/Logging_0512/kartor/A 4248-2026 karta.png", "A 4248-2026")</f>
        <v/>
      </c>
      <c r="Y37">
        <f>HYPERLINK("https://klasma.github.io/Logging_0512/klagomål/A 4248-2026 FSC-klagomål.docx", "A 4248-2026")</f>
        <v/>
      </c>
      <c r="Z37">
        <f>HYPERLINK("https://klasma.github.io/Logging_0512/klagomålsmail/A 4248-2026 FSC-klagomål mail.docx", "A 4248-2026")</f>
        <v/>
      </c>
      <c r="AA37">
        <f>HYPERLINK("https://klasma.github.io/Logging_0512/tillsyn/A 4248-2026 tillsynsbegäran.docx", "A 4248-2026")</f>
        <v/>
      </c>
      <c r="AB37">
        <f>HYPERLINK("https://klasma.github.io/Logging_0512/tillsynsmail/A 4248-2026 tillsynsbegäran mail.docx", "A 4248-2026")</f>
        <v/>
      </c>
      <c r="AC37">
        <f>HYPERLINK("https://klasma.github.io/Logging_0512/fåglar/A 4248-2026 prioriterade fågelarter.docx", "A 4248-2026")</f>
        <v/>
      </c>
    </row>
    <row r="38" ht="15" customHeight="1">
      <c r="A38" t="inlineStr">
        <is>
          <t>A 47467-2021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44447</v>
      </c>
      <c r="E38" s="1" t="n">
        <v>46219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1.8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Korallrot</t>
        </is>
      </c>
      <c r="V38">
        <f>HYPERLINK("https://klasma.github.io/Logging_0512/artfynd/A 47467-2021 artfynd.xlsx", "A 47467-2021")</f>
        <v/>
      </c>
      <c r="W38">
        <f>HYPERLINK("https://klasma.github.io/Logging_0512/kartor/A 47467-2021 karta.png", "A 47467-2021")</f>
        <v/>
      </c>
      <c r="Y38">
        <f>HYPERLINK("https://klasma.github.io/Logging_0512/klagomål/A 47467-2021 FSC-klagomål.docx", "A 47467-2021")</f>
        <v/>
      </c>
      <c r="Z38">
        <f>HYPERLINK("https://klasma.github.io/Logging_0512/klagomålsmail/A 47467-2021 FSC-klagomål mail.docx", "A 47467-2021")</f>
        <v/>
      </c>
      <c r="AA38">
        <f>HYPERLINK("https://klasma.github.io/Logging_0512/tillsyn/A 47467-2021 tillsynsbegäran.docx", "A 47467-2021")</f>
        <v/>
      </c>
      <c r="AB38">
        <f>HYPERLINK("https://klasma.github.io/Logging_0512/tillsynsmail/A 47467-2021 tillsynsbegäran mail.docx", "A 47467-2021")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46219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Slåtterfibbla</t>
        </is>
      </c>
      <c r="V39">
        <f>HYPERLINK("https://klasma.github.io/Logging_0512/artfynd/A 9051-2026 artfynd.xlsx", "A 9051-2026")</f>
        <v/>
      </c>
      <c r="W39">
        <f>HYPERLINK("https://klasma.github.io/Logging_0512/kartor/A 9051-2026 karta.png", "A 9051-2026")</f>
        <v/>
      </c>
      <c r="Y39">
        <f>HYPERLINK("https://klasma.github.io/Logging_0512/klagomål/A 9051-2026 FSC-klagomål.docx", "A 9051-2026")</f>
        <v/>
      </c>
      <c r="Z39">
        <f>HYPERLINK("https://klasma.github.io/Logging_0512/klagomålsmail/A 9051-2026 FSC-klagomål mail.docx", "A 9051-2026")</f>
        <v/>
      </c>
      <c r="AA39">
        <f>HYPERLINK("https://klasma.github.io/Logging_0512/tillsyn/A 9051-2026 tillsynsbegäran.docx", "A 9051-2026")</f>
        <v/>
      </c>
      <c r="AB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46219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HYPERLINK("https://klasma.github.io/Logging_0512/artfynd/A 8923-2026 artfynd.xlsx", "A 8923-2026")</f>
        <v/>
      </c>
      <c r="W40">
        <f>HYPERLINK("https://klasma.github.io/Logging_0512/kartor/A 8923-2026 karta.png", "A 8923-2026")</f>
        <v/>
      </c>
      <c r="Y40">
        <f>HYPERLINK("https://klasma.github.io/Logging_0512/klagomål/A 8923-2026 FSC-klagomål.docx", "A 8923-2026")</f>
        <v/>
      </c>
      <c r="Z40">
        <f>HYPERLINK("https://klasma.github.io/Logging_0512/klagomålsmail/A 8923-2026 FSC-klagomål mail.docx", "A 8923-2026")</f>
        <v/>
      </c>
      <c r="AA40">
        <f>HYPERLINK("https://klasma.github.io/Logging_0512/tillsyn/A 8923-2026 tillsynsbegäran.docx", "A 8923-2026")</f>
        <v/>
      </c>
      <c r="AB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46219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HYPERLINK("https://klasma.github.io/Logging_0512/artfynd/A 12669-2025 artfynd.xlsx", "A 12669-2025")</f>
        <v/>
      </c>
      <c r="W41">
        <f>HYPERLINK("https://klasma.github.io/Logging_0512/kartor/A 12669-2025 karta.png", "A 12669-2025")</f>
        <v/>
      </c>
      <c r="Y41">
        <f>HYPERLINK("https://klasma.github.io/Logging_0512/klagomål/A 12669-2025 FSC-klagomål.docx", "A 12669-2025")</f>
        <v/>
      </c>
      <c r="Z41">
        <f>HYPERLINK("https://klasma.github.io/Logging_0512/klagomålsmail/A 12669-2025 FSC-klagomål mail.docx", "A 12669-2025")</f>
        <v/>
      </c>
      <c r="AA41">
        <f>HYPERLINK("https://klasma.github.io/Logging_0512/tillsyn/A 12669-2025 tillsynsbegäran.docx", "A 12669-2025")</f>
        <v/>
      </c>
      <c r="AB41">
        <f>HYPERLINK("https://klasma.github.io/Logging_0512/tillsynsmail/A 12669-2025 tillsynsbegäran mail.docx", "A 12669-2025")</f>
        <v/>
      </c>
    </row>
    <row r="42" ht="15" customHeight="1">
      <c r="A42" t="inlineStr">
        <is>
          <t>A 45765-2025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46219</v>
      </c>
      <c r="F42" t="inlineStr">
        <is>
          <t>ÖSTERGÖTLANDS LÄN</t>
        </is>
      </c>
      <c r="G42" t="inlineStr">
        <is>
          <t>YDRE</t>
        </is>
      </c>
      <c r="I42" t="n">
        <v>10.9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Sommarfibbla</t>
        </is>
      </c>
      <c r="V42">
        <f>HYPERLINK("https://klasma.github.io/Logging_0512/artfynd/A 45765-2025 artfynd.xlsx", "A 45765-2025")</f>
        <v/>
      </c>
      <c r="W42">
        <f>HYPERLINK("https://klasma.github.io/Logging_0512/kartor/A 45765-2025 karta.png", "A 45765-2025")</f>
        <v/>
      </c>
      <c r="Y42">
        <f>HYPERLINK("https://klasma.github.io/Logging_0512/klagomål/A 45765-2025 FSC-klagomål.docx", "A 45765-2025")</f>
        <v/>
      </c>
      <c r="Z42">
        <f>HYPERLINK("https://klasma.github.io/Logging_0512/klagomålsmail/A 45765-2025 FSC-klagomål mail.docx", "A 45765-2025")</f>
        <v/>
      </c>
      <c r="AA42">
        <f>HYPERLINK("https://klasma.github.io/Logging_0512/tillsyn/A 45765-2025 tillsynsbegäran.docx", "A 45765-2025")</f>
        <v/>
      </c>
      <c r="AB42">
        <f>HYPERLINK("https://klasma.github.io/Logging_0512/tillsynsmail/A 45765-2025 tillsynsbegäran mail.docx", "A 45765-2025")</f>
        <v/>
      </c>
    </row>
    <row r="43" ht="15" customHeight="1">
      <c r="A43" t="inlineStr">
        <is>
          <t>A 11716-2025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46219</v>
      </c>
      <c r="F43" t="inlineStr">
        <is>
          <t>ÖSTERGÖTLANDS LÄN</t>
        </is>
      </c>
      <c r="G43" t="inlineStr">
        <is>
          <t>YDRE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Kryddspindling</t>
        </is>
      </c>
      <c r="V43">
        <f>HYPERLINK("https://klasma.github.io/Logging_0512/artfynd/A 11716-2025 artfynd.xlsx", "A 11716-2025")</f>
        <v/>
      </c>
      <c r="W43">
        <f>HYPERLINK("https://klasma.github.io/Logging_0512/kartor/A 11716-2025 karta.png", "A 11716-2025")</f>
        <v/>
      </c>
      <c r="Y43">
        <f>HYPERLINK("https://klasma.github.io/Logging_0512/klagomål/A 11716-2025 FSC-klagomål.docx", "A 11716-2025")</f>
        <v/>
      </c>
      <c r="Z43">
        <f>HYPERLINK("https://klasma.github.io/Logging_0512/klagomålsmail/A 11716-2025 FSC-klagomål mail.docx", "A 11716-2025")</f>
        <v/>
      </c>
      <c r="AA43">
        <f>HYPERLINK("https://klasma.github.io/Logging_0512/tillsyn/A 11716-2025 tillsynsbegäran.docx", "A 11716-2025")</f>
        <v/>
      </c>
      <c r="AB43">
        <f>HYPERLINK("https://klasma.github.io/Logging_0512/tillsynsmail/A 11716-2025 tillsynsbegäran mail.docx", "A 11716-2025")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46219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Svinrot</t>
        </is>
      </c>
      <c r="V44">
        <f>HYPERLINK("https://klasma.github.io/Logging_0512/artfynd/A 29200-2026 artfynd.xlsx", "A 29200-2026")</f>
        <v/>
      </c>
      <c r="W44">
        <f>HYPERLINK("https://klasma.github.io/Logging_0512/kartor/A 29200-2026 karta.png", "A 29200-2026")</f>
        <v/>
      </c>
      <c r="Y44">
        <f>HYPERLINK("https://klasma.github.io/Logging_0512/klagomål/A 29200-2026 FSC-klagomål.docx", "A 29200-2026")</f>
        <v/>
      </c>
      <c r="Z44">
        <f>HYPERLINK("https://klasma.github.io/Logging_0512/klagomålsmail/A 29200-2026 FSC-klagomål mail.docx", "A 29200-2026")</f>
        <v/>
      </c>
      <c r="AA44">
        <f>HYPERLINK("https://klasma.github.io/Logging_0512/tillsyn/A 29200-2026 tillsynsbegäran.docx", "A 29200-2026")</f>
        <v/>
      </c>
      <c r="AB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46219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Smal guldkornsfibbla</t>
        </is>
      </c>
      <c r="V45">
        <f>HYPERLINK("https://klasma.github.io/Logging_0512/artfynd/S 1389-2025 artfynd.xlsx", "S 1389-2025")</f>
        <v/>
      </c>
      <c r="W45">
        <f>HYPERLINK("https://klasma.github.io/Logging_0512/kartor/S 1389-2025 karta.png", "S 1389-2025")</f>
        <v/>
      </c>
      <c r="Y45">
        <f>HYPERLINK("https://klasma.github.io/Logging_0512/klagomål/S 1389-2025 FSC-klagomål.docx", "S 1389-2025")</f>
        <v/>
      </c>
      <c r="Z45">
        <f>HYPERLINK("https://klasma.github.io/Logging_0512/klagomålsmail/S 1389-2025 FSC-klagomål mail.docx", "S 1389-2025")</f>
        <v/>
      </c>
      <c r="AA45">
        <f>HYPERLINK("https://klasma.github.io/Logging_0512/tillsyn/S 1389-2025 tillsynsbegäran.docx", "S 1389-2025")</f>
        <v/>
      </c>
      <c r="AB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46219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HYPERLINK("https://klasma.github.io/Logging_0512/artfynd/S 490-2026 artfynd.xlsx", "S 490-2026")</f>
        <v/>
      </c>
      <c r="W46">
        <f>HYPERLINK("https://klasma.github.io/Logging_0512/kartor/S 490-2026 karta.png", "S 490-2026")</f>
        <v/>
      </c>
      <c r="Y46">
        <f>HYPERLINK("https://klasma.github.io/Logging_0512/klagomål/S 490-2026 FSC-klagomål.docx", "S 490-2026")</f>
        <v/>
      </c>
      <c r="Z46">
        <f>HYPERLINK("https://klasma.github.io/Logging_0512/klagomålsmail/S 490-2026 FSC-klagomål mail.docx", "S 490-2026")</f>
        <v/>
      </c>
      <c r="AA46">
        <f>HYPERLINK("https://klasma.github.io/Logging_0512/tillsyn/S 490-2026 tillsynsbegäran.docx", "S 490-2026")</f>
        <v/>
      </c>
      <c r="AB46">
        <f>HYPERLINK("https://klasma.github.io/Logging_0512/tillsynsmail/S 490-2026 tillsynsbegäran mail.docx", "S 490-2026")</f>
        <v/>
      </c>
      <c r="AC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46219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46219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46219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46219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46219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46219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46219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46219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46219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46219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46219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46219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46219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46219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46219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46219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46219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46219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46219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46219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46219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46219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46219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46219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46219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46219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46219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46219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46219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46219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46219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35209-2023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46219</v>
      </c>
      <c r="F78" t="inlineStr">
        <is>
          <t>ÖSTERGÖTLANDS LÄN</t>
        </is>
      </c>
      <c r="G78" t="inlineStr">
        <is>
          <t>YDRE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71035-2021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46219</v>
      </c>
      <c r="F79" t="inlineStr">
        <is>
          <t>ÖSTERGÖTLANDS LÄN</t>
        </is>
      </c>
      <c r="G79" t="inlineStr">
        <is>
          <t>YDRE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41536-2022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44827</v>
      </c>
      <c r="E80" s="1" t="n">
        <v>46219</v>
      </c>
      <c r="F80" t="inlineStr">
        <is>
          <t>ÖSTERGÖTLANDS LÄN</t>
        </is>
      </c>
      <c r="G80" t="inlineStr">
        <is>
          <t>YDRE</t>
        </is>
      </c>
      <c r="H80" t="inlineStr">
        <is>
          <t>Sveaskog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27744-2022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46219</v>
      </c>
      <c r="F81" t="inlineStr">
        <is>
          <t>ÖSTERGÖTLANDS LÄN</t>
        </is>
      </c>
      <c r="G81" t="inlineStr">
        <is>
          <t>YDRE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46219</v>
      </c>
      <c r="F82" t="inlineStr">
        <is>
          <t>ÖSTERGÖTLANDS LÄN</t>
        </is>
      </c>
      <c r="G82" t="inlineStr">
        <is>
          <t>YDRE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71041-2021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46219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24529-2023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46219</v>
      </c>
      <c r="F84" t="inlineStr">
        <is>
          <t>ÖSTERGÖTLANDS LÄN</t>
        </is>
      </c>
      <c r="G84" t="inlineStr">
        <is>
          <t>YDRE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53909-2021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46219</v>
      </c>
      <c r="F85" t="inlineStr">
        <is>
          <t>ÖSTERGÖTLANDS LÄN</t>
        </is>
      </c>
      <c r="G85" t="inlineStr">
        <is>
          <t>YDRE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59296-2021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46219</v>
      </c>
      <c r="F86" t="inlineStr">
        <is>
          <t>ÖSTERGÖTLANDS LÄN</t>
        </is>
      </c>
      <c r="G86" t="inlineStr">
        <is>
          <t>YDRE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46219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46219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39319-2021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44413</v>
      </c>
      <c r="E89" s="1" t="n">
        <v>46219</v>
      </c>
      <c r="F89" t="inlineStr">
        <is>
          <t>ÖSTERGÖTLANDS LÄN</t>
        </is>
      </c>
      <c r="G89" t="inlineStr">
        <is>
          <t>YDRE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42103-2021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44426</v>
      </c>
      <c r="E90" s="1" t="n">
        <v>46219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12569-2023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46219</v>
      </c>
      <c r="F91" t="inlineStr">
        <is>
          <t>ÖSTERGÖTLANDS LÄN</t>
        </is>
      </c>
      <c r="G91" t="inlineStr">
        <is>
          <t>YDRE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14101-2022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44651</v>
      </c>
      <c r="E92" s="1" t="n">
        <v>46219</v>
      </c>
      <c r="F92" t="inlineStr">
        <is>
          <t>ÖSTERGÖTLANDS LÄN</t>
        </is>
      </c>
      <c r="G92" t="inlineStr">
        <is>
          <t>YDRE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46219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46219</v>
      </c>
      <c r="F94" t="inlineStr">
        <is>
          <t>ÖSTERGÖTLANDS LÄN</t>
        </is>
      </c>
      <c r="G94" t="inlineStr">
        <is>
          <t>YDRE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11567-2023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46219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11788-2023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46219</v>
      </c>
      <c r="F96" t="inlineStr">
        <is>
          <t>ÖSTERGÖTLANDS LÄN</t>
        </is>
      </c>
      <c r="G96" t="inlineStr">
        <is>
          <t>YDRE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16050-2025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45748</v>
      </c>
      <c r="E97" s="1" t="n">
        <v>46219</v>
      </c>
      <c r="F97" t="inlineStr">
        <is>
          <t>ÖSTERGÖTLANDS LÄN</t>
        </is>
      </c>
      <c r="G97" t="inlineStr">
        <is>
          <t>YDRE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45199-2024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45575</v>
      </c>
      <c r="E98" s="1" t="n">
        <v>46219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50328-2024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46219</v>
      </c>
      <c r="F99" t="inlineStr">
        <is>
          <t>ÖSTERGÖTLANDS LÄN</t>
        </is>
      </c>
      <c r="G99" t="inlineStr">
        <is>
          <t>YDRE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46219</v>
      </c>
      <c r="F100" t="inlineStr">
        <is>
          <t>ÖSTERGÖTLANDS LÄN</t>
        </is>
      </c>
      <c r="G100" t="inlineStr">
        <is>
          <t>YDRE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47464-2021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44447</v>
      </c>
      <c r="E101" s="1" t="n">
        <v>46219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17291-2024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46219</v>
      </c>
      <c r="F102" t="inlineStr">
        <is>
          <t>ÖSTERGÖTLANDS LÄN</t>
        </is>
      </c>
      <c r="G102" t="inlineStr">
        <is>
          <t>YDRE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53534-2022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44874</v>
      </c>
      <c r="E103" s="1" t="n">
        <v>46219</v>
      </c>
      <c r="F103" t="inlineStr">
        <is>
          <t>ÖSTERGÖTLANDS LÄN</t>
        </is>
      </c>
      <c r="G103" t="inlineStr">
        <is>
          <t>YDRE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63242-2023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46219</v>
      </c>
      <c r="F104" t="inlineStr">
        <is>
          <t>ÖSTERGÖTLANDS LÄN</t>
        </is>
      </c>
      <c r="G104" t="inlineStr">
        <is>
          <t>YDRE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11185-2024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46219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10424-2024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46219</v>
      </c>
      <c r="F106" t="inlineStr">
        <is>
          <t>ÖSTERGÖTLANDS LÄN</t>
        </is>
      </c>
      <c r="G106" t="inlineStr">
        <is>
          <t>YDRE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17968-2024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46219</v>
      </c>
      <c r="F107" t="inlineStr">
        <is>
          <t>ÖSTERGÖTLANDS LÄN</t>
        </is>
      </c>
      <c r="G107" t="inlineStr">
        <is>
          <t>YDRE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39903-2021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44417</v>
      </c>
      <c r="E108" s="1" t="n">
        <v>46219</v>
      </c>
      <c r="F108" t="inlineStr">
        <is>
          <t>ÖSTERGÖTLANDS LÄN</t>
        </is>
      </c>
      <c r="G108" t="inlineStr">
        <is>
          <t>YDRE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39906-2021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44417</v>
      </c>
      <c r="E109" s="1" t="n">
        <v>46219</v>
      </c>
      <c r="F109" t="inlineStr">
        <is>
          <t>ÖSTERGÖTLANDS LÄN</t>
        </is>
      </c>
      <c r="G109" t="inlineStr">
        <is>
          <t>YDRE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48742-2023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46219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46219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45666</v>
      </c>
      <c r="E112" s="1" t="n">
        <v>46219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52074-2023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46219</v>
      </c>
      <c r="F113" t="inlineStr">
        <is>
          <t>ÖSTERGÖTLANDS LÄN</t>
        </is>
      </c>
      <c r="G113" t="inlineStr">
        <is>
          <t>YDRE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46219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32050-2023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45119</v>
      </c>
      <c r="E115" s="1" t="n">
        <v>46219</v>
      </c>
      <c r="F115" t="inlineStr">
        <is>
          <t>ÖSTERGÖTLANDS LÄN</t>
        </is>
      </c>
      <c r="G115" t="inlineStr">
        <is>
          <t>YDRE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46219</v>
      </c>
      <c r="F116" t="inlineStr">
        <is>
          <t>ÖSTERGÖTLANDS LÄN</t>
        </is>
      </c>
      <c r="G116" t="inlineStr">
        <is>
          <t>YDRE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45194-2021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46219</v>
      </c>
      <c r="F117" t="inlineStr">
        <is>
          <t>ÖSTERGÖTLANDS LÄN</t>
        </is>
      </c>
      <c r="G117" t="inlineStr">
        <is>
          <t>YDRE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49441-2024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45595</v>
      </c>
      <c r="E118" s="1" t="n">
        <v>46219</v>
      </c>
      <c r="F118" t="inlineStr">
        <is>
          <t>ÖSTERGÖTLANDS LÄN</t>
        </is>
      </c>
      <c r="G118" t="inlineStr">
        <is>
          <t>YDRE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6759-2023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44966</v>
      </c>
      <c r="E119" s="1" t="n">
        <v>46219</v>
      </c>
      <c r="F119" t="inlineStr">
        <is>
          <t>ÖSTERGÖTLANDS LÄN</t>
        </is>
      </c>
      <c r="G119" t="inlineStr">
        <is>
          <t>YDRE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44916</v>
      </c>
      <c r="E120" s="1" t="n">
        <v>46219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45198-2024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46219</v>
      </c>
      <c r="F121" t="inlineStr">
        <is>
          <t>ÖSTERGÖTLANDS LÄN</t>
        </is>
      </c>
      <c r="G121" t="inlineStr">
        <is>
          <t>YDRE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27159-2023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46219</v>
      </c>
      <c r="F122" t="inlineStr">
        <is>
          <t>ÖSTERGÖTLANDS LÄN</t>
        </is>
      </c>
      <c r="G122" t="inlineStr">
        <is>
          <t>YDRE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49694-2024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46219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46219</v>
      </c>
      <c r="F124" t="inlineStr">
        <is>
          <t>ÖSTERGÖTLANDS LÄN</t>
        </is>
      </c>
      <c r="G124" t="inlineStr">
        <is>
          <t>YDRE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15112-2023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45016</v>
      </c>
      <c r="E125" s="1" t="n">
        <v>46219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27543-2024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46219</v>
      </c>
      <c r="F126" t="inlineStr">
        <is>
          <t>ÖSTERGÖTLANDS LÄN</t>
        </is>
      </c>
      <c r="G126" t="inlineStr">
        <is>
          <t>YDRE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58413-2024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45634</v>
      </c>
      <c r="E127" s="1" t="n">
        <v>46219</v>
      </c>
      <c r="F127" t="inlineStr">
        <is>
          <t>ÖSTERGÖTLANDS LÄN</t>
        </is>
      </c>
      <c r="G127" t="inlineStr">
        <is>
          <t>YDRE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61753-2024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45649</v>
      </c>
      <c r="E128" s="1" t="n">
        <v>46219</v>
      </c>
      <c r="F128" t="inlineStr">
        <is>
          <t>ÖSTERGÖTLANDS LÄN</t>
        </is>
      </c>
      <c r="G128" t="inlineStr">
        <is>
          <t>YDRE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39788-2025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45891</v>
      </c>
      <c r="E129" s="1" t="n">
        <v>46219</v>
      </c>
      <c r="F129" t="inlineStr">
        <is>
          <t>ÖSTERGÖTLANDS LÄN</t>
        </is>
      </c>
      <c r="G129" t="inlineStr">
        <is>
          <t>YDRE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13529-2025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46219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46219</v>
      </c>
      <c r="F131" t="inlineStr">
        <is>
          <t>ÖSTERGÖTLANDS LÄN</t>
        </is>
      </c>
      <c r="G131" t="inlineStr">
        <is>
          <t>YDRE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46219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63248-2023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46219</v>
      </c>
      <c r="F133" t="inlineStr">
        <is>
          <t>ÖSTERGÖTLANDS LÄN</t>
        </is>
      </c>
      <c r="G133" t="inlineStr">
        <is>
          <t>YDRE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38928-2022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44816</v>
      </c>
      <c r="E134" s="1" t="n">
        <v>46219</v>
      </c>
      <c r="F134" t="inlineStr">
        <is>
          <t>ÖSTERGÖTLANDS LÄN</t>
        </is>
      </c>
      <c r="G134" t="inlineStr">
        <is>
          <t>YDRE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55844-2021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44476</v>
      </c>
      <c r="E135" s="1" t="n">
        <v>46219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40698-2023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46219</v>
      </c>
      <c r="F136" t="inlineStr">
        <is>
          <t>ÖSTERGÖTLANDS LÄN</t>
        </is>
      </c>
      <c r="G136" t="inlineStr">
        <is>
          <t>YDRE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45692</v>
      </c>
      <c r="E137" s="1" t="n">
        <v>46219</v>
      </c>
      <c r="F137" t="inlineStr">
        <is>
          <t>ÖSTERGÖTLANDS LÄN</t>
        </is>
      </c>
      <c r="G137" t="inlineStr">
        <is>
          <t>YDRE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44562</v>
      </c>
      <c r="E138" s="1" t="n">
        <v>46219</v>
      </c>
      <c r="F138" t="inlineStr">
        <is>
          <t>ÖSTERGÖTLANDS LÄN</t>
        </is>
      </c>
      <c r="G138" t="inlineStr">
        <is>
          <t>YDRE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26026-2023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46219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61942-2021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46219</v>
      </c>
      <c r="F140" t="inlineStr">
        <is>
          <t>ÖSTERGÖTLANDS LÄN</t>
        </is>
      </c>
      <c r="G140" t="inlineStr">
        <is>
          <t>YDRE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45698</v>
      </c>
      <c r="E141" s="1" t="n">
        <v>46219</v>
      </c>
      <c r="F141" t="inlineStr">
        <is>
          <t>ÖSTERGÖTLANDS LÄN</t>
        </is>
      </c>
      <c r="G141" t="inlineStr">
        <is>
          <t>YDRE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43100-2025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46219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43088-2025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46219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43234-2025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46219</v>
      </c>
      <c r="F144" t="inlineStr">
        <is>
          <t>ÖSTERGÖTLANDS LÄN</t>
        </is>
      </c>
      <c r="G144" t="inlineStr">
        <is>
          <t>YDRE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43231-2025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45910</v>
      </c>
      <c r="E145" s="1" t="n">
        <v>46219</v>
      </c>
      <c r="F145" t="inlineStr">
        <is>
          <t>ÖSTERGÖTLANDS LÄN</t>
        </is>
      </c>
      <c r="G145" t="inlineStr">
        <is>
          <t>YDRE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43232-2025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46219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8088-2025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46219</v>
      </c>
      <c r="F147" t="inlineStr">
        <is>
          <t>ÖSTERGÖTLANDS LÄN</t>
        </is>
      </c>
      <c r="G147" t="inlineStr">
        <is>
          <t>YDRE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45395-2022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46219</v>
      </c>
      <c r="F148" t="inlineStr">
        <is>
          <t>ÖSTERGÖTLANDS LÄN</t>
        </is>
      </c>
      <c r="G148" t="inlineStr">
        <is>
          <t>YDRE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44498-2025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46219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44474-2025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46219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46219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44464-2025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46219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56900-2022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46219</v>
      </c>
      <c r="F153" t="inlineStr">
        <is>
          <t>ÖSTERGÖTLANDS LÄN</t>
        </is>
      </c>
      <c r="G153" t="inlineStr">
        <is>
          <t>YDRE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9160-2023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46219</v>
      </c>
      <c r="F154" t="inlineStr">
        <is>
          <t>ÖSTERGÖTLANDS LÄN</t>
        </is>
      </c>
      <c r="G154" t="inlineStr">
        <is>
          <t>YDRE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59407-2021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44491</v>
      </c>
      <c r="E155" s="1" t="n">
        <v>46219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45752-2025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45922</v>
      </c>
      <c r="E156" s="1" t="n">
        <v>46219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46086-2025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45924</v>
      </c>
      <c r="E157" s="1" t="n">
        <v>46219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46219</v>
      </c>
      <c r="F158" t="inlineStr">
        <is>
          <t>ÖSTERGÖTLANDS LÄN</t>
        </is>
      </c>
      <c r="G158" t="inlineStr">
        <is>
          <t>YDRE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46219</v>
      </c>
      <c r="F159" t="inlineStr">
        <is>
          <t>ÖSTERGÖTLANDS LÄN</t>
        </is>
      </c>
      <c r="G159" t="inlineStr">
        <is>
          <t>YDRE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5665-2024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45334</v>
      </c>
      <c r="E160" s="1" t="n">
        <v>46219</v>
      </c>
      <c r="F160" t="inlineStr">
        <is>
          <t>ÖSTERGÖTLANDS LÄN</t>
        </is>
      </c>
      <c r="G160" t="inlineStr">
        <is>
          <t>YDRE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61690-2024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45647</v>
      </c>
      <c r="E161" s="1" t="n">
        <v>46219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56606-2021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44480</v>
      </c>
      <c r="E162" s="1" t="n">
        <v>46219</v>
      </c>
      <c r="F162" t="inlineStr">
        <is>
          <t>ÖSTERGÖTLANDS LÄN</t>
        </is>
      </c>
      <c r="G162" t="inlineStr">
        <is>
          <t>YDRE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61752-2024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45649</v>
      </c>
      <c r="E163" s="1" t="n">
        <v>46219</v>
      </c>
      <c r="F163" t="inlineStr">
        <is>
          <t>ÖSTERGÖTLANDS LÄN</t>
        </is>
      </c>
      <c r="G163" t="inlineStr">
        <is>
          <t>YDRE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27798-2024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46219</v>
      </c>
      <c r="F164" t="inlineStr">
        <is>
          <t>ÖSTERGÖTLANDS LÄN</t>
        </is>
      </c>
      <c r="G164" t="inlineStr">
        <is>
          <t>YDRE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46219</v>
      </c>
      <c r="F165" t="inlineStr">
        <is>
          <t>ÖSTERGÖTLANDS LÄN</t>
        </is>
      </c>
      <c r="G165" t="inlineStr">
        <is>
          <t>YDRE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50979-2023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46219</v>
      </c>
      <c r="F166" t="inlineStr">
        <is>
          <t>ÖSTERGÖTLANDS LÄN</t>
        </is>
      </c>
      <c r="G166" t="inlineStr">
        <is>
          <t>YDRE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47515-2025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46219</v>
      </c>
      <c r="F167" t="inlineStr">
        <is>
          <t>ÖSTERGÖTLANDS LÄN</t>
        </is>
      </c>
      <c r="G167" t="inlineStr">
        <is>
          <t>YDRE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47514-2025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46219</v>
      </c>
      <c r="F168" t="inlineStr">
        <is>
          <t>ÖSTERGÖTLANDS LÄN</t>
        </is>
      </c>
      <c r="G168" t="inlineStr">
        <is>
          <t>YDRE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48026-2025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46219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46219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40988-2024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45558</v>
      </c>
      <c r="E171" s="1" t="n">
        <v>46219</v>
      </c>
      <c r="F171" t="inlineStr">
        <is>
          <t>ÖSTERGÖTLANDS LÄN</t>
        </is>
      </c>
      <c r="G171" t="inlineStr">
        <is>
          <t>YDRE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59811-2022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46219</v>
      </c>
      <c r="F172" t="inlineStr">
        <is>
          <t>ÖSTERGÖTLANDS LÄN</t>
        </is>
      </c>
      <c r="G172" t="inlineStr">
        <is>
          <t>YDRE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59816-2022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46219</v>
      </c>
      <c r="F173" t="inlineStr">
        <is>
          <t>ÖSTERGÖTLANDS LÄN</t>
        </is>
      </c>
      <c r="G173" t="inlineStr">
        <is>
          <t>YDRE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10699-2022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44624</v>
      </c>
      <c r="E174" s="1" t="n">
        <v>46219</v>
      </c>
      <c r="F174" t="inlineStr">
        <is>
          <t>ÖSTERGÖTLANDS LÄN</t>
        </is>
      </c>
      <c r="G174" t="inlineStr">
        <is>
          <t>YDRE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32016-2024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45510</v>
      </c>
      <c r="E175" s="1" t="n">
        <v>46219</v>
      </c>
      <c r="F175" t="inlineStr">
        <is>
          <t>ÖSTERGÖTLANDS LÄN</t>
        </is>
      </c>
      <c r="G175" t="inlineStr">
        <is>
          <t>YDRE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59812-2022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44908</v>
      </c>
      <c r="E176" s="1" t="n">
        <v>46219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6756-2023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46219</v>
      </c>
      <c r="F177" t="inlineStr">
        <is>
          <t>ÖSTERGÖTLANDS LÄN</t>
        </is>
      </c>
      <c r="G177" t="inlineStr">
        <is>
          <t>YDRE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56313-2021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44480</v>
      </c>
      <c r="E178" s="1" t="n">
        <v>46219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8611-2024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45355</v>
      </c>
      <c r="E179" s="1" t="n">
        <v>46219</v>
      </c>
      <c r="F179" t="inlineStr">
        <is>
          <t>ÖSTERGÖTLANDS LÄN</t>
        </is>
      </c>
      <c r="G179" t="inlineStr">
        <is>
          <t>YDRE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49895-2025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45940</v>
      </c>
      <c r="E180" s="1" t="n">
        <v>46219</v>
      </c>
      <c r="F180" t="inlineStr">
        <is>
          <t>ÖSTERGÖTLANDS LÄN</t>
        </is>
      </c>
      <c r="G180" t="inlineStr">
        <is>
          <t>YDRE</t>
        </is>
      </c>
      <c r="H180" t="inlineStr">
        <is>
          <t>Kyrkan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49451-2025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46219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46219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44283-2021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44435</v>
      </c>
      <c r="E183" s="1" t="n">
        <v>46219</v>
      </c>
      <c r="F183" t="inlineStr">
        <is>
          <t>ÖSTERGÖTLANDS LÄN</t>
        </is>
      </c>
      <c r="G183" t="inlineStr">
        <is>
          <t>YDRE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49450-2025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46219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49890-2025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45940</v>
      </c>
      <c r="E185" s="1" t="n">
        <v>46219</v>
      </c>
      <c r="F185" t="inlineStr">
        <is>
          <t>ÖSTERGÖTLANDS LÄN</t>
        </is>
      </c>
      <c r="G185" t="inlineStr">
        <is>
          <t>YDRE</t>
        </is>
      </c>
      <c r="H185" t="inlineStr">
        <is>
          <t>Kyrkan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51153-2022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44868</v>
      </c>
      <c r="E186" s="1" t="n">
        <v>46219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61205-2023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45264</v>
      </c>
      <c r="E187" s="1" t="n">
        <v>46219</v>
      </c>
      <c r="F187" t="inlineStr">
        <is>
          <t>ÖSTERGÖTLANDS LÄN</t>
        </is>
      </c>
      <c r="G187" t="inlineStr">
        <is>
          <t>YDRE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28239-2023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46219</v>
      </c>
      <c r="F188" t="inlineStr">
        <is>
          <t>ÖSTERGÖTLANDS LÄN</t>
        </is>
      </c>
      <c r="G188" t="inlineStr">
        <is>
          <t>YDRE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50018-2025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46219</v>
      </c>
      <c r="F189" t="inlineStr">
        <is>
          <t>ÖSTERGÖTLANDS LÄN</t>
        </is>
      </c>
      <c r="G189" t="inlineStr">
        <is>
          <t>YDRE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36711-2023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45153</v>
      </c>
      <c r="E190" s="1" t="n">
        <v>46219</v>
      </c>
      <c r="F190" t="inlineStr">
        <is>
          <t>ÖSTERGÖTLANDS LÄN</t>
        </is>
      </c>
      <c r="G190" t="inlineStr">
        <is>
          <t>YDRE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62859-2023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46219</v>
      </c>
      <c r="F191" t="inlineStr">
        <is>
          <t>ÖSTERGÖTLANDS LÄN</t>
        </is>
      </c>
      <c r="G191" t="inlineStr">
        <is>
          <t>YDRE</t>
        </is>
      </c>
      <c r="H191" t="inlineStr">
        <is>
          <t>Övriga Aktiebolag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13866-2025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46219</v>
      </c>
      <c r="F192" t="inlineStr">
        <is>
          <t>ÖSTERGÖTLANDS LÄN</t>
        </is>
      </c>
      <c r="G192" t="inlineStr">
        <is>
          <t>YDRE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45875-2024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46219</v>
      </c>
      <c r="F193" t="inlineStr">
        <is>
          <t>ÖSTERGÖTLANDS LÄN</t>
        </is>
      </c>
      <c r="G193" t="inlineStr">
        <is>
          <t>YDRE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7051-2025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46219</v>
      </c>
      <c r="F194" t="inlineStr">
        <is>
          <t>ÖSTERGÖTLANDS LÄN</t>
        </is>
      </c>
      <c r="G194" t="inlineStr">
        <is>
          <t>YDRE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25844-2023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46219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52389-2025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46219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46219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11785-2023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46219</v>
      </c>
      <c r="F198" t="inlineStr">
        <is>
          <t>ÖSTERGÖTLANDS LÄN</t>
        </is>
      </c>
      <c r="G198" t="inlineStr">
        <is>
          <t>YDRE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46219</v>
      </c>
      <c r="F199" t="inlineStr">
        <is>
          <t>ÖSTERGÖTLANDS LÄN</t>
        </is>
      </c>
      <c r="G199" t="inlineStr">
        <is>
          <t>YDRE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57290-2021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44483</v>
      </c>
      <c r="E200" s="1" t="n">
        <v>46219</v>
      </c>
      <c r="F200" t="inlineStr">
        <is>
          <t>ÖSTERGÖTLANDS LÄN</t>
        </is>
      </c>
      <c r="G200" t="inlineStr">
        <is>
          <t>YDRE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54066-2025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46219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46219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54063-2025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46219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54544-2025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46219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46219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46219</v>
      </c>
      <c r="F206" t="inlineStr">
        <is>
          <t>ÖSTERGÖTLANDS LÄN</t>
        </is>
      </c>
      <c r="G206" t="inlineStr">
        <is>
          <t>YDRE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7026-2025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46219</v>
      </c>
      <c r="F207" t="inlineStr">
        <is>
          <t>ÖSTERGÖTLANDS LÄN</t>
        </is>
      </c>
      <c r="G207" t="inlineStr">
        <is>
          <t>YDRE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24983-2023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45085</v>
      </c>
      <c r="E208" s="1" t="n">
        <v>46219</v>
      </c>
      <c r="F208" t="inlineStr">
        <is>
          <t>ÖSTERGÖTLANDS LÄN</t>
        </is>
      </c>
      <c r="G208" t="inlineStr">
        <is>
          <t>YDRE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54516-2025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46219</v>
      </c>
      <c r="F209" t="inlineStr">
        <is>
          <t>ÖSTERGÖTLANDS LÄN</t>
        </is>
      </c>
      <c r="G209" t="inlineStr">
        <is>
          <t>YDRE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54575-2025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46219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54569-2025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46219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54513-2025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46219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54555-2025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46219</v>
      </c>
      <c r="F213" t="inlineStr">
        <is>
          <t>ÖSTERGÖTLANDS LÄN</t>
        </is>
      </c>
      <c r="G213" t="inlineStr">
        <is>
          <t>YDRE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46219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11163-2023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46219</v>
      </c>
      <c r="F215" t="inlineStr">
        <is>
          <t>ÖSTERGÖTLANDS LÄN</t>
        </is>
      </c>
      <c r="G215" t="inlineStr">
        <is>
          <t>YDRE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42343-2022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46219</v>
      </c>
      <c r="F216" t="inlineStr">
        <is>
          <t>ÖSTERGÖTLANDS LÄN</t>
        </is>
      </c>
      <c r="G216" t="inlineStr">
        <is>
          <t>YDRE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47338-2024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46219</v>
      </c>
      <c r="F217" t="inlineStr">
        <is>
          <t>ÖSTERGÖTLANDS LÄN</t>
        </is>
      </c>
      <c r="G217" t="inlineStr">
        <is>
          <t>YDRE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2745-2026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46038</v>
      </c>
      <c r="E218" s="1" t="n">
        <v>46219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68983-2021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46219</v>
      </c>
      <c r="F219" t="inlineStr">
        <is>
          <t>ÖSTERGÖTLANDS LÄN</t>
        </is>
      </c>
      <c r="G219" t="inlineStr">
        <is>
          <t>YDRE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45335</v>
      </c>
      <c r="E220" s="1" t="n">
        <v>46219</v>
      </c>
      <c r="F220" t="inlineStr">
        <is>
          <t>ÖSTERGÖTLANDS LÄN</t>
        </is>
      </c>
      <c r="G220" t="inlineStr">
        <is>
          <t>YDRE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24693-2024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45460</v>
      </c>
      <c r="E221" s="1" t="n">
        <v>46219</v>
      </c>
      <c r="F221" t="inlineStr">
        <is>
          <t>ÖSTERGÖTLANDS LÄN</t>
        </is>
      </c>
      <c r="G221" t="inlineStr">
        <is>
          <t>YDRE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17296-2024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45414</v>
      </c>
      <c r="E222" s="1" t="n">
        <v>46219</v>
      </c>
      <c r="F222" t="inlineStr">
        <is>
          <t>ÖSTERGÖTLANDS LÄN</t>
        </is>
      </c>
      <c r="G222" t="inlineStr">
        <is>
          <t>YDRE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14953-2024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45398</v>
      </c>
      <c r="E223" s="1" t="n">
        <v>46219</v>
      </c>
      <c r="F223" t="inlineStr">
        <is>
          <t>ÖSTERGÖTLANDS LÄN</t>
        </is>
      </c>
      <c r="G223" t="inlineStr">
        <is>
          <t>YDRE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46219</v>
      </c>
      <c r="F224" t="inlineStr">
        <is>
          <t>ÖSTERGÖTLANDS LÄN</t>
        </is>
      </c>
      <c r="G224" t="inlineStr">
        <is>
          <t>YDRE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30126-2023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46219</v>
      </c>
      <c r="F225" t="inlineStr">
        <is>
          <t>ÖSTERGÖTLANDS LÄN</t>
        </is>
      </c>
      <c r="G225" t="inlineStr">
        <is>
          <t>YDRE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54602-2025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46219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11790-2023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46219</v>
      </c>
      <c r="F227" t="inlineStr">
        <is>
          <t>ÖSTERGÖTLANDS LÄN</t>
        </is>
      </c>
      <c r="G227" t="inlineStr">
        <is>
          <t>YDRE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44635</v>
      </c>
      <c r="E228" s="1" t="n">
        <v>46219</v>
      </c>
      <c r="F228" t="inlineStr">
        <is>
          <t>ÖSTERGÖTLANDS LÄN</t>
        </is>
      </c>
      <c r="G228" t="inlineStr">
        <is>
          <t>YDRE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24780-2026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46171</v>
      </c>
      <c r="E229" s="1" t="n">
        <v>46219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45138</v>
      </c>
      <c r="E230" s="1" t="n">
        <v>46219</v>
      </c>
      <c r="F230" t="inlineStr">
        <is>
          <t>ÖSTERGÖTLANDS LÄN</t>
        </is>
      </c>
      <c r="G230" t="inlineStr">
        <is>
          <t>YDRE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62815-2021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44504</v>
      </c>
      <c r="E231" s="1" t="n">
        <v>46219</v>
      </c>
      <c r="F231" t="inlineStr">
        <is>
          <t>ÖSTERGÖTLANDS LÄN</t>
        </is>
      </c>
      <c r="G231" t="inlineStr">
        <is>
          <t>YDRE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46219</v>
      </c>
      <c r="F232" t="inlineStr">
        <is>
          <t>ÖSTERGÖTLANDS LÄN</t>
        </is>
      </c>
      <c r="G232" t="inlineStr">
        <is>
          <t>YDRE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60138-2025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46219</v>
      </c>
      <c r="F233" t="inlineStr">
        <is>
          <t>ÖSTERGÖTLANDS LÄN</t>
        </is>
      </c>
      <c r="G233" t="inlineStr">
        <is>
          <t>YDRE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30108-2023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45110</v>
      </c>
      <c r="E234" s="1" t="n">
        <v>46219</v>
      </c>
      <c r="F234" t="inlineStr">
        <is>
          <t>ÖSTERGÖTLANDS LÄN</t>
        </is>
      </c>
      <c r="G234" t="inlineStr">
        <is>
          <t>YDRE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37567-2023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46219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60131-2025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46219</v>
      </c>
      <c r="F236" t="inlineStr">
        <is>
          <t>ÖSTERGÖTLANDS LÄN</t>
        </is>
      </c>
      <c r="G236" t="inlineStr">
        <is>
          <t>YDRE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60135-2025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46219</v>
      </c>
      <c r="F237" t="inlineStr">
        <is>
          <t>ÖSTERGÖTLANDS LÄN</t>
        </is>
      </c>
      <c r="G237" t="inlineStr">
        <is>
          <t>YDRE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46219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14184-2022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44651</v>
      </c>
      <c r="E239" s="1" t="n">
        <v>46219</v>
      </c>
      <c r="F239" t="inlineStr">
        <is>
          <t>ÖSTERGÖTLANDS LÄN</t>
        </is>
      </c>
      <c r="G239" t="inlineStr">
        <is>
          <t>YDRE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62485-2021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44503</v>
      </c>
      <c r="E240" s="1" t="n">
        <v>46219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46689-2024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45583</v>
      </c>
      <c r="E241" s="1" t="n">
        <v>46219</v>
      </c>
      <c r="F241" t="inlineStr">
        <is>
          <t>ÖSTERGÖTLANDS LÄN</t>
        </is>
      </c>
      <c r="G241" t="inlineStr">
        <is>
          <t>YDRE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50977-2023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46219</v>
      </c>
      <c r="F242" t="inlineStr">
        <is>
          <t>ÖSTERGÖTLANDS LÄN</t>
        </is>
      </c>
      <c r="G242" t="inlineStr">
        <is>
          <t>YDRE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54942-2023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45236</v>
      </c>
      <c r="E243" s="1" t="n">
        <v>46219</v>
      </c>
      <c r="F243" t="inlineStr">
        <is>
          <t>ÖSTERGÖTLANDS LÄN</t>
        </is>
      </c>
      <c r="G243" t="inlineStr">
        <is>
          <t>YDRE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61494-2025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46219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20540-2024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45436</v>
      </c>
      <c r="E245" s="1" t="n">
        <v>46219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62245-2025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46219</v>
      </c>
      <c r="F246" t="inlineStr">
        <is>
          <t>ÖSTERGÖTLANDS LÄN</t>
        </is>
      </c>
      <c r="G246" t="inlineStr">
        <is>
          <t>YDRE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62244-2025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46219</v>
      </c>
      <c r="F247" t="inlineStr">
        <is>
          <t>ÖSTERGÖTLANDS LÄN</t>
        </is>
      </c>
      <c r="G247" t="inlineStr">
        <is>
          <t>YDRE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7306-2022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46219</v>
      </c>
      <c r="F248" t="inlineStr">
        <is>
          <t>ÖSTERGÖTLANDS LÄN</t>
        </is>
      </c>
      <c r="G248" t="inlineStr">
        <is>
          <t>YDRE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62453-2025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46219</v>
      </c>
      <c r="F249" t="inlineStr">
        <is>
          <t>ÖSTERGÖTLANDS LÄN</t>
        </is>
      </c>
      <c r="G249" t="inlineStr">
        <is>
          <t>YDRE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9158-2025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46219</v>
      </c>
      <c r="F250" t="inlineStr">
        <is>
          <t>ÖSTERGÖTLANDS LÄN</t>
        </is>
      </c>
      <c r="G250" t="inlineStr">
        <is>
          <t>YDRE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62448-2025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46219</v>
      </c>
      <c r="F251" t="inlineStr">
        <is>
          <t>ÖSTERGÖTLANDS LÄN</t>
        </is>
      </c>
      <c r="G251" t="inlineStr">
        <is>
          <t>YDRE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62446-2025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46219</v>
      </c>
      <c r="F252" t="inlineStr">
        <is>
          <t>ÖSTERGÖTLANDS LÄN</t>
        </is>
      </c>
      <c r="G252" t="inlineStr">
        <is>
          <t>YDRE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62441-2025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46219</v>
      </c>
      <c r="F253" t="inlineStr">
        <is>
          <t>ÖSTERGÖTLANDS LÄN</t>
        </is>
      </c>
      <c r="G253" t="inlineStr">
        <is>
          <t>YDRE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63264-2025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46219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40676-2023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46219</v>
      </c>
      <c r="F255" t="inlineStr">
        <is>
          <t>ÖSTERGÖTLANDS LÄN</t>
        </is>
      </c>
      <c r="G255" t="inlineStr">
        <is>
          <t>YDRE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63232-2025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46219</v>
      </c>
      <c r="F256" t="inlineStr">
        <is>
          <t>ÖSTERGÖTLANDS LÄN</t>
        </is>
      </c>
      <c r="G256" t="inlineStr">
        <is>
          <t>YDRE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63252-2025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46219</v>
      </c>
      <c r="F257" t="inlineStr">
        <is>
          <t>ÖSTERGÖTLANDS LÄN</t>
        </is>
      </c>
      <c r="G257" t="inlineStr">
        <is>
          <t>YDRE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63237-2025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46219</v>
      </c>
      <c r="F258" t="inlineStr">
        <is>
          <t>ÖSTERGÖTLANDS LÄN</t>
        </is>
      </c>
      <c r="G258" t="inlineStr">
        <is>
          <t>YDRE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49967-2024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45597</v>
      </c>
      <c r="E259" s="1" t="n">
        <v>46219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20048-2023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46219</v>
      </c>
      <c r="F260" t="inlineStr">
        <is>
          <t>ÖSTERGÖTLANDS LÄN</t>
        </is>
      </c>
      <c r="G260" t="inlineStr">
        <is>
          <t>YDRE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17181-2025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45755</v>
      </c>
      <c r="E261" s="1" t="n">
        <v>46219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40692-2023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46219</v>
      </c>
      <c r="F262" t="inlineStr">
        <is>
          <t>ÖSTERGÖTLANDS LÄN</t>
        </is>
      </c>
      <c r="G262" t="inlineStr">
        <is>
          <t>YDRE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28915-2023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45104</v>
      </c>
      <c r="E263" s="1" t="n">
        <v>46219</v>
      </c>
      <c r="F263" t="inlineStr">
        <is>
          <t>ÖSTERGÖTLANDS LÄN</t>
        </is>
      </c>
      <c r="G263" t="inlineStr">
        <is>
          <t>YDRE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63536-2025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46219</v>
      </c>
      <c r="F264" t="inlineStr">
        <is>
          <t>ÖSTERGÖTLANDS LÄN</t>
        </is>
      </c>
      <c r="G264" t="inlineStr">
        <is>
          <t>YDRE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63538-2025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46219</v>
      </c>
      <c r="F265" t="inlineStr">
        <is>
          <t>ÖSTERGÖTLANDS LÄN</t>
        </is>
      </c>
      <c r="G265" t="inlineStr">
        <is>
          <t>YDRE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63544-2025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46219</v>
      </c>
      <c r="F266" t="inlineStr">
        <is>
          <t>ÖSTERGÖTLANDS LÄN</t>
        </is>
      </c>
      <c r="G266" t="inlineStr">
        <is>
          <t>YDRE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45677</v>
      </c>
      <c r="E267" s="1" t="n">
        <v>46219</v>
      </c>
      <c r="F267" t="inlineStr">
        <is>
          <t>ÖSTERGÖTLANDS LÄN</t>
        </is>
      </c>
      <c r="G267" t="inlineStr">
        <is>
          <t>YDRE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8073-2025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45707</v>
      </c>
      <c r="E268" s="1" t="n">
        <v>46219</v>
      </c>
      <c r="F268" t="inlineStr">
        <is>
          <t>ÖSTERGÖTLANDS LÄN</t>
        </is>
      </c>
      <c r="G268" t="inlineStr">
        <is>
          <t>YDRE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20050-2023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45054</v>
      </c>
      <c r="E269" s="1" t="n">
        <v>46219</v>
      </c>
      <c r="F269" t="inlineStr">
        <is>
          <t>ÖSTERGÖTLANDS LÄN</t>
        </is>
      </c>
      <c r="G269" t="inlineStr">
        <is>
          <t>YDRE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46219</v>
      </c>
      <c r="F270" t="inlineStr">
        <is>
          <t>ÖSTERGÖTLANDS LÄN</t>
        </is>
      </c>
      <c r="G270" t="inlineStr">
        <is>
          <t>YDRE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63998-2025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46219</v>
      </c>
      <c r="F271" t="inlineStr">
        <is>
          <t>ÖSTERGÖTLANDS LÄN</t>
        </is>
      </c>
      <c r="G271" t="inlineStr">
        <is>
          <t>YDRE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59589-2024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45638</v>
      </c>
      <c r="E272" s="1" t="n">
        <v>46219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17277-2024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45414</v>
      </c>
      <c r="E273" s="1" t="n">
        <v>46219</v>
      </c>
      <c r="F273" t="inlineStr">
        <is>
          <t>ÖSTERGÖTLANDS LÄN</t>
        </is>
      </c>
      <c r="G273" t="inlineStr">
        <is>
          <t>YDRE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17301-2024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45414</v>
      </c>
      <c r="E274" s="1" t="n">
        <v>46219</v>
      </c>
      <c r="F274" t="inlineStr">
        <is>
          <t>ÖSTERGÖTLANDS LÄN</t>
        </is>
      </c>
      <c r="G274" t="inlineStr">
        <is>
          <t>YDRE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30049-2023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45110</v>
      </c>
      <c r="E275" s="1" t="n">
        <v>46219</v>
      </c>
      <c r="F275" t="inlineStr">
        <is>
          <t>ÖSTERGÖTLANDS LÄN</t>
        </is>
      </c>
      <c r="G275" t="inlineStr">
        <is>
          <t>YDRE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26101-2024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45468</v>
      </c>
      <c r="E276" s="1" t="n">
        <v>46219</v>
      </c>
      <c r="F276" t="inlineStr">
        <is>
          <t>ÖSTERGÖTLANDS LÄN</t>
        </is>
      </c>
      <c r="G276" t="inlineStr">
        <is>
          <t>YDRE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30554-2024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45492</v>
      </c>
      <c r="E277" s="1" t="n">
        <v>46219</v>
      </c>
      <c r="F277" t="inlineStr">
        <is>
          <t>ÖSTERGÖTLANDS LÄN</t>
        </is>
      </c>
      <c r="G277" t="inlineStr">
        <is>
          <t>YDRE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29127-2023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45105</v>
      </c>
      <c r="E278" s="1" t="n">
        <v>46219</v>
      </c>
      <c r="F278" t="inlineStr">
        <is>
          <t>ÖSTERGÖTLANDS LÄN</t>
        </is>
      </c>
      <c r="G278" t="inlineStr">
        <is>
          <t>YDRE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45449-2023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45194</v>
      </c>
      <c r="E279" s="1" t="n">
        <v>46219</v>
      </c>
      <c r="F279" t="inlineStr">
        <is>
          <t>ÖSTERGÖTLANDS LÄN</t>
        </is>
      </c>
      <c r="G279" t="inlineStr">
        <is>
          <t>YDRE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46036</v>
      </c>
      <c r="E280" s="1" t="n">
        <v>46219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14645-2022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44655</v>
      </c>
      <c r="E281" s="1" t="n">
        <v>46219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18432-2025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46219</v>
      </c>
      <c r="F282" t="inlineStr">
        <is>
          <t>ÖSTERGÖTLANDS LÄN</t>
        </is>
      </c>
      <c r="G282" t="inlineStr">
        <is>
          <t>YDRE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46219</v>
      </c>
      <c r="F283" t="inlineStr">
        <is>
          <t>ÖSTERGÖTLANDS LÄN</t>
        </is>
      </c>
      <c r="G283" t="inlineStr">
        <is>
          <t>YDRE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46219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33680-2022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44789</v>
      </c>
      <c r="E285" s="1" t="n">
        <v>46219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46219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46219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2079-2022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44576</v>
      </c>
      <c r="E288" s="1" t="n">
        <v>46219</v>
      </c>
      <c r="F288" t="inlineStr">
        <is>
          <t>ÖSTERGÖTLANDS LÄN</t>
        </is>
      </c>
      <c r="G288" t="inlineStr">
        <is>
          <t>YDRE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17861-2025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46219</v>
      </c>
      <c r="F289" t="inlineStr">
        <is>
          <t>ÖSTERGÖTLANDS LÄN</t>
        </is>
      </c>
      <c r="G289" t="inlineStr">
        <is>
          <t>YDRE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20158-2024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45434</v>
      </c>
      <c r="E290" s="1" t="n">
        <v>46219</v>
      </c>
      <c r="F290" t="inlineStr">
        <is>
          <t>ÖSTERGÖTLANDS LÄN</t>
        </is>
      </c>
      <c r="G290" t="inlineStr">
        <is>
          <t>YDRE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27905-2024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45475</v>
      </c>
      <c r="E291" s="1" t="n">
        <v>46219</v>
      </c>
      <c r="F291" t="inlineStr">
        <is>
          <t>ÖSTERGÖTLANDS LÄN</t>
        </is>
      </c>
      <c r="G291" t="inlineStr">
        <is>
          <t>YDRE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6293-2026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46055</v>
      </c>
      <c r="E292" s="1" t="n">
        <v>46219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9180-2025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46219</v>
      </c>
      <c r="F293" t="inlineStr">
        <is>
          <t>ÖSTERGÖTLANDS LÄN</t>
        </is>
      </c>
      <c r="G293" t="inlineStr">
        <is>
          <t>YDRE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46219</v>
      </c>
      <c r="F294" t="inlineStr">
        <is>
          <t>ÖSTERGÖTLANDS LÄN</t>
        </is>
      </c>
      <c r="G294" t="inlineStr">
        <is>
          <t>YDRE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7276-2026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46219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24637-2024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45460</v>
      </c>
      <c r="E296" s="1" t="n">
        <v>46219</v>
      </c>
      <c r="F296" t="inlineStr">
        <is>
          <t>ÖSTERGÖTLANDS LÄN</t>
        </is>
      </c>
      <c r="G296" t="inlineStr">
        <is>
          <t>YDRE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38045-2024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45544</v>
      </c>
      <c r="E297" s="1" t="n">
        <v>46219</v>
      </c>
      <c r="F297" t="inlineStr">
        <is>
          <t>ÖSTERGÖTLANDS LÄN</t>
        </is>
      </c>
      <c r="G297" t="inlineStr">
        <is>
          <t>YDRE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9997-2025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45719</v>
      </c>
      <c r="E298" s="1" t="n">
        <v>46219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18.2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27737-2022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44743</v>
      </c>
      <c r="E299" s="1" t="n">
        <v>46219</v>
      </c>
      <c r="F299" t="inlineStr">
        <is>
          <t>ÖSTERGÖTLANDS LÄN</t>
        </is>
      </c>
      <c r="G299" t="inlineStr">
        <is>
          <t>YDRE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7628-2026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46219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7619-2026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46062</v>
      </c>
      <c r="E301" s="1" t="n">
        <v>46219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7641-2026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46062</v>
      </c>
      <c r="E302" s="1" t="n">
        <v>46219</v>
      </c>
      <c r="F302" t="inlineStr">
        <is>
          <t>ÖSTERGÖTLANDS LÄN</t>
        </is>
      </c>
      <c r="G302" t="inlineStr">
        <is>
          <t>YDRE</t>
        </is>
      </c>
      <c r="H302" t="inlineStr">
        <is>
          <t>Övriga Aktiebolag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37568-2023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46219</v>
      </c>
      <c r="F303" t="inlineStr">
        <is>
          <t>ÖSTERGÖTLANDS LÄN</t>
        </is>
      </c>
      <c r="G303" t="inlineStr">
        <is>
          <t>YDRE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9026-2026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46219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9054-2026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46069</v>
      </c>
      <c r="E305" s="1" t="n">
        <v>46219</v>
      </c>
      <c r="F305" t="inlineStr">
        <is>
          <t>ÖSTERGÖTLANDS LÄN</t>
        </is>
      </c>
      <c r="G305" t="inlineStr">
        <is>
          <t>YDRE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8986-2026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46219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28991-2022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46219</v>
      </c>
      <c r="F307" t="inlineStr">
        <is>
          <t>ÖSTERGÖTLANDS LÄN</t>
        </is>
      </c>
      <c r="G307" t="inlineStr">
        <is>
          <t>YDRE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17309-2024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45414</v>
      </c>
      <c r="E308" s="1" t="n">
        <v>46219</v>
      </c>
      <c r="F308" t="inlineStr">
        <is>
          <t>ÖSTERGÖTLANDS LÄN</t>
        </is>
      </c>
      <c r="G308" t="inlineStr">
        <is>
          <t>YDRE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9409-2026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46219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10414-2024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45365</v>
      </c>
      <c r="E310" s="1" t="n">
        <v>46219</v>
      </c>
      <c r="F310" t="inlineStr">
        <is>
          <t>ÖSTERGÖTLANDS LÄN</t>
        </is>
      </c>
      <c r="G310" t="inlineStr">
        <is>
          <t>YDRE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10385-2026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46077</v>
      </c>
      <c r="E311" s="1" t="n">
        <v>46219</v>
      </c>
      <c r="F311" t="inlineStr">
        <is>
          <t>ÖSTERGÖTLANDS LÄN</t>
        </is>
      </c>
      <c r="G311" t="inlineStr">
        <is>
          <t>YDRE</t>
        </is>
      </c>
      <c r="H311" t="inlineStr">
        <is>
          <t>Övriga Aktiebolag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9155-2025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46219</v>
      </c>
      <c r="F312" t="inlineStr">
        <is>
          <t>ÖSTERGÖTLANDS LÄN</t>
        </is>
      </c>
      <c r="G312" t="inlineStr">
        <is>
          <t>YDRE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10288-2026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46076</v>
      </c>
      <c r="E313" s="1" t="n">
        <v>46219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10307-2026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46219</v>
      </c>
      <c r="F314" t="inlineStr">
        <is>
          <t>ÖSTERGÖTLANDS LÄN</t>
        </is>
      </c>
      <c r="G314" t="inlineStr">
        <is>
          <t>YDRE</t>
        </is>
      </c>
      <c r="H314" t="inlineStr">
        <is>
          <t>Övriga Aktiebolag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24137-2025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46219</v>
      </c>
      <c r="F315" t="inlineStr">
        <is>
          <t>ÖSTERGÖTLANDS LÄN</t>
        </is>
      </c>
      <c r="G315" t="inlineStr">
        <is>
          <t>YDRE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63830-2023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45278</v>
      </c>
      <c r="E316" s="1" t="n">
        <v>46219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24140-2025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46219</v>
      </c>
      <c r="F317" t="inlineStr">
        <is>
          <t>ÖSTERGÖTLANDS LÄN</t>
        </is>
      </c>
      <c r="G317" t="inlineStr">
        <is>
          <t>YDRE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11493-2025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45726</v>
      </c>
      <c r="E318" s="1" t="n">
        <v>46219</v>
      </c>
      <c r="F318" t="inlineStr">
        <is>
          <t>ÖSTERGÖTLANDS LÄN</t>
        </is>
      </c>
      <c r="G318" t="inlineStr">
        <is>
          <t>YDRE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21982-2022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46219</v>
      </c>
      <c r="F319" t="inlineStr">
        <is>
          <t>ÖSTERGÖTLANDS LÄN</t>
        </is>
      </c>
      <c r="G319" t="inlineStr">
        <is>
          <t>YDRE</t>
        </is>
      </c>
      <c r="H319" t="inlineStr">
        <is>
          <t>Övriga Aktiebolag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16289-2022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44670</v>
      </c>
      <c r="E320" s="1" t="n">
        <v>46219</v>
      </c>
      <c r="F320" t="inlineStr">
        <is>
          <t>ÖSTERGÖTLANDS LÄN</t>
        </is>
      </c>
      <c r="G320" t="inlineStr">
        <is>
          <t>YDRE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45302</v>
      </c>
      <c r="E321" s="1" t="n">
        <v>46219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46219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2347-2024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45310</v>
      </c>
      <c r="E323" s="1" t="n">
        <v>46219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13689-2026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46097</v>
      </c>
      <c r="E324" s="1" t="n">
        <v>46219</v>
      </c>
      <c r="F324" t="inlineStr">
        <is>
          <t>ÖSTERGÖTLANDS LÄN</t>
        </is>
      </c>
      <c r="G324" t="inlineStr">
        <is>
          <t>YDRE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55395-2023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45231</v>
      </c>
      <c r="E325" s="1" t="n">
        <v>46219</v>
      </c>
      <c r="F325" t="inlineStr">
        <is>
          <t>ÖSTERGÖTLANDS LÄN</t>
        </is>
      </c>
      <c r="G325" t="inlineStr">
        <is>
          <t>YDRE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14143-2026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46219</v>
      </c>
      <c r="F326" t="inlineStr">
        <is>
          <t>ÖSTERGÖTLANDS LÄN</t>
        </is>
      </c>
      <c r="G326" t="inlineStr">
        <is>
          <t>YDRE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46219</v>
      </c>
      <c r="F327" t="inlineStr">
        <is>
          <t>ÖSTERGÖTLANDS LÄN</t>
        </is>
      </c>
      <c r="G327" t="inlineStr">
        <is>
          <t>YDRE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14600-2026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46219</v>
      </c>
      <c r="F328" t="inlineStr">
        <is>
          <t>ÖSTERGÖTLANDS LÄN</t>
        </is>
      </c>
      <c r="G328" t="inlineStr">
        <is>
          <t>YDRE</t>
        </is>
      </c>
      <c r="I328" t="n">
        <v>9.9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46219</v>
      </c>
      <c r="F329" t="inlineStr">
        <is>
          <t>ÖSTERGÖTLANDS LÄN</t>
        </is>
      </c>
      <c r="G329" t="inlineStr">
        <is>
          <t>YDRE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61257-2023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45261</v>
      </c>
      <c r="E330" s="1" t="n">
        <v>46219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44939</v>
      </c>
      <c r="E331" s="1" t="n">
        <v>46219</v>
      </c>
      <c r="F331" t="inlineStr">
        <is>
          <t>ÖSTERGÖTLANDS LÄN</t>
        </is>
      </c>
      <c r="G331" t="inlineStr">
        <is>
          <t>YDRE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36616-2024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45537</v>
      </c>
      <c r="E332" s="1" t="n">
        <v>46219</v>
      </c>
      <c r="F332" t="inlineStr">
        <is>
          <t>ÖSTERGÖTLANDS LÄN</t>
        </is>
      </c>
      <c r="G332" t="inlineStr">
        <is>
          <t>YDRE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45447-2023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46219</v>
      </c>
      <c r="F333" t="inlineStr">
        <is>
          <t>ÖSTERGÖTLANDS LÄN</t>
        </is>
      </c>
      <c r="G333" t="inlineStr">
        <is>
          <t>YDRE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15638-2026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46219</v>
      </c>
      <c r="F334" t="inlineStr">
        <is>
          <t>ÖSTERGÖTLANDS LÄN</t>
        </is>
      </c>
      <c r="G334" t="inlineStr">
        <is>
          <t>YDRE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71524-2021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46219</v>
      </c>
      <c r="F335" t="inlineStr">
        <is>
          <t>ÖSTERGÖTLANDS LÄN</t>
        </is>
      </c>
      <c r="G335" t="inlineStr">
        <is>
          <t>YDRE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46219</v>
      </c>
      <c r="F336" t="inlineStr">
        <is>
          <t>ÖSTERGÖTLANDS LÄN</t>
        </is>
      </c>
      <c r="G336" t="inlineStr">
        <is>
          <t>YDRE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58414-2024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45634</v>
      </c>
      <c r="E337" s="1" t="n">
        <v>46219</v>
      </c>
      <c r="F337" t="inlineStr">
        <is>
          <t>ÖSTERGÖTLANDS LÄN</t>
        </is>
      </c>
      <c r="G337" t="inlineStr">
        <is>
          <t>YDRE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45671</v>
      </c>
      <c r="E338" s="1" t="n">
        <v>46219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17184-2026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46116</v>
      </c>
      <c r="E339" s="1" t="n">
        <v>46219</v>
      </c>
      <c r="F339" t="inlineStr">
        <is>
          <t>ÖSTERGÖTLANDS LÄN</t>
        </is>
      </c>
      <c r="G339" t="inlineStr">
        <is>
          <t>YDRE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9162-2023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46219</v>
      </c>
      <c r="F340" t="inlineStr">
        <is>
          <t>ÖSTERGÖTLANDS LÄN</t>
        </is>
      </c>
      <c r="G340" t="inlineStr">
        <is>
          <t>YDRE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16205-2024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45406</v>
      </c>
      <c r="E341" s="1" t="n">
        <v>46219</v>
      </c>
      <c r="F341" t="inlineStr">
        <is>
          <t>ÖSTERGÖTLANDS LÄN</t>
        </is>
      </c>
      <c r="G341" t="inlineStr">
        <is>
          <t>YDRE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55867-2023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46219</v>
      </c>
      <c r="F342" t="inlineStr">
        <is>
          <t>ÖSTERGÖTLANDS LÄN</t>
        </is>
      </c>
      <c r="G342" t="inlineStr">
        <is>
          <t>YDRE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6408-2023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44965</v>
      </c>
      <c r="E343" s="1" t="n">
        <v>46219</v>
      </c>
      <c r="F343" t="inlineStr">
        <is>
          <t>ÖSTERGÖTLANDS LÄN</t>
        </is>
      </c>
      <c r="G343" t="inlineStr">
        <is>
          <t>YDRE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17385-2026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46119</v>
      </c>
      <c r="E344" s="1" t="n">
        <v>46219</v>
      </c>
      <c r="F344" t="inlineStr">
        <is>
          <t>ÖSTERGÖTLANDS LÄN</t>
        </is>
      </c>
      <c r="G344" t="inlineStr">
        <is>
          <t>YDRE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17384-2026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46219</v>
      </c>
      <c r="F345" t="inlineStr">
        <is>
          <t>ÖSTERGÖTLANDS LÄN</t>
        </is>
      </c>
      <c r="G345" t="inlineStr">
        <is>
          <t>YDRE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46121</v>
      </c>
      <c r="E346" s="1" t="n">
        <v>46219</v>
      </c>
      <c r="F346" t="inlineStr">
        <is>
          <t>ÖSTERGÖTLANDS LÄN</t>
        </is>
      </c>
      <c r="G346" t="inlineStr">
        <is>
          <t>YDRE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59805-2022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44908</v>
      </c>
      <c r="E347" s="1" t="n">
        <v>46219</v>
      </c>
      <c r="F347" t="inlineStr">
        <is>
          <t>ÖSTERGÖTLANDS LÄN</t>
        </is>
      </c>
      <c r="G347" t="inlineStr">
        <is>
          <t>YDRE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18181-2026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46125</v>
      </c>
      <c r="E348" s="1" t="n">
        <v>46219</v>
      </c>
      <c r="F348" t="inlineStr">
        <is>
          <t>ÖSTERGÖTLANDS LÄN</t>
        </is>
      </c>
      <c r="G348" t="inlineStr">
        <is>
          <t>YDRE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18151-2026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46219</v>
      </c>
      <c r="F349" t="inlineStr">
        <is>
          <t>ÖSTERGÖTLANDS LÄN</t>
        </is>
      </c>
      <c r="G349" t="inlineStr">
        <is>
          <t>YDRE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54510-2025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46219</v>
      </c>
      <c r="F350" t="inlineStr">
        <is>
          <t>ÖSTERGÖTLANDS LÄN</t>
        </is>
      </c>
      <c r="G350" t="inlineStr">
        <is>
          <t>YDRE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45456-2023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45194</v>
      </c>
      <c r="E351" s="1" t="n">
        <v>46219</v>
      </c>
      <c r="F351" t="inlineStr">
        <is>
          <t>ÖSTERGÖTLANDS LÄN</t>
        </is>
      </c>
      <c r="G351" t="inlineStr">
        <is>
          <t>YDRE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45335</v>
      </c>
      <c r="E352" s="1" t="n">
        <v>46219</v>
      </c>
      <c r="F352" t="inlineStr">
        <is>
          <t>ÖSTERGÖTLANDS LÄN</t>
        </is>
      </c>
      <c r="G352" t="inlineStr">
        <is>
          <t>YDRE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18416-2026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46219</v>
      </c>
      <c r="F353" t="inlineStr">
        <is>
          <t>ÖSTERGÖTLANDS LÄN</t>
        </is>
      </c>
      <c r="G353" t="inlineStr">
        <is>
          <t>YDRE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60244-2023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45257</v>
      </c>
      <c r="E354" s="1" t="n">
        <v>46219</v>
      </c>
      <c r="F354" t="inlineStr">
        <is>
          <t>ÖSTERGÖTLANDS LÄN</t>
        </is>
      </c>
      <c r="G354" t="inlineStr">
        <is>
          <t>YDRE</t>
        </is>
      </c>
      <c r="I354" t="n">
        <v>17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44592</v>
      </c>
      <c r="E355" s="1" t="n">
        <v>46219</v>
      </c>
      <c r="F355" t="inlineStr">
        <is>
          <t>ÖSTERGÖTLANDS LÄN</t>
        </is>
      </c>
      <c r="G355" t="inlineStr">
        <is>
          <t>YDRE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46219</v>
      </c>
      <c r="F356" t="inlineStr">
        <is>
          <t>ÖSTERGÖTLANDS LÄN</t>
        </is>
      </c>
      <c r="G356" t="inlineStr">
        <is>
          <t>YDRE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58831-2022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44903</v>
      </c>
      <c r="E357" s="1" t="n">
        <v>46219</v>
      </c>
      <c r="F357" t="inlineStr">
        <is>
          <t>ÖSTERGÖTLANDS LÄN</t>
        </is>
      </c>
      <c r="G357" t="inlineStr">
        <is>
          <t>YDRE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57590-2023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46219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28959-2025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46219</v>
      </c>
      <c r="F359" t="inlineStr">
        <is>
          <t>ÖSTERGÖTLANDS LÄN</t>
        </is>
      </c>
      <c r="G359" t="inlineStr">
        <is>
          <t>YDRE</t>
        </is>
      </c>
      <c r="H359" t="inlineStr">
        <is>
          <t>Kyrkan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44741-2021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44438</v>
      </c>
      <c r="E360" s="1" t="n">
        <v>46219</v>
      </c>
      <c r="F360" t="inlineStr">
        <is>
          <t>ÖSTERGÖTLANDS LÄN</t>
        </is>
      </c>
      <c r="G360" t="inlineStr">
        <is>
          <t>YDRE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7619-2024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45348</v>
      </c>
      <c r="E361" s="1" t="n">
        <v>46219</v>
      </c>
      <c r="F361" t="inlineStr">
        <is>
          <t>ÖSTERGÖTLANDS LÄN</t>
        </is>
      </c>
      <c r="G361" t="inlineStr">
        <is>
          <t>YDRE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33589-2025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46219</v>
      </c>
      <c r="F362" t="inlineStr">
        <is>
          <t>ÖSTERGÖTLANDS LÄN</t>
        </is>
      </c>
      <c r="G362" t="inlineStr">
        <is>
          <t>YDRE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6328-2022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46219</v>
      </c>
      <c r="F363" t="inlineStr">
        <is>
          <t>ÖSTERGÖTLANDS LÄN</t>
        </is>
      </c>
      <c r="G363" t="inlineStr">
        <is>
          <t>YDRE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19261-2024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46219</v>
      </c>
      <c r="F364" t="inlineStr">
        <is>
          <t>ÖSTERGÖTLANDS LÄN</t>
        </is>
      </c>
      <c r="G364" t="inlineStr">
        <is>
          <t>YDRE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54549-2025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46219</v>
      </c>
      <c r="F365" t="inlineStr">
        <is>
          <t>ÖSTERGÖTLANDS LÄN</t>
        </is>
      </c>
      <c r="G365" t="inlineStr">
        <is>
          <t>YDRE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36676-2025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45871</v>
      </c>
      <c r="E366" s="1" t="n">
        <v>46219</v>
      </c>
      <c r="F366" t="inlineStr">
        <is>
          <t>ÖSTERGÖTLANDS LÄN</t>
        </is>
      </c>
      <c r="G366" t="inlineStr">
        <is>
          <t>YDRE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25473-2026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46219</v>
      </c>
      <c r="F367" t="inlineStr">
        <is>
          <t>ÖSTERGÖTLANDS LÄN</t>
        </is>
      </c>
      <c r="G367" t="inlineStr">
        <is>
          <t>YDRE</t>
        </is>
      </c>
      <c r="H367" t="inlineStr">
        <is>
          <t>Sveaskog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30544-2025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46219</v>
      </c>
      <c r="F368" t="inlineStr">
        <is>
          <t>ÖSTERGÖTLANDS LÄN</t>
        </is>
      </c>
      <c r="G368" t="inlineStr">
        <is>
          <t>YDRE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30721-2025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46219</v>
      </c>
      <c r="F369" t="inlineStr">
        <is>
          <t>ÖSTERGÖTLANDS LÄN</t>
        </is>
      </c>
      <c r="G369" t="inlineStr">
        <is>
          <t>YDRE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30557-2025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46219</v>
      </c>
      <c r="F370" t="inlineStr">
        <is>
          <t>ÖSTERGÖTLANDS LÄN</t>
        </is>
      </c>
      <c r="G370" t="inlineStr">
        <is>
          <t>YDRE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30766-2025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46219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42781-2021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44428</v>
      </c>
      <c r="E372" s="1" t="n">
        <v>46219</v>
      </c>
      <c r="F372" t="inlineStr">
        <is>
          <t>ÖSTERGÖTLANDS LÄN</t>
        </is>
      </c>
      <c r="G372" t="inlineStr">
        <is>
          <t>YDRE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23760-2025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45793</v>
      </c>
      <c r="E373" s="1" t="n">
        <v>46219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44555-2025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46219</v>
      </c>
      <c r="F374" t="inlineStr">
        <is>
          <t>ÖSTERGÖTLANDS LÄN</t>
        </is>
      </c>
      <c r="G374" t="inlineStr">
        <is>
          <t>YDRE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30726-2025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46219</v>
      </c>
      <c r="F375" t="inlineStr">
        <is>
          <t>ÖSTERGÖTLANDS LÄN</t>
        </is>
      </c>
      <c r="G375" t="inlineStr">
        <is>
          <t>YDRE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30752-2025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46219</v>
      </c>
      <c r="F376" t="inlineStr">
        <is>
          <t>ÖSTERGÖTLANDS LÄN</t>
        </is>
      </c>
      <c r="G376" t="inlineStr">
        <is>
          <t>YDRE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56323-2021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44480</v>
      </c>
      <c r="E377" s="1" t="n">
        <v>46219</v>
      </c>
      <c r="F377" t="inlineStr">
        <is>
          <t>ÖSTERGÖTLANDS LÄN</t>
        </is>
      </c>
      <c r="G377" t="inlineStr">
        <is>
          <t>YDRE</t>
        </is>
      </c>
      <c r="H377" t="inlineStr">
        <is>
          <t>Sveaskog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  <c r="X377">
        <f>HYPERLINK("https://klasma.github.io/Logging_0512/knärot/A 56323-2021 karta knärot.png", "A 56323-2021")</f>
        <v/>
      </c>
      <c r="Y377">
        <f>HYPERLINK("https://klasma.github.io/Logging_0512/klagomål/A 56323-2021 FSC-klagomål.docx", "A 56323-2021")</f>
        <v/>
      </c>
      <c r="Z377">
        <f>HYPERLINK("https://klasma.github.io/Logging_0512/klagomålsmail/A 56323-2021 FSC-klagomål mail.docx", "A 56323-2021")</f>
        <v/>
      </c>
      <c r="AA377">
        <f>HYPERLINK("https://klasma.github.io/Logging_0512/tillsyn/A 56323-2021 tillsynsbegäran.docx", "A 56323-2021")</f>
        <v/>
      </c>
      <c r="AB377">
        <f>HYPERLINK("https://klasma.github.io/Logging_0512/tillsynsmail/A 56323-2021 tillsynsbegäran mail.docx", "A 56323-2021")</f>
        <v/>
      </c>
    </row>
    <row r="378" ht="15" customHeight="1">
      <c r="A378" t="inlineStr">
        <is>
          <t>A 30531-2025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46219</v>
      </c>
      <c r="F378" t="inlineStr">
        <is>
          <t>ÖSTERGÖTLANDS LÄN</t>
        </is>
      </c>
      <c r="G378" t="inlineStr">
        <is>
          <t>YDRE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30559-2025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46219</v>
      </c>
      <c r="F379" t="inlineStr">
        <is>
          <t>ÖSTERGÖTLANDS LÄN</t>
        </is>
      </c>
      <c r="G379" t="inlineStr">
        <is>
          <t>YDRE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30548-2025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46219</v>
      </c>
      <c r="F380" t="inlineStr">
        <is>
          <t>ÖSTERGÖTLANDS LÄN</t>
        </is>
      </c>
      <c r="G380" t="inlineStr">
        <is>
          <t>YDRE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30759-2025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46219</v>
      </c>
      <c r="F381" t="inlineStr">
        <is>
          <t>ÖSTERGÖTLANDS LÄN</t>
        </is>
      </c>
      <c r="G381" t="inlineStr">
        <is>
          <t>YDRE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30551-2025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46219</v>
      </c>
      <c r="F382" t="inlineStr">
        <is>
          <t>ÖSTERGÖTLANDS LÄN</t>
        </is>
      </c>
      <c r="G382" t="inlineStr">
        <is>
          <t>YDRE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30535-2025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46219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61636-2021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44501</v>
      </c>
      <c r="E384" s="1" t="n">
        <v>46219</v>
      </c>
      <c r="F384" t="inlineStr">
        <is>
          <t>ÖSTERGÖTLANDS LÄN</t>
        </is>
      </c>
      <c r="G384" t="inlineStr">
        <is>
          <t>YDRE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70448-2021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44536</v>
      </c>
      <c r="E385" s="1" t="n">
        <v>46219</v>
      </c>
      <c r="F385" t="inlineStr">
        <is>
          <t>ÖSTERGÖTLANDS LÄN</t>
        </is>
      </c>
      <c r="G385" t="inlineStr">
        <is>
          <t>YDRE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44505-2025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46219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27164-2023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46219</v>
      </c>
      <c r="F387" t="inlineStr">
        <is>
          <t>ÖSTERGÖTLANDS LÄN</t>
        </is>
      </c>
      <c r="G387" t="inlineStr">
        <is>
          <t>YDRE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4271-2023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46219</v>
      </c>
      <c r="F388" t="inlineStr">
        <is>
          <t>ÖSTERGÖTLANDS LÄN</t>
        </is>
      </c>
      <c r="G388" t="inlineStr">
        <is>
          <t>YDRE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32635-2025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45838</v>
      </c>
      <c r="E389" s="1" t="n">
        <v>46219</v>
      </c>
      <c r="F389" t="inlineStr">
        <is>
          <t>ÖSTERGÖTLANDS LÄN</t>
        </is>
      </c>
      <c r="G389" t="inlineStr">
        <is>
          <t>YDRE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9159-2023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44980</v>
      </c>
      <c r="E390" s="1" t="n">
        <v>46219</v>
      </c>
      <c r="F390" t="inlineStr">
        <is>
          <t>ÖSTERGÖTLANDS LÄN</t>
        </is>
      </c>
      <c r="G390" t="inlineStr">
        <is>
          <t>YDRE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22961-2025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45790</v>
      </c>
      <c r="E391" s="1" t="n">
        <v>46219</v>
      </c>
      <c r="F391" t="inlineStr">
        <is>
          <t>ÖSTERGÖTLANDS LÄN</t>
        </is>
      </c>
      <c r="G391" t="inlineStr">
        <is>
          <t>YDRE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26784-2025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45810</v>
      </c>
      <c r="E392" s="1" t="n">
        <v>46219</v>
      </c>
      <c r="F392" t="inlineStr">
        <is>
          <t>ÖSTERGÖTLANDS LÄN</t>
        </is>
      </c>
      <c r="G392" t="inlineStr">
        <is>
          <t>YDRE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54047-2024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45616</v>
      </c>
      <c r="E393" s="1" t="n">
        <v>46219</v>
      </c>
      <c r="F393" t="inlineStr">
        <is>
          <t>ÖSTERGÖTLANDS LÄN</t>
        </is>
      </c>
      <c r="G393" t="inlineStr">
        <is>
          <t>YDRE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43335-2025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46219</v>
      </c>
      <c r="F394" t="inlineStr">
        <is>
          <t>ÖSTERGÖTLANDS LÄN</t>
        </is>
      </c>
      <c r="G394" t="inlineStr">
        <is>
          <t>YDRE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19397-2025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46219</v>
      </c>
      <c r="F395" t="inlineStr">
        <is>
          <t>ÖSTERGÖTLANDS LÄN</t>
        </is>
      </c>
      <c r="G395" t="inlineStr">
        <is>
          <t>YDRE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7064-2025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46219</v>
      </c>
      <c r="F396" t="inlineStr">
        <is>
          <t>ÖSTERGÖTLANDS LÄN</t>
        </is>
      </c>
      <c r="G396" t="inlineStr">
        <is>
          <t>YDRE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26603-2026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46183</v>
      </c>
      <c r="E397" s="1" t="n">
        <v>46219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21064-2026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46146</v>
      </c>
      <c r="E398" s="1" t="n">
        <v>46219</v>
      </c>
      <c r="F398" t="inlineStr">
        <is>
          <t>ÖSTERGÖTLANDS LÄN</t>
        </is>
      </c>
      <c r="G398" t="inlineStr">
        <is>
          <t>YDRE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21063-2026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46219</v>
      </c>
      <c r="F399" t="inlineStr">
        <is>
          <t>ÖSTERGÖTLANDS LÄN</t>
        </is>
      </c>
      <c r="G399" t="inlineStr">
        <is>
          <t>YDRE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21069-2026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46146</v>
      </c>
      <c r="E400" s="1" t="n">
        <v>46219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21070-2026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46219</v>
      </c>
      <c r="F401" t="inlineStr">
        <is>
          <t>ÖSTERGÖTLANDS LÄN</t>
        </is>
      </c>
      <c r="G401" t="inlineStr">
        <is>
          <t>YDRE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21117-2026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46219</v>
      </c>
      <c r="F402" t="inlineStr">
        <is>
          <t>ÖSTERGÖTLANDS LÄN</t>
        </is>
      </c>
      <c r="G402" t="inlineStr">
        <is>
          <t>YDRE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21067-2026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46146</v>
      </c>
      <c r="E403" s="1" t="n">
        <v>46219</v>
      </c>
      <c r="F403" t="inlineStr">
        <is>
          <t>ÖSTERGÖTLANDS LÄN</t>
        </is>
      </c>
      <c r="G403" t="inlineStr">
        <is>
          <t>YDRE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27700-2026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46190</v>
      </c>
      <c r="E404" s="1" t="n">
        <v>46219</v>
      </c>
      <c r="F404" t="inlineStr">
        <is>
          <t>ÖSTERGÖTLANDS LÄN</t>
        </is>
      </c>
      <c r="G404" t="inlineStr">
        <is>
          <t>YDRE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27874-2026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46219</v>
      </c>
      <c r="F405" t="inlineStr">
        <is>
          <t>ÖSTERGÖTLANDS LÄN</t>
        </is>
      </c>
      <c r="G405" t="inlineStr">
        <is>
          <t>YDRE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22312-2026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46154</v>
      </c>
      <c r="E406" s="1" t="n">
        <v>46219</v>
      </c>
      <c r="F406" t="inlineStr">
        <is>
          <t>ÖSTERGÖTLANDS LÄN</t>
        </is>
      </c>
      <c r="G406" t="inlineStr">
        <is>
          <t>YDRE</t>
        </is>
      </c>
      <c r="H406" t="inlineStr">
        <is>
          <t>Övriga Aktiebolag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22175-2026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46219</v>
      </c>
      <c r="F407" t="inlineStr">
        <is>
          <t>ÖSTERGÖTLANDS LÄN</t>
        </is>
      </c>
      <c r="G407" t="inlineStr">
        <is>
          <t>YDRE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29284-2026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46219</v>
      </c>
      <c r="F408" t="inlineStr">
        <is>
          <t>ÖSTERGÖTLANDS LÄN</t>
        </is>
      </c>
      <c r="G408" t="inlineStr">
        <is>
          <t>YDRE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29148-2026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46219</v>
      </c>
      <c r="F409" t="inlineStr">
        <is>
          <t>ÖSTERGÖTLANDS LÄN</t>
        </is>
      </c>
      <c r="G409" t="inlineStr">
        <is>
          <t>YDRE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29280-2026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46219</v>
      </c>
      <c r="F410" t="inlineStr">
        <is>
          <t>ÖSTERGÖTLANDS LÄN</t>
        </is>
      </c>
      <c r="G410" t="inlineStr">
        <is>
          <t>YDRE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29201-2026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46219</v>
      </c>
      <c r="F411" t="inlineStr">
        <is>
          <t>ÖSTERGÖTLANDS LÄN</t>
        </is>
      </c>
      <c r="G411" t="inlineStr">
        <is>
          <t>YDRE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29304-2026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46219</v>
      </c>
      <c r="F412" t="inlineStr">
        <is>
          <t>ÖSTERGÖTLANDS LÄN</t>
        </is>
      </c>
      <c r="G412" t="inlineStr">
        <is>
          <t>YDRE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46219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46219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46219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46219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46219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46219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46219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2026-07-16T01:27:49Z</dcterms:created>
  <dcterms:modified xmlns:dcterms="http://purl.org/dc/terms/" xmlns:xsi="http://www.w3.org/2001/XMLSchema-instance" xsi:type="dcterms:W3CDTF">2026-07-16T01:27:50Z</dcterms:modified>
</cp:coreProperties>
</file>