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46318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46318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46318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46318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46318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46318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46318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46318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7621-2024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45348</v>
      </c>
      <c r="E14" s="1" t="n">
        <v>46318</v>
      </c>
      <c r="F14" t="inlineStr">
        <is>
          <t>ÖSTERGÖTLANDS LÄN</t>
        </is>
      </c>
      <c r="G14" t="inlineStr">
        <is>
          <t>YDRE</t>
        </is>
      </c>
      <c r="I14" t="n">
        <v>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Vattenfladdermus</t>
        </is>
      </c>
      <c r="W14">
        <f>HYPERLINK("https://klasma.github.io/Logging_0512/artfynd/A 7621-2024 artfynd.xlsx", "A 7621-2024")</f>
        <v/>
      </c>
      <c r="X14">
        <f>HYPERLINK("https://klasma.github.io/Logging_0512/kartor/A 7621-2024 karta.png", "A 7621-2024")</f>
        <v/>
      </c>
      <c r="Y14">
        <f>HYPERLINK("https://klasma.github.io/Logging_0512/kartor_geotiff/A 7621-2024 georefererad karta.tif", "A 7621-2024")</f>
        <v/>
      </c>
      <c r="AA14">
        <f>HYPERLINK("https://klasma.github.io/Logging_0512/klagomål/A 7621-2024 FSC-klagomål.docx", "A 7621-2024")</f>
        <v/>
      </c>
      <c r="AB14">
        <f>HYPERLINK("https://klasma.github.io/Logging_0512/klagomålsmail/A 7621-2024 FSC-klagomål mail.docx", "A 7621-2024")</f>
        <v/>
      </c>
      <c r="AC14">
        <f>HYPERLINK("https://klasma.github.io/Logging_0512/tillsyn/A 7621-2024 tillsynsbegäran.docx", "A 7621-2024")</f>
        <v/>
      </c>
      <c r="AD14">
        <f>HYPERLINK("https://klasma.github.io/Logging_0512/tillsynsmail/A 7621-2024 tillsynsbegäran mail.docx", "A 7621-2024")</f>
        <v/>
      </c>
    </row>
    <row r="15" ht="15" customHeight="1">
      <c r="A15" t="inlineStr">
        <is>
          <t>A 26030-2023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45091</v>
      </c>
      <c r="E15" s="1" t="n">
        <v>46318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0.9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Aspelandsfibbla
Smal guldkornsfibbla</t>
        </is>
      </c>
      <c r="W15">
        <f>HYPERLINK("https://klasma.github.io/Logging_0512/artfynd/A 26030-2023 artfynd.xlsx", "A 26030-2023")</f>
        <v/>
      </c>
      <c r="X15">
        <f>HYPERLINK("https://klasma.github.io/Logging_0512/kartor/A 26030-2023 karta.png", "A 26030-2023")</f>
        <v/>
      </c>
      <c r="Y15">
        <f>HYPERLINK("https://klasma.github.io/Logging_0512/kartor_geotiff/A 26030-2023 georefererad karta.tif", "A 26030-2023")</f>
        <v/>
      </c>
      <c r="AA15">
        <f>HYPERLINK("https://klasma.github.io/Logging_0512/klagomål/A 26030-2023 FSC-klagomål.docx", "A 26030-2023")</f>
        <v/>
      </c>
      <c r="AB15">
        <f>HYPERLINK("https://klasma.github.io/Logging_0512/klagomålsmail/A 26030-2023 FSC-klagomål mail.docx", "A 26030-2023")</f>
        <v/>
      </c>
      <c r="AC15">
        <f>HYPERLINK("https://klasma.github.io/Logging_0512/tillsyn/A 26030-2023 tillsynsbegäran.docx", "A 26030-2023")</f>
        <v/>
      </c>
      <c r="AD15">
        <f>HYPERLINK("https://klasma.github.io/Logging_0512/tillsynsmail/A 26030-2023 tillsynsbegäran mail.docx", "A 26030-2023")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46318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46318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46318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46318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46318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33676-2022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44789</v>
      </c>
      <c r="E21" s="1" t="n">
        <v>46318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1.8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Svinrot
Mattlummer</t>
        </is>
      </c>
      <c r="W21">
        <f>HYPERLINK("https://klasma.github.io/Logging_0512/artfynd/A 33676-2022 artfynd.xlsx", "A 33676-2022")</f>
        <v/>
      </c>
      <c r="X21">
        <f>HYPERLINK("https://klasma.github.io/Logging_0512/kartor/A 33676-2022 karta.png", "A 33676-2022")</f>
        <v/>
      </c>
      <c r="Y21">
        <f>HYPERLINK("https://klasma.github.io/Logging_0512/kartor_geotiff/A 33676-2022 georefererad karta.tif", "A 33676-2022")</f>
        <v/>
      </c>
      <c r="AA21">
        <f>HYPERLINK("https://klasma.github.io/Logging_0512/klagomål/A 33676-2022 FSC-klagomål.docx", "A 33676-2022")</f>
        <v/>
      </c>
      <c r="AB21">
        <f>HYPERLINK("https://klasma.github.io/Logging_0512/klagomålsmail/A 33676-2022 FSC-klagomål mail.docx", "A 33676-2022")</f>
        <v/>
      </c>
      <c r="AC21">
        <f>HYPERLINK("https://klasma.github.io/Logging_0512/tillsyn/A 33676-2022 tillsynsbegäran.docx", "A 33676-2022")</f>
        <v/>
      </c>
      <c r="AD21">
        <f>HYPERLINK("https://klasma.github.io/Logging_0512/tillsynsmail/A 33676-2022 tillsynsbegäran mail.docx", "A 33676-2022")</f>
        <v/>
      </c>
    </row>
    <row r="22" ht="15" customHeight="1">
      <c r="A22" t="inlineStr">
        <is>
          <t>A 17526-2024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46318</v>
      </c>
      <c r="F22" t="inlineStr">
        <is>
          <t>ÖSTERGÖTLANDS LÄN</t>
        </is>
      </c>
      <c r="G22" t="inlineStr">
        <is>
          <t>YDRE</t>
        </is>
      </c>
      <c r="I22" t="n">
        <v>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Svinrot
Blåsippa</t>
        </is>
      </c>
      <c r="W22">
        <f>HYPERLINK("https://klasma.github.io/Logging_0512/artfynd/A 17526-2024 artfynd.xlsx", "A 17526-2024")</f>
        <v/>
      </c>
      <c r="X22">
        <f>HYPERLINK("https://klasma.github.io/Logging_0512/kartor/A 17526-2024 karta.png", "A 17526-2024")</f>
        <v/>
      </c>
      <c r="Y22">
        <f>HYPERLINK("https://klasma.github.io/Logging_0512/kartor_geotiff/A 17526-2024 georefererad karta.tif", "A 17526-2024")</f>
        <v/>
      </c>
      <c r="AA22">
        <f>HYPERLINK("https://klasma.github.io/Logging_0512/klagomål/A 17526-2024 FSC-klagomål.docx", "A 17526-2024")</f>
        <v/>
      </c>
      <c r="AB22">
        <f>HYPERLINK("https://klasma.github.io/Logging_0512/klagomålsmail/A 17526-2024 FSC-klagomål mail.docx", "A 17526-2024")</f>
        <v/>
      </c>
      <c r="AC22">
        <f>HYPERLINK("https://klasma.github.io/Logging_0512/tillsyn/A 17526-2024 tillsynsbegäran.docx", "A 17526-2024")</f>
        <v/>
      </c>
      <c r="AD22">
        <f>HYPERLINK("https://klasma.github.io/Logging_0512/tillsynsmail/A 17526-2024 tillsynsbegäran mail.docx", "A 17526-2024")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46318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46318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12669-2025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45733</v>
      </c>
      <c r="E26" s="1" t="n">
        <v>46318</v>
      </c>
      <c r="F26" t="inlineStr">
        <is>
          <t>ÖSTERGÖTLANDS LÄN</t>
        </is>
      </c>
      <c r="G26" t="inlineStr">
        <is>
          <t>YDRE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Nattviol</t>
        </is>
      </c>
      <c r="W26">
        <f>HYPERLINK("https://klasma.github.io/Logging_0512/artfynd/A 12669-2025 artfynd.xlsx", "A 12669-2025")</f>
        <v/>
      </c>
      <c r="X26">
        <f>HYPERLINK("https://klasma.github.io/Logging_0512/kartor/A 12669-2025 karta.png", "A 12669-2025")</f>
        <v/>
      </c>
      <c r="Y26">
        <f>HYPERLINK("https://klasma.github.io/Logging_0512/kartor_geotiff/A 12669-2025 georefererad karta.tif", "A 12669-2025")</f>
        <v/>
      </c>
      <c r="AA26">
        <f>HYPERLINK("https://klasma.github.io/Logging_0512/klagomål/A 12669-2025 FSC-klagomål.docx", "A 12669-2025")</f>
        <v/>
      </c>
      <c r="AB26">
        <f>HYPERLINK("https://klasma.github.io/Logging_0512/klagomålsmail/A 12669-2025 FSC-klagomål mail.docx", "A 12669-2025")</f>
        <v/>
      </c>
      <c r="AC26">
        <f>HYPERLINK("https://klasma.github.io/Logging_0512/tillsyn/A 12669-2025 tillsynsbegäran.docx", "A 12669-2025")</f>
        <v/>
      </c>
      <c r="AD26">
        <f>HYPERLINK("https://klasma.github.io/Logging_0512/tillsynsmail/A 12669-2025 tillsynsbegäran mail.docx", "A 12669-2025")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46318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46318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45354-2023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45192</v>
      </c>
      <c r="E29" s="1" t="n">
        <v>46318</v>
      </c>
      <c r="F29" t="inlineStr">
        <is>
          <t>ÖSTERGÖTLANDS LÄN</t>
        </is>
      </c>
      <c r="G29" t="inlineStr">
        <is>
          <t>YDRE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45354-2023 artfynd.xlsx", "A 45354-2023")</f>
        <v/>
      </c>
      <c r="X29">
        <f>HYPERLINK("https://klasma.github.io/Logging_0512/kartor/A 45354-2023 karta.png", "A 45354-2023")</f>
        <v/>
      </c>
      <c r="Y29">
        <f>HYPERLINK("https://klasma.github.io/Logging_0512/kartor_geotiff/A 45354-2023 georefererad karta.tif", "A 45354-2023")</f>
        <v/>
      </c>
      <c r="AA29">
        <f>HYPERLINK("https://klasma.github.io/Logging_0512/klagomål/A 45354-2023 FSC-klagomål.docx", "A 45354-2023")</f>
        <v/>
      </c>
      <c r="AB29">
        <f>HYPERLINK("https://klasma.github.io/Logging_0512/klagomålsmail/A 45354-2023 FSC-klagomål mail.docx", "A 45354-2023")</f>
        <v/>
      </c>
      <c r="AC29">
        <f>HYPERLINK("https://klasma.github.io/Logging_0512/tillsyn/A 45354-2023 tillsynsbegäran.docx", "A 45354-2023")</f>
        <v/>
      </c>
      <c r="AD29">
        <f>HYPERLINK("https://klasma.github.io/Logging_0512/tillsynsmail/A 45354-2023 tillsynsbegäran mail.docx", "A 45354-2023")</f>
        <v/>
      </c>
    </row>
    <row r="30" ht="15" customHeight="1">
      <c r="A30" t="inlineStr">
        <is>
          <t>A 11716-2025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45727</v>
      </c>
      <c r="E30" s="1" t="n">
        <v>46318</v>
      </c>
      <c r="F30" t="inlineStr">
        <is>
          <t>ÖSTERGÖTLANDS LÄN</t>
        </is>
      </c>
      <c r="G30" t="inlineStr">
        <is>
          <t>YDRE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Kryddspindling</t>
        </is>
      </c>
      <c r="W30">
        <f>HYPERLINK("https://klasma.github.io/Logging_0512/artfynd/A 11716-2025 artfynd.xlsx", "A 11716-2025")</f>
        <v/>
      </c>
      <c r="X30">
        <f>HYPERLINK("https://klasma.github.io/Logging_0512/kartor/A 11716-2025 karta.png", "A 11716-2025")</f>
        <v/>
      </c>
      <c r="Y30">
        <f>HYPERLINK("https://klasma.github.io/Logging_0512/kartor_geotiff/A 11716-2025 georefererad karta.tif", "A 11716-2025")</f>
        <v/>
      </c>
      <c r="AA30">
        <f>HYPERLINK("https://klasma.github.io/Logging_0512/klagomål/A 11716-2025 FSC-klagomål.docx", "A 11716-2025")</f>
        <v/>
      </c>
      <c r="AB30">
        <f>HYPERLINK("https://klasma.github.io/Logging_0512/klagomålsmail/A 11716-2025 FSC-klagomål mail.docx", "A 11716-2025")</f>
        <v/>
      </c>
      <c r="AC30">
        <f>HYPERLINK("https://klasma.github.io/Logging_0512/tillsyn/A 11716-2025 tillsynsbegäran.docx", "A 11716-2025")</f>
        <v/>
      </c>
      <c r="AD30">
        <f>HYPERLINK("https://klasma.github.io/Logging_0512/tillsynsmail/A 11716-2025 tillsynsbegäran mail.docx", "A 11716-2025")</f>
        <v/>
      </c>
    </row>
    <row r="31" ht="15" customHeight="1">
      <c r="A31" t="inlineStr">
        <is>
          <t>A 45765-2025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46318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HYPERLINK("https://klasma.github.io/Logging_0512/artfynd/A 45765-2025 artfynd.xlsx", "A 45765-2025")</f>
        <v/>
      </c>
      <c r="X31">
        <f>HYPERLINK("https://klasma.github.io/Logging_0512/kartor/A 45765-2025 karta.png", "A 45765-2025")</f>
        <v/>
      </c>
      <c r="Y31">
        <f>HYPERLINK("https://klasma.github.io/Logging_0512/kartor_geotiff/A 45765-2025 georefererad karta.tif", "A 45765-2025")</f>
        <v/>
      </c>
      <c r="AA31">
        <f>HYPERLINK("https://klasma.github.io/Logging_0512/klagomål/A 45765-2025 FSC-klagomål.docx", "A 45765-2025")</f>
        <v/>
      </c>
      <c r="AB31">
        <f>HYPERLINK("https://klasma.github.io/Logging_0512/klagomålsmail/A 45765-2025 FSC-klagomål mail.docx", "A 45765-2025")</f>
        <v/>
      </c>
      <c r="AC31">
        <f>HYPERLINK("https://klasma.github.io/Logging_0512/tillsyn/A 45765-2025 tillsynsbegäran.docx", "A 45765-2025")</f>
        <v/>
      </c>
      <c r="AD31">
        <f>HYPERLINK("https://klasma.github.io/Logging_0512/tillsynsmail/A 45765-2025 tillsynsbegäran mail.docx", "A 45765-2025")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46318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Gullklöver</t>
        </is>
      </c>
      <c r="W32">
        <f>HYPERLINK("https://klasma.github.io/Logging_0512/artfynd/A 48344-2022 artfynd.xlsx", "A 48344-2022")</f>
        <v/>
      </c>
      <c r="X32">
        <f>HYPERLINK("https://klasma.github.io/Logging_0512/kartor/A 48344-2022 karta.png", "A 48344-2022")</f>
        <v/>
      </c>
      <c r="Y32">
        <f>HYPERLINK("https://klasma.github.io/Logging_0512/kartor_geotiff/A 48344-2022 georefererad karta.tif", "A 48344-2022")</f>
        <v/>
      </c>
      <c r="AA32">
        <f>HYPERLINK("https://klasma.github.io/Logging_0512/klagomål/A 48344-2022 FSC-klagomål.docx", "A 48344-2022")</f>
        <v/>
      </c>
      <c r="AB32">
        <f>HYPERLINK("https://klasma.github.io/Logging_0512/klagomålsmail/A 48344-2022 FSC-klagomål mail.docx", "A 48344-2022")</f>
        <v/>
      </c>
      <c r="AC32">
        <f>HYPERLINK("https://klasma.github.io/Logging_0512/tillsyn/A 48344-2022 tillsynsbegäran.docx", "A 48344-2022")</f>
        <v/>
      </c>
      <c r="AD32">
        <f>HYPERLINK("https://klasma.github.io/Logging_0512/tillsynsmail/A 48344-2022 tillsynsbegäran mail.docx", "A 48344-2022")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46318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46318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4248-2026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46318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5.1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HYPERLINK("https://klasma.github.io/Logging_0512/artfynd/A 4248-2026 artfynd.xlsx", "A 4248-2026")</f>
        <v/>
      </c>
      <c r="X35">
        <f>HYPERLINK("https://klasma.github.io/Logging_0512/kartor/A 4248-2026 karta.png", "A 4248-2026")</f>
        <v/>
      </c>
      <c r="Y35">
        <f>HYPERLINK("https://klasma.github.io/Logging_0512/kartor_geotiff/A 4248-2026 georefererad karta.tif", "A 4248-2026")</f>
        <v/>
      </c>
      <c r="AA35">
        <f>HYPERLINK("https://klasma.github.io/Logging_0512/klagomål/A 4248-2026 FSC-klagomål.docx", "A 4248-2026")</f>
        <v/>
      </c>
      <c r="AB35">
        <f>HYPERLINK("https://klasma.github.io/Logging_0512/klagomålsmail/A 4248-2026 FSC-klagomål mail.docx", "A 4248-2026")</f>
        <v/>
      </c>
      <c r="AC35">
        <f>HYPERLINK("https://klasma.github.io/Logging_0512/tillsyn/A 4248-2026 tillsynsbegäran.docx", "A 4248-2026")</f>
        <v/>
      </c>
      <c r="AD35">
        <f>HYPERLINK("https://klasma.github.io/Logging_0512/tillsynsmail/A 4248-2026 tillsynsbegäran mail.docx", "A 4248-2026")</f>
        <v/>
      </c>
      <c r="AE35">
        <f>HYPERLINK("https://klasma.github.io/Logging_0512/fåglar/A 4248-2026 prioriterade fågelarter.docx", "A 4248-2026")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46318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Slåtterfibbla</t>
        </is>
      </c>
      <c r="W36">
        <f>HYPERLINK("https://klasma.github.io/Logging_0512/artfynd/A 9051-2026 artfynd.xlsx", "A 9051-2026")</f>
        <v/>
      </c>
      <c r="X36">
        <f>HYPERLINK("https://klasma.github.io/Logging_0512/kartor/A 9051-2026 karta.png", "A 9051-2026")</f>
        <v/>
      </c>
      <c r="Y36">
        <f>HYPERLINK("https://klasma.github.io/Logging_0512/kartor_geotiff/A 9051-2026 georefererad karta.tif", "A 9051-2026")</f>
        <v/>
      </c>
      <c r="AA36">
        <f>HYPERLINK("https://klasma.github.io/Logging_0512/klagomål/A 9051-2026 FSC-klagomål.docx", "A 9051-2026")</f>
        <v/>
      </c>
      <c r="AB36">
        <f>HYPERLINK("https://klasma.github.io/Logging_0512/klagomålsmail/A 9051-2026 FSC-klagomål mail.docx", "A 9051-2026")</f>
        <v/>
      </c>
      <c r="AC36">
        <f>HYPERLINK("https://klasma.github.io/Logging_0512/tillsyn/A 9051-2026 tillsynsbegäran.docx", "A 9051-2026")</f>
        <v/>
      </c>
      <c r="AD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46318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46318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19370-2025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46318</v>
      </c>
      <c r="F39" t="inlineStr">
        <is>
          <t>ÖSTERGÖTLANDS LÄN</t>
        </is>
      </c>
      <c r="G39" t="inlineStr">
        <is>
          <t>YDRE</t>
        </is>
      </c>
      <c r="I39" t="n">
        <v>5.3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Smal guldkornsfibbla</t>
        </is>
      </c>
      <c r="W39">
        <f>HYPERLINK("https://klasma.github.io/Logging_0512/artfynd/A 19370-2025 artfynd.xlsx", "A 19370-2025")</f>
        <v/>
      </c>
      <c r="X39">
        <f>HYPERLINK("https://klasma.github.io/Logging_0512/kartor/A 19370-2025 karta.png", "A 19370-2025")</f>
        <v/>
      </c>
      <c r="Y39">
        <f>HYPERLINK("https://klasma.github.io/Logging_0512/kartor_geotiff/A 19370-2025 georefererad karta.tif", "A 19370-2025")</f>
        <v/>
      </c>
      <c r="AA39">
        <f>HYPERLINK("https://klasma.github.io/Logging_0512/klagomål/A 19370-2025 FSC-klagomål.docx", "A 19370-2025")</f>
        <v/>
      </c>
      <c r="AB39">
        <f>HYPERLINK("https://klasma.github.io/Logging_0512/klagomålsmail/A 19370-2025 FSC-klagomål mail.docx", "A 19370-2025")</f>
        <v/>
      </c>
      <c r="AC39">
        <f>HYPERLINK("https://klasma.github.io/Logging_0512/tillsyn/A 19370-2025 tillsynsbegäran.docx", "A 19370-2025")</f>
        <v/>
      </c>
      <c r="AD39">
        <f>HYPERLINK("https://klasma.github.io/Logging_0512/tillsynsmail/A 19370-2025 tillsynsbegäran mail.docx", "A 19370-2025")</f>
        <v/>
      </c>
    </row>
    <row r="40" ht="15" customHeight="1">
      <c r="A40" t="inlineStr">
        <is>
          <t>A 53049-2024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46318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Mosippa</t>
        </is>
      </c>
      <c r="W40">
        <f>HYPERLINK("https://klasma.github.io/Logging_0512/artfynd/A 53049-2024 artfynd.xlsx", "A 53049-2024")</f>
        <v/>
      </c>
      <c r="X40">
        <f>HYPERLINK("https://klasma.github.io/Logging_0512/kartor/A 53049-2024 karta.png", "A 53049-2024")</f>
        <v/>
      </c>
      <c r="Y40">
        <f>HYPERLINK("https://klasma.github.io/Logging_0512/kartor_geotiff/A 53049-2024 georefererad karta.tif", "A 53049-2024")</f>
        <v/>
      </c>
      <c r="AA40">
        <f>HYPERLINK("https://klasma.github.io/Logging_0512/klagomål/A 53049-2024 FSC-klagomål.docx", "A 53049-2024")</f>
        <v/>
      </c>
      <c r="AB40">
        <f>HYPERLINK("https://klasma.github.io/Logging_0512/klagomålsmail/A 53049-2024 FSC-klagomål mail.docx", "A 53049-2024")</f>
        <v/>
      </c>
      <c r="AC40">
        <f>HYPERLINK("https://klasma.github.io/Logging_0512/tillsyn/A 53049-2024 tillsynsbegäran.docx", "A 53049-2024")</f>
        <v/>
      </c>
      <c r="AD40">
        <f>HYPERLINK("https://klasma.github.io/Logging_0512/tillsynsmail/A 53049-2024 tillsynsbegäran mail.docx", "A 53049-2024")</f>
        <v/>
      </c>
    </row>
    <row r="41" ht="15" customHeight="1">
      <c r="A41" t="inlineStr">
        <is>
          <t>A 11273-2024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45371</v>
      </c>
      <c r="E41" s="1" t="n">
        <v>46318</v>
      </c>
      <c r="F41" t="inlineStr">
        <is>
          <t>ÖSTERGÖTLANDS LÄN</t>
        </is>
      </c>
      <c r="G41" t="inlineStr">
        <is>
          <t>YDRE</t>
        </is>
      </c>
      <c r="I41" t="n">
        <v>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Lungrot</t>
        </is>
      </c>
      <c r="W41">
        <f>HYPERLINK("https://klasma.github.io/Logging_0512/artfynd/A 11273-2024 artfynd.xlsx", "A 11273-2024")</f>
        <v/>
      </c>
      <c r="X41">
        <f>HYPERLINK("https://klasma.github.io/Logging_0512/kartor/A 11273-2024 karta.png", "A 11273-2024")</f>
        <v/>
      </c>
      <c r="Y41">
        <f>HYPERLINK("https://klasma.github.io/Logging_0512/kartor_geotiff/A 11273-2024 georefererad karta.tif", "A 11273-2024")</f>
        <v/>
      </c>
      <c r="AA41">
        <f>HYPERLINK("https://klasma.github.io/Logging_0512/klagomål/A 11273-2024 FSC-klagomål.docx", "A 11273-2024")</f>
        <v/>
      </c>
      <c r="AB41">
        <f>HYPERLINK("https://klasma.github.io/Logging_0512/klagomålsmail/A 11273-2024 FSC-klagomål mail.docx", "A 11273-2024")</f>
        <v/>
      </c>
      <c r="AC41">
        <f>HYPERLINK("https://klasma.github.io/Logging_0512/tillsyn/A 11273-2024 tillsynsbegäran.docx", "A 11273-2024")</f>
        <v/>
      </c>
      <c r="AD41">
        <f>HYPERLINK("https://klasma.github.io/Logging_0512/tillsynsmail/A 11273-2024 tillsynsbegäran mail.docx", "A 11273-2024")</f>
        <v/>
      </c>
    </row>
    <row r="42" ht="15" customHeight="1">
      <c r="A42" t="inlineStr">
        <is>
          <t>A 41907-2024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46318</v>
      </c>
      <c r="F42" t="inlineStr">
        <is>
          <t>ÖSTERGÖTLANDS LÄN</t>
        </is>
      </c>
      <c r="G42" t="inlineStr">
        <is>
          <t>YDRE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HYPERLINK("https://klasma.github.io/Logging_0512/artfynd/A 41907-2024 artfynd.xlsx", "A 41907-2024")</f>
        <v/>
      </c>
      <c r="X42">
        <f>HYPERLINK("https://klasma.github.io/Logging_0512/kartor/A 41907-2024 karta.png", "A 41907-2024")</f>
        <v/>
      </c>
      <c r="Y42">
        <f>HYPERLINK("https://klasma.github.io/Logging_0512/kartor_geotiff/A 41907-2024 georefererad karta.tif", "A 41907-2024")</f>
        <v/>
      </c>
      <c r="AA42">
        <f>HYPERLINK("https://klasma.github.io/Logging_0512/klagomål/A 41907-2024 FSC-klagomål.docx", "A 41907-2024")</f>
        <v/>
      </c>
      <c r="AB42">
        <f>HYPERLINK("https://klasma.github.io/Logging_0512/klagomålsmail/A 41907-2024 FSC-klagomål mail.docx", "A 41907-2024")</f>
        <v/>
      </c>
      <c r="AC42">
        <f>HYPERLINK("https://klasma.github.io/Logging_0512/tillsyn/A 41907-2024 tillsynsbegäran.docx", "A 41907-2024")</f>
        <v/>
      </c>
      <c r="AD42">
        <f>HYPERLINK("https://klasma.github.io/Logging_0512/tillsynsmail/A 41907-2024 tillsynsbegäran mail.docx", "A 41907-2024")</f>
        <v/>
      </c>
    </row>
    <row r="43" ht="15" customHeight="1">
      <c r="A43" t="inlineStr">
        <is>
          <t>A 16704-2025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45754</v>
      </c>
      <c r="E43" s="1" t="n">
        <v>46318</v>
      </c>
      <c r="F43" t="inlineStr">
        <is>
          <t>ÖSTERGÖTLANDS LÄN</t>
        </is>
      </c>
      <c r="G43" t="inlineStr">
        <is>
          <t>YDRE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HYPERLINK("https://klasma.github.io/Logging_0512/artfynd/A 16704-2025 artfynd.xlsx", "A 16704-2025")</f>
        <v/>
      </c>
      <c r="X43">
        <f>HYPERLINK("https://klasma.github.io/Logging_0512/kartor/A 16704-2025 karta.png", "A 16704-2025")</f>
        <v/>
      </c>
      <c r="Y43">
        <f>HYPERLINK("https://klasma.github.io/Logging_0512/kartor_geotiff/A 16704-2025 georefererad karta.tif", "A 16704-2025")</f>
        <v/>
      </c>
      <c r="AA43">
        <f>HYPERLINK("https://klasma.github.io/Logging_0512/klagomål/A 16704-2025 FSC-klagomål.docx", "A 16704-2025")</f>
        <v/>
      </c>
      <c r="AB43">
        <f>HYPERLINK("https://klasma.github.io/Logging_0512/klagomålsmail/A 16704-2025 FSC-klagomål mail.docx", "A 16704-2025")</f>
        <v/>
      </c>
      <c r="AC43">
        <f>HYPERLINK("https://klasma.github.io/Logging_0512/tillsyn/A 16704-2025 tillsynsbegäran.docx", "A 16704-2025")</f>
        <v/>
      </c>
      <c r="AD43">
        <f>HYPERLINK("https://klasma.github.io/Logging_0512/tillsynsmail/A 16704-2025 tillsynsbegäran mail.docx", "A 16704-2025")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46318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46318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46318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19610-2022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44693</v>
      </c>
      <c r="E47" s="1" t="n">
        <v>46318</v>
      </c>
      <c r="F47" t="inlineStr">
        <is>
          <t>ÖSTERGÖTLANDS LÄN</t>
        </is>
      </c>
      <c r="G47" t="inlineStr">
        <is>
          <t>YDRE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46318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46318</v>
      </c>
      <c r="F49" t="inlineStr">
        <is>
          <t>ÖSTERGÖTLANDS LÄN</t>
        </is>
      </c>
      <c r="G49" t="inlineStr">
        <is>
          <t>YDRE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46318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46318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46318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46318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46318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46318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46318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46318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46318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46318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46318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46318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46318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46318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46318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46318</v>
      </c>
      <c r="F65" t="inlineStr">
        <is>
          <t>ÖSTERGÖTLANDS LÄN</t>
        </is>
      </c>
      <c r="G65" t="inlineStr">
        <is>
          <t>YDRE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46318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46318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27744-2022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46318</v>
      </c>
      <c r="F68" t="inlineStr">
        <is>
          <t>ÖSTERGÖTLANDS LÄN</t>
        </is>
      </c>
      <c r="G68" t="inlineStr">
        <is>
          <t>YDRE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71041-2021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44538</v>
      </c>
      <c r="E69" s="1" t="n">
        <v>46318</v>
      </c>
      <c r="F69" t="inlineStr">
        <is>
          <t>ÖSTERGÖTLANDS LÄN</t>
        </is>
      </c>
      <c r="G69" t="inlineStr">
        <is>
          <t>YDRE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46318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44531</v>
      </c>
      <c r="E71" s="1" t="n">
        <v>46318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46318</v>
      </c>
      <c r="F72" t="inlineStr">
        <is>
          <t>ÖSTERGÖTLANDS LÄN</t>
        </is>
      </c>
      <c r="G72" t="inlineStr">
        <is>
          <t>YDRE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46318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45432</v>
      </c>
      <c r="E74" s="1" t="n">
        <v>46318</v>
      </c>
      <c r="F74" t="inlineStr">
        <is>
          <t>ÖSTERGÖTLANDS LÄN</t>
        </is>
      </c>
      <c r="G74" t="inlineStr">
        <is>
          <t>YDRE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46318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36616-2024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46318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45239</v>
      </c>
      <c r="E77" s="1" t="n">
        <v>46318</v>
      </c>
      <c r="F77" t="inlineStr">
        <is>
          <t>ÖSTERGÖTLANDS LÄN</t>
        </is>
      </c>
      <c r="G77" t="inlineStr">
        <is>
          <t>YDRE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46318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46318</v>
      </c>
      <c r="F79" t="inlineStr">
        <is>
          <t>ÖSTERGÖTLANDS LÄN</t>
        </is>
      </c>
      <c r="G79" t="inlineStr">
        <is>
          <t>YDRE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44868</v>
      </c>
      <c r="E80" s="1" t="n">
        <v>46318</v>
      </c>
      <c r="F80" t="inlineStr">
        <is>
          <t>ÖSTERGÖTLANDS LÄN</t>
        </is>
      </c>
      <c r="G80" t="inlineStr">
        <is>
          <t>YDRE</t>
        </is>
      </c>
      <c r="H80" t="inlineStr">
        <is>
          <t>Övriga Aktiebolag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46318</v>
      </c>
      <c r="F81" t="inlineStr">
        <is>
          <t>ÖSTERGÖTLANDS LÄN</t>
        </is>
      </c>
      <c r="G81" t="inlineStr">
        <is>
          <t>YDRE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46318</v>
      </c>
      <c r="F82" t="inlineStr">
        <is>
          <t>ÖSTERGÖTLANDS LÄN</t>
        </is>
      </c>
      <c r="G82" t="inlineStr">
        <is>
          <t>YDRE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71524-2021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46318</v>
      </c>
      <c r="F83" t="inlineStr">
        <is>
          <t>ÖSTERGÖTLANDS LÄN</t>
        </is>
      </c>
      <c r="G83" t="inlineStr">
        <is>
          <t>YDRE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46318</v>
      </c>
      <c r="F84" t="inlineStr">
        <is>
          <t>ÖSTERGÖTLANDS LÄN</t>
        </is>
      </c>
      <c r="G84" t="inlineStr">
        <is>
          <t>YDRE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46318</v>
      </c>
      <c r="F85" t="inlineStr">
        <is>
          <t>ÖSTERGÖTLANDS LÄN</t>
        </is>
      </c>
      <c r="G85" t="inlineStr">
        <is>
          <t>YDRE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46318</v>
      </c>
      <c r="F86" t="inlineStr">
        <is>
          <t>ÖSTERGÖTLANDS LÄN</t>
        </is>
      </c>
      <c r="G86" t="inlineStr">
        <is>
          <t>YDRE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45595</v>
      </c>
      <c r="E87" s="1" t="n">
        <v>46318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45821</v>
      </c>
      <c r="E88" s="1" t="n">
        <v>46318</v>
      </c>
      <c r="F88" t="inlineStr">
        <is>
          <t>ÖSTERGÖTLANDS LÄN</t>
        </is>
      </c>
      <c r="G88" t="inlineStr">
        <is>
          <t>YDRE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44966</v>
      </c>
      <c r="E89" s="1" t="n">
        <v>46318</v>
      </c>
      <c r="F89" t="inlineStr">
        <is>
          <t>ÖSTERGÖTLANDS LÄN</t>
        </is>
      </c>
      <c r="G89" t="inlineStr">
        <is>
          <t>YDRE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46318</v>
      </c>
      <c r="F90" t="inlineStr">
        <is>
          <t>ÖSTERGÖTLANDS LÄN</t>
        </is>
      </c>
      <c r="G90" t="inlineStr">
        <is>
          <t>YDRE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46318</v>
      </c>
      <c r="F91" t="inlineStr">
        <is>
          <t>ÖSTERGÖTLANDS LÄN</t>
        </is>
      </c>
      <c r="G91" t="inlineStr">
        <is>
          <t>YDRE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46318</v>
      </c>
      <c r="F92" t="inlineStr">
        <is>
          <t>ÖSTERGÖTLANDS LÄN</t>
        </is>
      </c>
      <c r="G92" t="inlineStr">
        <is>
          <t>YDRE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46318</v>
      </c>
      <c r="F93" t="inlineStr">
        <is>
          <t>ÖSTERGÖTLANDS LÄN</t>
        </is>
      </c>
      <c r="G93" t="inlineStr">
        <is>
          <t>YDRE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46318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32635-2025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45838</v>
      </c>
      <c r="E95" s="1" t="n">
        <v>46318</v>
      </c>
      <c r="F95" t="inlineStr">
        <is>
          <t>ÖSTERGÖTLANDS LÄN</t>
        </is>
      </c>
      <c r="G95" t="inlineStr">
        <is>
          <t>YDRE</t>
        </is>
      </c>
      <c r="H95" t="inlineStr">
        <is>
          <t>Övriga Aktiebolag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46318</v>
      </c>
      <c r="F96" t="inlineStr">
        <is>
          <t>ÖSTERGÖTLANDS LÄN</t>
        </is>
      </c>
      <c r="G96" t="inlineStr">
        <is>
          <t>YDRE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45714</v>
      </c>
      <c r="E97" s="1" t="n">
        <v>46318</v>
      </c>
      <c r="F97" t="inlineStr">
        <is>
          <t>ÖSTERGÖTLANDS LÄN</t>
        </is>
      </c>
      <c r="G97" t="inlineStr">
        <is>
          <t>YDRE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46318</v>
      </c>
      <c r="F98" t="inlineStr">
        <is>
          <t>ÖSTERGÖTLANDS LÄN</t>
        </is>
      </c>
      <c r="G98" t="inlineStr">
        <is>
          <t>YDRE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46318</v>
      </c>
      <c r="F99" t="inlineStr">
        <is>
          <t>ÖSTERGÖTLANDS LÄN</t>
        </is>
      </c>
      <c r="G99" t="inlineStr">
        <is>
          <t>YDRE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46318</v>
      </c>
      <c r="F100" t="inlineStr">
        <is>
          <t>ÖSTERGÖTLANDS LÄN</t>
        </is>
      </c>
      <c r="G100" t="inlineStr">
        <is>
          <t>YDRE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46318</v>
      </c>
      <c r="F101" t="inlineStr">
        <is>
          <t>ÖSTERGÖTLANDS LÄN</t>
        </is>
      </c>
      <c r="G101" t="inlineStr">
        <is>
          <t>YDRE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45701</v>
      </c>
      <c r="E102" s="1" t="n">
        <v>46318</v>
      </c>
      <c r="F102" t="inlineStr">
        <is>
          <t>ÖSTERGÖTLANDS LÄN</t>
        </is>
      </c>
      <c r="G102" t="inlineStr">
        <is>
          <t>YDRE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46318</v>
      </c>
      <c r="F103" t="inlineStr">
        <is>
          <t>ÖSTERGÖTLANDS LÄN</t>
        </is>
      </c>
      <c r="G103" t="inlineStr">
        <is>
          <t>YDRE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46318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46318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44874</v>
      </c>
      <c r="E106" s="1" t="n">
        <v>46318</v>
      </c>
      <c r="F106" t="inlineStr">
        <is>
          <t>ÖSTERGÖTLANDS LÄN</t>
        </is>
      </c>
      <c r="G106" t="inlineStr">
        <is>
          <t>YDRE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46318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46318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46318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46318</v>
      </c>
      <c r="F110" t="inlineStr">
        <is>
          <t>ÖSTERGÖTLANDS LÄN</t>
        </is>
      </c>
      <c r="G110" t="inlineStr">
        <is>
          <t>YDRE</t>
        </is>
      </c>
      <c r="H110" t="inlineStr">
        <is>
          <t>Övriga Aktiebolag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46318</v>
      </c>
      <c r="F111" t="inlineStr">
        <is>
          <t>ÖSTERGÖTLANDS LÄN</t>
        </is>
      </c>
      <c r="G111" t="inlineStr">
        <is>
          <t>YDRE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46318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46318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46318</v>
      </c>
      <c r="F114" t="inlineStr">
        <is>
          <t>ÖSTERGÖTLANDS LÄN</t>
        </is>
      </c>
      <c r="G114" t="inlineStr">
        <is>
          <t>YDRE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46318</v>
      </c>
      <c r="F115" t="inlineStr">
        <is>
          <t>ÖSTERGÖTLANDS LÄN</t>
        </is>
      </c>
      <c r="G115" t="inlineStr">
        <is>
          <t>YDRE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46318</v>
      </c>
      <c r="F116" t="inlineStr">
        <is>
          <t>ÖSTERGÖTLANDS LÄN</t>
        </is>
      </c>
      <c r="G116" t="inlineStr">
        <is>
          <t>YDRE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45924</v>
      </c>
      <c r="E117" s="1" t="n">
        <v>46318</v>
      </c>
      <c r="F117" t="inlineStr">
        <is>
          <t>ÖSTERGÖTLANDS LÄN</t>
        </is>
      </c>
      <c r="G117" t="inlineStr">
        <is>
          <t>YDRE</t>
        </is>
      </c>
      <c r="H117" t="inlineStr">
        <is>
          <t>Övriga Aktiebolag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45649</v>
      </c>
      <c r="E118" s="1" t="n">
        <v>46318</v>
      </c>
      <c r="F118" t="inlineStr">
        <is>
          <t>ÖSTERGÖTLANDS LÄN</t>
        </is>
      </c>
      <c r="G118" t="inlineStr">
        <is>
          <t>YDRE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46318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46318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46318</v>
      </c>
      <c r="F121" t="inlineStr">
        <is>
          <t>ÖSTERGÖTLANDS LÄN</t>
        </is>
      </c>
      <c r="G121" t="inlineStr">
        <is>
          <t>YDRE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46318</v>
      </c>
      <c r="F122" t="inlineStr">
        <is>
          <t>ÖSTERGÖTLANDS LÄN</t>
        </is>
      </c>
      <c r="G122" t="inlineStr">
        <is>
          <t>YDRE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45138</v>
      </c>
      <c r="E123" s="1" t="n">
        <v>46318</v>
      </c>
      <c r="F123" t="inlineStr">
        <is>
          <t>ÖSTERGÖTLANDS LÄN</t>
        </is>
      </c>
      <c r="G123" t="inlineStr">
        <is>
          <t>YDRE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46318</v>
      </c>
      <c r="F124" t="inlineStr">
        <is>
          <t>ÖSTERGÖTLANDS LÄN</t>
        </is>
      </c>
      <c r="G124" t="inlineStr">
        <is>
          <t>YDRE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46318</v>
      </c>
      <c r="F125" t="inlineStr">
        <is>
          <t>ÖSTERGÖTLANDS LÄN</t>
        </is>
      </c>
      <c r="G125" t="inlineStr">
        <is>
          <t>YDRE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46318</v>
      </c>
      <c r="F126" t="inlineStr">
        <is>
          <t>ÖSTERGÖTLANDS LÄN</t>
        </is>
      </c>
      <c r="G126" t="inlineStr">
        <is>
          <t>YDRE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46318</v>
      </c>
      <c r="F127" t="inlineStr">
        <is>
          <t>ÖSTERGÖTLANDS LÄN</t>
        </is>
      </c>
      <c r="G127" t="inlineStr">
        <is>
          <t>YDRE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46318</v>
      </c>
      <c r="F128" t="inlineStr">
        <is>
          <t>ÖSTERGÖTLANDS LÄN</t>
        </is>
      </c>
      <c r="G128" t="inlineStr">
        <is>
          <t>YDRE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46318</v>
      </c>
      <c r="F129" t="inlineStr">
        <is>
          <t>ÖSTERGÖTLANDS LÄN</t>
        </is>
      </c>
      <c r="G129" t="inlineStr">
        <is>
          <t>YDRE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46318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45665</v>
      </c>
      <c r="E131" s="1" t="n">
        <v>46318</v>
      </c>
      <c r="F131" t="inlineStr">
        <is>
          <t>ÖSTERGÖTLANDS LÄN</t>
        </is>
      </c>
      <c r="G131" t="inlineStr">
        <is>
          <t>YDRE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46318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46318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46318</v>
      </c>
      <c r="F134" t="inlineStr">
        <is>
          <t>ÖSTERGÖTLANDS LÄN</t>
        </is>
      </c>
      <c r="G134" t="inlineStr">
        <is>
          <t>YDRE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46318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46318</v>
      </c>
      <c r="F136" t="inlineStr">
        <is>
          <t>ÖSTERGÖTLANDS LÄN</t>
        </is>
      </c>
      <c r="G136" t="inlineStr">
        <is>
          <t>YDRE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46318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46318</v>
      </c>
      <c r="F138" t="inlineStr">
        <is>
          <t>ÖSTERGÖTLANDS LÄN</t>
        </is>
      </c>
      <c r="G138" t="inlineStr">
        <is>
          <t>YDRE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46318</v>
      </c>
      <c r="F139" t="inlineStr">
        <is>
          <t>ÖSTERGÖTLANDS LÄN</t>
        </is>
      </c>
      <c r="G139" t="inlineStr">
        <is>
          <t>YDRE</t>
        </is>
      </c>
      <c r="H139" t="inlineStr">
        <is>
          <t>Kyrkan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46318</v>
      </c>
      <c r="F140" t="inlineStr">
        <is>
          <t>ÖSTERGÖTLANDS LÄN</t>
        </is>
      </c>
      <c r="G140" t="inlineStr">
        <is>
          <t>YDRE</t>
        </is>
      </c>
      <c r="H140" t="inlineStr">
        <is>
          <t>Kyrkan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46318</v>
      </c>
      <c r="F141" t="inlineStr">
        <is>
          <t>ÖSTERGÖTLANDS LÄN</t>
        </is>
      </c>
      <c r="G141" t="inlineStr">
        <is>
          <t>YDRE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46318</v>
      </c>
      <c r="F142" t="inlineStr">
        <is>
          <t>ÖSTERGÖTLANDS LÄN</t>
        </is>
      </c>
      <c r="G142" t="inlineStr">
        <is>
          <t>YDRE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46318</v>
      </c>
      <c r="F143" t="inlineStr">
        <is>
          <t>ÖSTERGÖTLANDS LÄN</t>
        </is>
      </c>
      <c r="G143" t="inlineStr">
        <is>
          <t>YDRE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46318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68983-2021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46318</v>
      </c>
      <c r="F145" t="inlineStr">
        <is>
          <t>ÖSTERGÖTLANDS LÄN</t>
        </is>
      </c>
      <c r="G145" t="inlineStr">
        <is>
          <t>YDRE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46318</v>
      </c>
      <c r="F146" t="inlineStr">
        <is>
          <t>ÖSTERGÖTLANDS LÄN</t>
        </is>
      </c>
      <c r="G146" t="inlineStr">
        <is>
          <t>YDRE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46318</v>
      </c>
      <c r="F147" t="inlineStr">
        <is>
          <t>ÖSTERGÖTLANDS LÄN</t>
        </is>
      </c>
      <c r="G147" t="inlineStr">
        <is>
          <t>YDRE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46318</v>
      </c>
      <c r="F148" t="inlineStr">
        <is>
          <t>ÖSTERGÖTLANDS LÄN</t>
        </is>
      </c>
      <c r="G148" t="inlineStr">
        <is>
          <t>YDRE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45649</v>
      </c>
      <c r="E149" s="1" t="n">
        <v>46318</v>
      </c>
      <c r="F149" t="inlineStr">
        <is>
          <t>ÖSTERGÖTLANDS LÄN</t>
        </is>
      </c>
      <c r="G149" t="inlineStr">
        <is>
          <t>YDRE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46318</v>
      </c>
      <c r="F150" t="inlineStr">
        <is>
          <t>ÖSTERGÖTLANDS LÄN</t>
        </is>
      </c>
      <c r="G150" t="inlineStr">
        <is>
          <t>YDRE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45871</v>
      </c>
      <c r="E151" s="1" t="n">
        <v>46318</v>
      </c>
      <c r="F151" t="inlineStr">
        <is>
          <t>ÖSTERGÖTLANDS LÄN</t>
        </is>
      </c>
      <c r="G151" t="inlineStr">
        <is>
          <t>YDRE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46318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46318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46318</v>
      </c>
      <c r="F154" t="inlineStr">
        <is>
          <t>ÖSTERGÖTLANDS LÄN</t>
        </is>
      </c>
      <c r="G154" t="inlineStr">
        <is>
          <t>YDRE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45793</v>
      </c>
      <c r="E155" s="1" t="n">
        <v>46318</v>
      </c>
      <c r="F155" t="inlineStr">
        <is>
          <t>ÖSTERGÖTLANDS LÄN</t>
        </is>
      </c>
      <c r="G155" t="inlineStr">
        <is>
          <t>YDRE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46318</v>
      </c>
      <c r="F156" t="inlineStr">
        <is>
          <t>ÖSTERGÖTLANDS LÄN</t>
        </is>
      </c>
      <c r="G156" t="inlineStr">
        <is>
          <t>YDRE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44987</v>
      </c>
      <c r="E157" s="1" t="n">
        <v>46318</v>
      </c>
      <c r="F157" t="inlineStr">
        <is>
          <t>ÖSTERGÖTLANDS LÄN</t>
        </is>
      </c>
      <c r="G157" t="inlineStr">
        <is>
          <t>YDRE</t>
        </is>
      </c>
      <c r="I157" t="n">
        <v>10.2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46318</v>
      </c>
      <c r="F158" t="inlineStr">
        <is>
          <t>ÖSTERGÖTLANDS LÄN</t>
        </is>
      </c>
      <c r="G158" t="inlineStr">
        <is>
          <t>YDRE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46318</v>
      </c>
      <c r="F159" t="inlineStr">
        <is>
          <t>ÖSTERGÖTLANDS LÄN</t>
        </is>
      </c>
      <c r="G159" t="inlineStr">
        <is>
          <t>YDRE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46318</v>
      </c>
      <c r="F160" t="inlineStr">
        <is>
          <t>ÖSTERGÖTLANDS LÄN</t>
        </is>
      </c>
      <c r="G160" t="inlineStr">
        <is>
          <t>YDRE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46318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46318</v>
      </c>
      <c r="F162" t="inlineStr">
        <is>
          <t>ÖSTERGÖTLANDS LÄN</t>
        </is>
      </c>
      <c r="G162" t="inlineStr">
        <is>
          <t>YDRE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46318</v>
      </c>
      <c r="F163" t="inlineStr">
        <is>
          <t>ÖSTERGÖTLANDS LÄN</t>
        </is>
      </c>
      <c r="G163" t="inlineStr">
        <is>
          <t>YDRE</t>
        </is>
      </c>
      <c r="H163" t="inlineStr">
        <is>
          <t>Kyrkan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46318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46318</v>
      </c>
      <c r="F165" t="inlineStr">
        <is>
          <t>ÖSTERGÖTLANDS LÄN</t>
        </is>
      </c>
      <c r="G165" t="inlineStr">
        <is>
          <t>YDRE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46318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45414</v>
      </c>
      <c r="E167" s="1" t="n">
        <v>46318</v>
      </c>
      <c r="F167" t="inlineStr">
        <is>
          <t>ÖSTERGÖTLANDS LÄN</t>
        </is>
      </c>
      <c r="G167" t="inlineStr">
        <is>
          <t>YDRE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46318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46318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46318</v>
      </c>
      <c r="F170" t="inlineStr">
        <is>
          <t>ÖSTERGÖTLANDS LÄN</t>
        </is>
      </c>
      <c r="G170" t="inlineStr">
        <is>
          <t>YDRE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46318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46318</v>
      </c>
      <c r="F172" t="inlineStr">
        <is>
          <t>ÖSTERGÖTLANDS LÄN</t>
        </is>
      </c>
      <c r="G172" t="inlineStr">
        <is>
          <t>YDRE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46318</v>
      </c>
      <c r="F173" t="inlineStr">
        <is>
          <t>ÖSTERGÖTLANDS LÄN</t>
        </is>
      </c>
      <c r="G173" t="inlineStr">
        <is>
          <t>YDRE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46318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46318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46318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45334</v>
      </c>
      <c r="E177" s="1" t="n">
        <v>46318</v>
      </c>
      <c r="F177" t="inlineStr">
        <is>
          <t>ÖSTERGÖTLANDS LÄN</t>
        </is>
      </c>
      <c r="G177" t="inlineStr">
        <is>
          <t>YDRE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46318</v>
      </c>
      <c r="F178" t="inlineStr">
        <is>
          <t>ÖSTERGÖTLANDS LÄN</t>
        </is>
      </c>
      <c r="G178" t="inlineStr">
        <is>
          <t>YDRE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46318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46318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46318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46318</v>
      </c>
      <c r="F182" t="inlineStr">
        <is>
          <t>ÖSTERGÖTLANDS LÄN</t>
        </is>
      </c>
      <c r="G182" t="inlineStr">
        <is>
          <t>YDRE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46318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46146</v>
      </c>
      <c r="E184" s="1" t="n">
        <v>46318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44592</v>
      </c>
      <c r="E185" s="1" t="n">
        <v>46318</v>
      </c>
      <c r="F185" t="inlineStr">
        <is>
          <t>ÖSTERGÖTLANDS LÄN</t>
        </is>
      </c>
      <c r="G185" t="inlineStr">
        <is>
          <t>YDRE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45348</v>
      </c>
      <c r="E186" s="1" t="n">
        <v>46318</v>
      </c>
      <c r="F186" t="inlineStr">
        <is>
          <t>ÖSTERGÖTLANDS LÄN</t>
        </is>
      </c>
      <c r="G186" t="inlineStr">
        <is>
          <t>YDRE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46318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46318</v>
      </c>
      <c r="F188" t="inlineStr">
        <is>
          <t>ÖSTERGÖTLANDS LÄN</t>
        </is>
      </c>
      <c r="G188" t="inlineStr">
        <is>
          <t>YDRE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46318</v>
      </c>
      <c r="F189" t="inlineStr">
        <is>
          <t>ÖSTERGÖTLANDS LÄN</t>
        </is>
      </c>
      <c r="G189" t="inlineStr">
        <is>
          <t>YDRE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46318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46318</v>
      </c>
      <c r="F191" t="inlineStr">
        <is>
          <t>ÖSTERGÖTLANDS LÄN</t>
        </is>
      </c>
      <c r="G191" t="inlineStr">
        <is>
          <t>YDRE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46318</v>
      </c>
      <c r="F192" t="inlineStr">
        <is>
          <t>ÖSTERGÖTLANDS LÄN</t>
        </is>
      </c>
      <c r="G192" t="inlineStr">
        <is>
          <t>YDRE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46318</v>
      </c>
      <c r="F193" t="inlineStr">
        <is>
          <t>ÖSTERGÖTLANDS LÄN</t>
        </is>
      </c>
      <c r="G193" t="inlineStr">
        <is>
          <t>YDRE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46318</v>
      </c>
      <c r="F194" t="inlineStr">
        <is>
          <t>ÖSTERGÖTLANDS LÄN</t>
        </is>
      </c>
      <c r="G194" t="inlineStr">
        <is>
          <t>YDRE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44987</v>
      </c>
      <c r="E195" s="1" t="n">
        <v>46318</v>
      </c>
      <c r="F195" t="inlineStr">
        <is>
          <t>ÖSTERGÖTLANDS LÄN</t>
        </is>
      </c>
      <c r="G195" t="inlineStr">
        <is>
          <t>YDRE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46318</v>
      </c>
      <c r="F196" t="inlineStr">
        <is>
          <t>ÖSTERGÖTLANDS LÄN</t>
        </is>
      </c>
      <c r="G196" t="inlineStr">
        <is>
          <t>YDRE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46318</v>
      </c>
      <c r="F197" t="inlineStr">
        <is>
          <t>ÖSTERGÖTLANDS LÄN</t>
        </is>
      </c>
      <c r="G197" t="inlineStr">
        <is>
          <t>YDRE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46318</v>
      </c>
      <c r="F198" t="inlineStr">
        <is>
          <t>ÖSTERGÖTLANDS LÄN</t>
        </is>
      </c>
      <c r="G198" t="inlineStr">
        <is>
          <t>YDRE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45218</v>
      </c>
      <c r="E199" s="1" t="n">
        <v>46318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46318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46318</v>
      </c>
      <c r="F201" t="inlineStr">
        <is>
          <t>ÖSTERGÖTLANDS LÄN</t>
        </is>
      </c>
      <c r="G201" t="inlineStr">
        <is>
          <t>YDRE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22312-2026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46154</v>
      </c>
      <c r="E202" s="1" t="n">
        <v>46318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46318</v>
      </c>
      <c r="F203" t="inlineStr">
        <is>
          <t>ÖSTERGÖTLANDS LÄN</t>
        </is>
      </c>
      <c r="G203" t="inlineStr">
        <is>
          <t>YDRE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14184-2022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44651</v>
      </c>
      <c r="E204" s="1" t="n">
        <v>46318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46318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44844</v>
      </c>
      <c r="E206" s="1" t="n">
        <v>46318</v>
      </c>
      <c r="F206" t="inlineStr">
        <is>
          <t>ÖSTERGÖTLANDS LÄN</t>
        </is>
      </c>
      <c r="G206" t="inlineStr">
        <is>
          <t>YDRE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46318</v>
      </c>
      <c r="F207" t="inlineStr">
        <is>
          <t>ÖSTERGÖTLANDS LÄN</t>
        </is>
      </c>
      <c r="G207" t="inlineStr">
        <is>
          <t>YDRE</t>
        </is>
      </c>
      <c r="I207" t="n">
        <v>17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45698</v>
      </c>
      <c r="E208" s="1" t="n">
        <v>46318</v>
      </c>
      <c r="F208" t="inlineStr">
        <is>
          <t>ÖSTERGÖTLANDS LÄN</t>
        </is>
      </c>
      <c r="G208" t="inlineStr">
        <is>
          <t>YDRE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46318</v>
      </c>
      <c r="F209" t="inlineStr">
        <is>
          <t>ÖSTERGÖTLANDS LÄN</t>
        </is>
      </c>
      <c r="G209" t="inlineStr">
        <is>
          <t>YDRE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46318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46318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46318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46318</v>
      </c>
      <c r="F213" t="inlineStr">
        <is>
          <t>ÖSTERGÖTLANDS LÄN</t>
        </is>
      </c>
      <c r="G213" t="inlineStr">
        <is>
          <t>YDRE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46318</v>
      </c>
      <c r="F214" t="inlineStr">
        <is>
          <t>ÖSTERGÖTLANDS LÄN</t>
        </is>
      </c>
      <c r="G214" t="inlineStr">
        <is>
          <t>YDRE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46318</v>
      </c>
      <c r="F215" t="inlineStr">
        <is>
          <t>ÖSTERGÖTLANDS LÄN</t>
        </is>
      </c>
      <c r="G215" t="inlineStr">
        <is>
          <t>YDRE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46318</v>
      </c>
      <c r="F216" t="inlineStr">
        <is>
          <t>ÖSTERGÖTLANDS LÄN</t>
        </is>
      </c>
      <c r="G216" t="inlineStr">
        <is>
          <t>YDRE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46318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46318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45273</v>
      </c>
      <c r="E219" s="1" t="n">
        <v>46318</v>
      </c>
      <c r="F219" t="inlineStr">
        <is>
          <t>ÖSTERGÖTLANDS LÄN</t>
        </is>
      </c>
      <c r="G219" t="inlineStr">
        <is>
          <t>YDRE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46318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44670</v>
      </c>
      <c r="E221" s="1" t="n">
        <v>46318</v>
      </c>
      <c r="F221" t="inlineStr">
        <is>
          <t>ÖSTERGÖTLANDS LÄN</t>
        </is>
      </c>
      <c r="G221" t="inlineStr">
        <is>
          <t>YDRE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46318</v>
      </c>
      <c r="F222" t="inlineStr">
        <is>
          <t>ÖSTERGÖTLANDS LÄN</t>
        </is>
      </c>
      <c r="G222" t="inlineStr">
        <is>
          <t>YDRE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46318</v>
      </c>
      <c r="F223" t="inlineStr">
        <is>
          <t>ÖSTERGÖTLANDS LÄN</t>
        </is>
      </c>
      <c r="G223" t="inlineStr">
        <is>
          <t>YDRE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14101-2022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44651</v>
      </c>
      <c r="E224" s="1" t="n">
        <v>46318</v>
      </c>
      <c r="F224" t="inlineStr">
        <is>
          <t>ÖSTERGÖTLANDS LÄN</t>
        </is>
      </c>
      <c r="G224" t="inlineStr">
        <is>
          <t>YDRE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46318</v>
      </c>
      <c r="F225" t="inlineStr">
        <is>
          <t>ÖSTERGÖTLANDS LÄN</t>
        </is>
      </c>
      <c r="G225" t="inlineStr">
        <is>
          <t>YDRE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45671</v>
      </c>
      <c r="E226" s="1" t="n">
        <v>46318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46318</v>
      </c>
      <c r="F227" t="inlineStr">
        <is>
          <t>ÖSTERGÖTLANDS LÄN</t>
        </is>
      </c>
      <c r="G227" t="inlineStr">
        <is>
          <t>YDRE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46318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63998-2025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46021</v>
      </c>
      <c r="E229" s="1" t="n">
        <v>46318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46318</v>
      </c>
      <c r="F230" t="inlineStr">
        <is>
          <t>ÖSTERGÖTLANDS LÄN</t>
        </is>
      </c>
      <c r="G230" t="inlineStr">
        <is>
          <t>YDRE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2745-2026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46038</v>
      </c>
      <c r="E231" s="1" t="n">
        <v>46318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46318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45596</v>
      </c>
      <c r="E233" s="1" t="n">
        <v>46318</v>
      </c>
      <c r="F233" t="inlineStr">
        <is>
          <t>ÖSTERGÖTLANDS LÄN</t>
        </is>
      </c>
      <c r="G233" t="inlineStr">
        <is>
          <t>YDRE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24780-2026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46171</v>
      </c>
      <c r="E234" s="1" t="n">
        <v>46318</v>
      </c>
      <c r="F234" t="inlineStr">
        <is>
          <t>ÖSTERGÖTLANDS LÄN</t>
        </is>
      </c>
      <c r="G234" t="inlineStr">
        <is>
          <t>YDRE</t>
        </is>
      </c>
      <c r="H234" t="inlineStr">
        <is>
          <t>Övriga Aktiebolag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46318</v>
      </c>
      <c r="F235" t="inlineStr">
        <is>
          <t>ÖSTERGÖTLANDS LÄN</t>
        </is>
      </c>
      <c r="G235" t="inlineStr">
        <is>
          <t>YDRE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46318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46318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46318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45748</v>
      </c>
      <c r="E239" s="1" t="n">
        <v>46318</v>
      </c>
      <c r="F239" t="inlineStr">
        <is>
          <t>ÖSTERGÖTLANDS LÄN</t>
        </is>
      </c>
      <c r="G239" t="inlineStr">
        <is>
          <t>YDRE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61205-2023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45264</v>
      </c>
      <c r="E240" s="1" t="n">
        <v>46318</v>
      </c>
      <c r="F240" t="inlineStr">
        <is>
          <t>ÖSTERGÖTLANDS LÄN</t>
        </is>
      </c>
      <c r="G240" t="inlineStr">
        <is>
          <t>YDRE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46318</v>
      </c>
      <c r="F241" t="inlineStr">
        <is>
          <t>ÖSTERGÖTLANDS LÄN</t>
        </is>
      </c>
      <c r="G241" t="inlineStr">
        <is>
          <t>YDRE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45261</v>
      </c>
      <c r="E242" s="1" t="n">
        <v>46318</v>
      </c>
      <c r="F242" t="inlineStr">
        <is>
          <t>ÖSTERGÖTLANDS LÄN</t>
        </is>
      </c>
      <c r="G242" t="inlineStr">
        <is>
          <t>YDRE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46318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46318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46318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45492</v>
      </c>
      <c r="E246" s="1" t="n">
        <v>46318</v>
      </c>
      <c r="F246" t="inlineStr">
        <is>
          <t>ÖSTERGÖTLANDS LÄN</t>
        </is>
      </c>
      <c r="G246" t="inlineStr">
        <is>
          <t>YDRE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26101-2024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46318</v>
      </c>
      <c r="F247" t="inlineStr">
        <is>
          <t>ÖSTERGÖTLANDS LÄN</t>
        </is>
      </c>
      <c r="G247" t="inlineStr">
        <is>
          <t>YDRE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46318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6293-2026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46055</v>
      </c>
      <c r="E249" s="1" t="n">
        <v>46318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46318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46318</v>
      </c>
      <c r="F251" t="inlineStr">
        <is>
          <t>ÖSTERGÖTLANDS LÄN</t>
        </is>
      </c>
      <c r="G251" t="inlineStr">
        <is>
          <t>YDRE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46318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46318</v>
      </c>
      <c r="F253" t="inlineStr">
        <is>
          <t>ÖSTERGÖTLANDS LÄN</t>
        </is>
      </c>
      <c r="G253" t="inlineStr">
        <is>
          <t>YDRE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46318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46318</v>
      </c>
      <c r="F255" t="inlineStr">
        <is>
          <t>ÖSTERGÖTLANDS LÄN</t>
        </is>
      </c>
      <c r="G255" t="inlineStr">
        <is>
          <t>YDRE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46318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45714</v>
      </c>
      <c r="E257" s="1" t="n">
        <v>46318</v>
      </c>
      <c r="F257" t="inlineStr">
        <is>
          <t>ÖSTERGÖTLANDS LÄN</t>
        </is>
      </c>
      <c r="G257" t="inlineStr">
        <is>
          <t>YDRE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45666</v>
      </c>
      <c r="E258" s="1" t="n">
        <v>46318</v>
      </c>
      <c r="F258" t="inlineStr">
        <is>
          <t>ÖSTERGÖTLANDS LÄN</t>
        </is>
      </c>
      <c r="G258" t="inlineStr">
        <is>
          <t>YDRE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46318</v>
      </c>
      <c r="F259" t="inlineStr">
        <is>
          <t>ÖSTERGÖTLANDS LÄN</t>
        </is>
      </c>
      <c r="G259" t="inlineStr">
        <is>
          <t>YDRE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63830-2023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46318</v>
      </c>
      <c r="F260" t="inlineStr">
        <is>
          <t>ÖSTERGÖTLANDS LÄN</t>
        </is>
      </c>
      <c r="G260" t="inlineStr">
        <is>
          <t>YDRE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46318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18.2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46318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46318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46318</v>
      </c>
      <c r="F264" t="inlineStr">
        <is>
          <t>ÖSTERGÖTLANDS LÄN</t>
        </is>
      </c>
      <c r="G264" t="inlineStr">
        <is>
          <t>YDRE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27700-2026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46190</v>
      </c>
      <c r="E265" s="1" t="n">
        <v>46318</v>
      </c>
      <c r="F265" t="inlineStr">
        <is>
          <t>ÖSTERGÖTLANDS LÄN</t>
        </is>
      </c>
      <c r="G265" t="inlineStr">
        <is>
          <t>YDRE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46318</v>
      </c>
      <c r="F266" t="inlineStr">
        <is>
          <t>ÖSTERGÖTLANDS LÄN</t>
        </is>
      </c>
      <c r="G266" t="inlineStr">
        <is>
          <t>YDRE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46318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45796</v>
      </c>
      <c r="E268" s="1" t="n">
        <v>46318</v>
      </c>
      <c r="F268" t="inlineStr">
        <is>
          <t>ÖSTERGÖTLANDS LÄN</t>
        </is>
      </c>
      <c r="G268" t="inlineStr">
        <is>
          <t>YDRE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46318</v>
      </c>
      <c r="F269" t="inlineStr">
        <is>
          <t>ÖSTERGÖTLANDS LÄN</t>
        </is>
      </c>
      <c r="G269" t="inlineStr">
        <is>
          <t>YDRE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46318</v>
      </c>
      <c r="F270" t="inlineStr">
        <is>
          <t>ÖSTERGÖTLANDS LÄN</t>
        </is>
      </c>
      <c r="G270" t="inlineStr">
        <is>
          <t>YDRE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46318</v>
      </c>
      <c r="F271" t="inlineStr">
        <is>
          <t>ÖSTERGÖTLANDS LÄN</t>
        </is>
      </c>
      <c r="G271" t="inlineStr">
        <is>
          <t>YDRE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46318</v>
      </c>
      <c r="F272" t="inlineStr">
        <is>
          <t>ÖSTERGÖTLANDS LÄN</t>
        </is>
      </c>
      <c r="G272" t="inlineStr">
        <is>
          <t>YDRE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45105</v>
      </c>
      <c r="E273" s="1" t="n">
        <v>46318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62815-2021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44504</v>
      </c>
      <c r="E274" s="1" t="n">
        <v>46318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46318</v>
      </c>
      <c r="F275" t="inlineStr">
        <is>
          <t>ÖSTERGÖTLANDS LÄN</t>
        </is>
      </c>
      <c r="G275" t="inlineStr">
        <is>
          <t>YDRE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46318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46318</v>
      </c>
      <c r="F277" t="inlineStr">
        <is>
          <t>ÖSTERGÖTLANDS LÄN</t>
        </is>
      </c>
      <c r="G277" t="inlineStr">
        <is>
          <t>YDRE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46318</v>
      </c>
      <c r="F278" t="inlineStr">
        <is>
          <t>ÖSTERGÖTLANDS LÄN</t>
        </is>
      </c>
      <c r="G278" t="inlineStr">
        <is>
          <t>YDRE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29284-2026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46318</v>
      </c>
      <c r="F279" t="inlineStr">
        <is>
          <t>ÖSTERGÖTLANDS LÄN</t>
        </is>
      </c>
      <c r="G279" t="inlineStr">
        <is>
          <t>YDRE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46318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46269</v>
      </c>
      <c r="E281" s="1" t="n">
        <v>46318</v>
      </c>
      <c r="F281" t="inlineStr">
        <is>
          <t>ÖSTERGÖTLANDS LÄN</t>
        </is>
      </c>
      <c r="G281" t="inlineStr">
        <is>
          <t>YDRE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45000</v>
      </c>
      <c r="E282" s="1" t="n">
        <v>46318</v>
      </c>
      <c r="F282" t="inlineStr">
        <is>
          <t>ÖSTERGÖTLANDS LÄN</t>
        </is>
      </c>
      <c r="G282" t="inlineStr">
        <is>
          <t>YDRE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46318</v>
      </c>
      <c r="F283" t="inlineStr">
        <is>
          <t>ÖSTERGÖTLANDS LÄN</t>
        </is>
      </c>
      <c r="G283" t="inlineStr">
        <is>
          <t>YDRE</t>
        </is>
      </c>
      <c r="I283" t="n">
        <v>9.9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46318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46273</v>
      </c>
      <c r="E285" s="1" t="n">
        <v>46318</v>
      </c>
      <c r="F285" t="inlineStr">
        <is>
          <t>ÖSTERGÖTLANDS LÄN</t>
        </is>
      </c>
      <c r="G285" t="inlineStr">
        <is>
          <t>YDRE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46318</v>
      </c>
      <c r="F286" t="inlineStr">
        <is>
          <t>ÖSTERGÖTLANDS LÄN</t>
        </is>
      </c>
      <c r="G286" t="inlineStr">
        <is>
          <t>YDRE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46318</v>
      </c>
      <c r="F287" t="inlineStr">
        <is>
          <t>ÖSTERGÖTLANDS LÄN</t>
        </is>
      </c>
      <c r="G287" t="inlineStr">
        <is>
          <t>YDRE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45355</v>
      </c>
      <c r="E288" s="1" t="n">
        <v>46318</v>
      </c>
      <c r="F288" t="inlineStr">
        <is>
          <t>ÖSTERGÖTLANDS LÄN</t>
        </is>
      </c>
      <c r="G288" t="inlineStr">
        <is>
          <t>YDRE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17309-2024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45414</v>
      </c>
      <c r="E289" s="1" t="n">
        <v>46318</v>
      </c>
      <c r="F289" t="inlineStr">
        <is>
          <t>ÖSTERGÖTLANDS LÄN</t>
        </is>
      </c>
      <c r="G289" t="inlineStr">
        <is>
          <t>YDRE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46273</v>
      </c>
      <c r="E290" s="1" t="n">
        <v>46318</v>
      </c>
      <c r="F290" t="inlineStr">
        <is>
          <t>ÖSTERGÖTLANDS LÄN</t>
        </is>
      </c>
      <c r="G290" t="inlineStr">
        <is>
          <t>YDRE</t>
        </is>
      </c>
      <c r="I290" t="n">
        <v>15.6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46275</v>
      </c>
      <c r="E291" s="1" t="n">
        <v>46318</v>
      </c>
      <c r="F291" t="inlineStr">
        <is>
          <t>ÖSTERGÖTLANDS LÄN</t>
        </is>
      </c>
      <c r="G291" t="inlineStr">
        <is>
          <t>YDRE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46116</v>
      </c>
      <c r="E292" s="1" t="n">
        <v>46318</v>
      </c>
      <c r="F292" t="inlineStr">
        <is>
          <t>ÖSTERGÖTLANDS LÄN</t>
        </is>
      </c>
      <c r="G292" t="inlineStr">
        <is>
          <t>YDRE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46318</v>
      </c>
      <c r="F293" t="inlineStr">
        <is>
          <t>ÖSTERGÖTLANDS LÄN</t>
        </is>
      </c>
      <c r="G293" t="inlineStr">
        <is>
          <t>YDRE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46318</v>
      </c>
      <c r="F294" t="inlineStr">
        <is>
          <t>ÖSTERGÖTLANDS LÄN</t>
        </is>
      </c>
      <c r="G294" t="inlineStr">
        <is>
          <t>YDRE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46318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46318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46273</v>
      </c>
      <c r="E297" s="1" t="n">
        <v>46318</v>
      </c>
      <c r="F297" t="inlineStr">
        <is>
          <t>ÖSTERGÖTLANDS LÄN</t>
        </is>
      </c>
      <c r="G297" t="inlineStr">
        <is>
          <t>YDRE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46318</v>
      </c>
      <c r="F298" t="inlineStr">
        <is>
          <t>ÖSTERGÖTLANDS LÄN</t>
        </is>
      </c>
      <c r="G298" t="inlineStr">
        <is>
          <t>YDRE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46318</v>
      </c>
      <c r="F299" t="inlineStr">
        <is>
          <t>ÖSTERGÖTLANDS LÄN</t>
        </is>
      </c>
      <c r="G299" t="inlineStr">
        <is>
          <t>YDRE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46125</v>
      </c>
      <c r="E300" s="1" t="n">
        <v>46318</v>
      </c>
      <c r="F300" t="inlineStr">
        <is>
          <t>ÖSTERGÖTLANDS LÄN</t>
        </is>
      </c>
      <c r="G300" t="inlineStr">
        <is>
          <t>YDRE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46318</v>
      </c>
      <c r="F301" t="inlineStr">
        <is>
          <t>ÖSTERGÖTLANDS LÄN</t>
        </is>
      </c>
      <c r="G301" t="inlineStr">
        <is>
          <t>YDRE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46317</v>
      </c>
      <c r="E302" s="1" t="n">
        <v>46318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46318</v>
      </c>
      <c r="F303" t="inlineStr">
        <is>
          <t>ÖSTERGÖTLANDS LÄN</t>
        </is>
      </c>
      <c r="G303" t="inlineStr">
        <is>
          <t>YDRE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46318</v>
      </c>
      <c r="F304" t="inlineStr">
        <is>
          <t>ÖSTERGÖTLANDS LÄN</t>
        </is>
      </c>
      <c r="G304" t="inlineStr">
        <is>
          <t>YDRE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62485-2021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46318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46318</v>
      </c>
      <c r="F306" t="inlineStr">
        <is>
          <t>ÖSTERGÖTLANDS LÄN</t>
        </is>
      </c>
      <c r="G306" t="inlineStr">
        <is>
          <t>YDRE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46318</v>
      </c>
      <c r="F307" t="inlineStr">
        <is>
          <t>ÖSTERGÖTLANDS LÄN</t>
        </is>
      </c>
      <c r="G307" t="inlineStr">
        <is>
          <t>YDRE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46318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44749</v>
      </c>
      <c r="E309" s="1" t="n">
        <v>46318</v>
      </c>
      <c r="F309" t="inlineStr">
        <is>
          <t>ÖSTERGÖTLANDS LÄN</t>
        </is>
      </c>
      <c r="G309" t="inlineStr">
        <is>
          <t>YDRE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45434</v>
      </c>
      <c r="E310" s="1" t="n">
        <v>46318</v>
      </c>
      <c r="F310" t="inlineStr">
        <is>
          <t>ÖSTERGÖTLANDS LÄN</t>
        </is>
      </c>
      <c r="G310" t="inlineStr">
        <is>
          <t>YDRE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46318</v>
      </c>
      <c r="F311" t="inlineStr">
        <is>
          <t>ÖSTERGÖTLANDS LÄN</t>
        </is>
      </c>
      <c r="G311" t="inlineStr">
        <is>
          <t>YDRE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46318</v>
      </c>
      <c r="F312" t="inlineStr">
        <is>
          <t>ÖSTERGÖTLANDS LÄN</t>
        </is>
      </c>
      <c r="G312" t="inlineStr">
        <is>
          <t>YDRE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46280</v>
      </c>
      <c r="E313" s="1" t="n">
        <v>46318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45216</v>
      </c>
      <c r="E314" s="1" t="n">
        <v>46318</v>
      </c>
      <c r="F314" t="inlineStr">
        <is>
          <t>ÖSTERGÖTLANDS LÄN</t>
        </is>
      </c>
      <c r="G314" t="inlineStr">
        <is>
          <t>YDRE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46318</v>
      </c>
      <c r="F315" t="inlineStr">
        <is>
          <t>ÖSTERGÖTLANDS LÄN</t>
        </is>
      </c>
      <c r="G315" t="inlineStr">
        <is>
          <t>YDRE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46318</v>
      </c>
      <c r="F316" t="inlineStr">
        <is>
          <t>ÖSTERGÖTLANDS LÄN</t>
        </is>
      </c>
      <c r="G316" t="inlineStr">
        <is>
          <t>YDRE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38605-2026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46283</v>
      </c>
      <c r="E317" s="1" t="n">
        <v>46318</v>
      </c>
      <c r="F317" t="inlineStr">
        <is>
          <t>ÖSTERGÖTLANDS LÄN</t>
        </is>
      </c>
      <c r="G317" t="inlineStr">
        <is>
          <t>YDRE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46318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46318</v>
      </c>
      <c r="F319" t="inlineStr">
        <is>
          <t>ÖSTERGÖTLANDS LÄN</t>
        </is>
      </c>
      <c r="G319" t="inlineStr">
        <is>
          <t>YDRE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46318</v>
      </c>
      <c r="F320" t="inlineStr">
        <is>
          <t>ÖSTERGÖTLANDS LÄN</t>
        </is>
      </c>
      <c r="G320" t="inlineStr">
        <is>
          <t>YDRE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46318</v>
      </c>
      <c r="F321" t="inlineStr">
        <is>
          <t>ÖSTERGÖTLANDS LÄN</t>
        </is>
      </c>
      <c r="G321" t="inlineStr">
        <is>
          <t>YDRE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46240</v>
      </c>
      <c r="E322" s="1" t="n">
        <v>46318</v>
      </c>
      <c r="F322" t="inlineStr">
        <is>
          <t>ÖSTERGÖTLANDS LÄN</t>
        </is>
      </c>
      <c r="G322" t="inlineStr">
        <is>
          <t>YDRE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46283</v>
      </c>
      <c r="E323" s="1" t="n">
        <v>46318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46318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38613-2026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46283</v>
      </c>
      <c r="E325" s="1" t="n">
        <v>46318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46318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46240</v>
      </c>
      <c r="E327" s="1" t="n">
        <v>46318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46318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46318</v>
      </c>
      <c r="F329" t="inlineStr">
        <is>
          <t>ÖSTERGÖTLANDS LÄN</t>
        </is>
      </c>
      <c r="G329" t="inlineStr">
        <is>
          <t>YDRE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46318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46318</v>
      </c>
      <c r="F331" t="inlineStr">
        <is>
          <t>ÖSTERGÖTLANDS LÄN</t>
        </is>
      </c>
      <c r="G331" t="inlineStr">
        <is>
          <t>YDRE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46283</v>
      </c>
      <c r="E332" s="1" t="n">
        <v>46318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46286</v>
      </c>
      <c r="E333" s="1" t="n">
        <v>46318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46286</v>
      </c>
      <c r="E334" s="1" t="n">
        <v>46318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46318</v>
      </c>
      <c r="F335" t="inlineStr">
        <is>
          <t>ÖSTERGÖTLANDS LÄN</t>
        </is>
      </c>
      <c r="G335" t="inlineStr">
        <is>
          <t>YDRE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46318</v>
      </c>
      <c r="F336" t="inlineStr">
        <is>
          <t>ÖSTERGÖTLANDS LÄN</t>
        </is>
      </c>
      <c r="G336" t="inlineStr">
        <is>
          <t>YDRE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44980</v>
      </c>
      <c r="E337" s="1" t="n">
        <v>46318</v>
      </c>
      <c r="F337" t="inlineStr">
        <is>
          <t>ÖSTERGÖTLANDS LÄN</t>
        </is>
      </c>
      <c r="G337" t="inlineStr">
        <is>
          <t>YDRE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46318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46318</v>
      </c>
      <c r="F339" t="inlineStr">
        <is>
          <t>ÖSTERGÖTLANDS LÄN</t>
        </is>
      </c>
      <c r="G339" t="inlineStr">
        <is>
          <t>YDRE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44576</v>
      </c>
      <c r="E340" s="1" t="n">
        <v>46318</v>
      </c>
      <c r="F340" t="inlineStr">
        <is>
          <t>ÖSTERGÖTLANDS LÄN</t>
        </is>
      </c>
      <c r="G340" t="inlineStr">
        <is>
          <t>YDRE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44994</v>
      </c>
      <c r="E341" s="1" t="n">
        <v>46318</v>
      </c>
      <c r="F341" t="inlineStr">
        <is>
          <t>ÖSTERGÖTLANDS LÄN</t>
        </is>
      </c>
      <c r="G341" t="inlineStr">
        <is>
          <t>YDRE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46318</v>
      </c>
      <c r="F342" t="inlineStr">
        <is>
          <t>ÖSTERGÖTLANDS LÄN</t>
        </is>
      </c>
      <c r="G342" t="inlineStr">
        <is>
          <t>YDRE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44635</v>
      </c>
      <c r="E343" s="1" t="n">
        <v>46318</v>
      </c>
      <c r="F343" t="inlineStr">
        <is>
          <t>ÖSTERGÖTLANDS LÄN</t>
        </is>
      </c>
      <c r="G343" t="inlineStr">
        <is>
          <t>YDRE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46318</v>
      </c>
      <c r="F344" t="inlineStr">
        <is>
          <t>ÖSTERGÖTLANDS LÄN</t>
        </is>
      </c>
      <c r="G344" t="inlineStr">
        <is>
          <t>YDRE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45199-2024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45575</v>
      </c>
      <c r="E345" s="1" t="n">
        <v>46318</v>
      </c>
      <c r="F345" t="inlineStr">
        <is>
          <t>ÖSTERGÖTLANDS LÄN</t>
        </is>
      </c>
      <c r="G345" t="inlineStr">
        <is>
          <t>YDRE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33680-2022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44789</v>
      </c>
      <c r="E346" s="1" t="n">
        <v>46318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46318</v>
      </c>
      <c r="F347" t="inlineStr">
        <is>
          <t>ÖSTERGÖTLANDS LÄN</t>
        </is>
      </c>
      <c r="G347" t="inlineStr">
        <is>
          <t>YDRE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46318</v>
      </c>
      <c r="F348" t="inlineStr">
        <is>
          <t>ÖSTERGÖTLANDS LÄN</t>
        </is>
      </c>
      <c r="G348" t="inlineStr">
        <is>
          <t>YDRE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59812-2022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46318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45153</v>
      </c>
      <c r="E350" s="1" t="n">
        <v>46318</v>
      </c>
      <c r="F350" t="inlineStr">
        <is>
          <t>ÖSTERGÖTLANDS LÄN</t>
        </is>
      </c>
      <c r="G350" t="inlineStr">
        <is>
          <t>YDRE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45474</v>
      </c>
      <c r="E351" s="1" t="n">
        <v>46318</v>
      </c>
      <c r="F351" t="inlineStr">
        <is>
          <t>ÖSTERGÖTLANDS LÄN</t>
        </is>
      </c>
      <c r="G351" t="inlineStr">
        <is>
          <t>YDRE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45077</v>
      </c>
      <c r="E352" s="1" t="n">
        <v>46318</v>
      </c>
      <c r="F352" t="inlineStr">
        <is>
          <t>ÖSTERGÖTLANDS LÄN</t>
        </is>
      </c>
      <c r="G352" t="inlineStr">
        <is>
          <t>YDRE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45647</v>
      </c>
      <c r="E353" s="1" t="n">
        <v>46318</v>
      </c>
      <c r="F353" t="inlineStr">
        <is>
          <t>ÖSTERGÖTLANDS LÄN</t>
        </is>
      </c>
      <c r="G353" t="inlineStr">
        <is>
          <t>YDRE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45634</v>
      </c>
      <c r="E354" s="1" t="n">
        <v>46318</v>
      </c>
      <c r="F354" t="inlineStr">
        <is>
          <t>ÖSTERGÖTLANDS LÄN</t>
        </is>
      </c>
      <c r="G354" t="inlineStr">
        <is>
          <t>YDRE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45406</v>
      </c>
      <c r="E355" s="1" t="n">
        <v>46318</v>
      </c>
      <c r="F355" t="inlineStr">
        <is>
          <t>ÖSTERGÖTLANDS LÄN</t>
        </is>
      </c>
      <c r="G355" t="inlineStr">
        <is>
          <t>YDRE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45460</v>
      </c>
      <c r="E356" s="1" t="n">
        <v>46318</v>
      </c>
      <c r="F356" t="inlineStr">
        <is>
          <t>ÖSTERGÖTLANDS LÄN</t>
        </is>
      </c>
      <c r="G356" t="inlineStr">
        <is>
          <t>YDRE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46318</v>
      </c>
      <c r="F357" t="inlineStr">
        <is>
          <t>ÖSTERGÖTLANDS LÄN</t>
        </is>
      </c>
      <c r="G357" t="inlineStr">
        <is>
          <t>YDRE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46318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46318</v>
      </c>
      <c r="F359" t="inlineStr">
        <is>
          <t>ÖSTERGÖTLANDS LÄN</t>
        </is>
      </c>
      <c r="G359" t="inlineStr">
        <is>
          <t>YDRE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46318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44894</v>
      </c>
      <c r="E361" s="1" t="n">
        <v>46318</v>
      </c>
      <c r="F361" t="inlineStr">
        <is>
          <t>ÖSTERGÖTLANDS LÄN</t>
        </is>
      </c>
      <c r="G361" t="inlineStr">
        <is>
          <t>YDRE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46258</v>
      </c>
      <c r="E362" s="1" t="n">
        <v>46318</v>
      </c>
      <c r="F362" t="inlineStr">
        <is>
          <t>ÖSTERGÖTLANDS LÄN</t>
        </is>
      </c>
      <c r="G362" t="inlineStr">
        <is>
          <t>YDRE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46318</v>
      </c>
      <c r="F363" t="inlineStr">
        <is>
          <t>ÖSTERGÖTLANDS LÄN</t>
        </is>
      </c>
      <c r="G363" t="inlineStr">
        <is>
          <t>YDRE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45666</v>
      </c>
      <c r="E364" s="1" t="n">
        <v>46318</v>
      </c>
      <c r="F364" t="inlineStr">
        <is>
          <t>ÖSTERGÖTLANDS LÄN</t>
        </is>
      </c>
      <c r="G364" t="inlineStr">
        <is>
          <t>YDRE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46318</v>
      </c>
      <c r="F365" t="inlineStr">
        <is>
          <t>ÖSTERGÖTLANDS LÄN</t>
        </is>
      </c>
      <c r="G365" t="inlineStr">
        <is>
          <t>YDRE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46318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46318</v>
      </c>
      <c r="F367" t="inlineStr">
        <is>
          <t>ÖSTERGÖTLANDS LÄN</t>
        </is>
      </c>
      <c r="G367" t="inlineStr">
        <is>
          <t>YDRE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41881-2026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46303</v>
      </c>
      <c r="E368" s="1" t="n">
        <v>46318</v>
      </c>
      <c r="F368" t="inlineStr">
        <is>
          <t>ÖSTERGÖTLANDS LÄN</t>
        </is>
      </c>
      <c r="G368" t="inlineStr">
        <is>
          <t>YDRE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46303</v>
      </c>
      <c r="E369" s="1" t="n">
        <v>46318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46318</v>
      </c>
      <c r="F370" t="inlineStr">
        <is>
          <t>ÖSTERGÖTLANDS LÄN</t>
        </is>
      </c>
      <c r="G370" t="inlineStr">
        <is>
          <t>YDRE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46318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61942-2021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44502</v>
      </c>
      <c r="E372" s="1" t="n">
        <v>46318</v>
      </c>
      <c r="F372" t="inlineStr">
        <is>
          <t>ÖSTERGÖTLANDS LÄN</t>
        </is>
      </c>
      <c r="G372" t="inlineStr">
        <is>
          <t>YDRE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44965</v>
      </c>
      <c r="E373" s="1" t="n">
        <v>46318</v>
      </c>
      <c r="F373" t="inlineStr">
        <is>
          <t>ÖSTERGÖTLANDS LÄN</t>
        </is>
      </c>
      <c r="G373" t="inlineStr">
        <is>
          <t>YDRE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46304</v>
      </c>
      <c r="E374" s="1" t="n">
        <v>46318</v>
      </c>
      <c r="F374" t="inlineStr">
        <is>
          <t>ÖSTERGÖTLANDS LÄN</t>
        </is>
      </c>
      <c r="G374" t="inlineStr">
        <is>
          <t>YDRE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46318</v>
      </c>
      <c r="F375" t="inlineStr">
        <is>
          <t>ÖSTERGÖTLANDS LÄN</t>
        </is>
      </c>
      <c r="G375" t="inlineStr">
        <is>
          <t>YDRE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46318</v>
      </c>
      <c r="F376" t="inlineStr">
        <is>
          <t>ÖSTERGÖTLANDS LÄN</t>
        </is>
      </c>
      <c r="G376" t="inlineStr">
        <is>
          <t>YDRE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46318</v>
      </c>
      <c r="F377" t="inlineStr">
        <is>
          <t>ÖSTERGÖTLANDS LÄN</t>
        </is>
      </c>
      <c r="G377" t="inlineStr">
        <is>
          <t>YDRE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46304</v>
      </c>
      <c r="E378" s="1" t="n">
        <v>46318</v>
      </c>
      <c r="F378" t="inlineStr">
        <is>
          <t>ÖSTERGÖTLANDS LÄN</t>
        </is>
      </c>
      <c r="G378" t="inlineStr">
        <is>
          <t>YDRE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46308</v>
      </c>
      <c r="E379" s="1" t="n">
        <v>46318</v>
      </c>
      <c r="F379" t="inlineStr">
        <is>
          <t>ÖSTERGÖTLANDS LÄN</t>
        </is>
      </c>
      <c r="G379" t="inlineStr">
        <is>
          <t>YDRE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45449-2023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45194</v>
      </c>
      <c r="E380" s="1" t="n">
        <v>46318</v>
      </c>
      <c r="F380" t="inlineStr">
        <is>
          <t>ÖSTERGÖTLANDS LÄN</t>
        </is>
      </c>
      <c r="G380" t="inlineStr">
        <is>
          <t>YDRE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46318</v>
      </c>
      <c r="F381" t="inlineStr">
        <is>
          <t>ÖSTERGÖTLANDS LÄN</t>
        </is>
      </c>
      <c r="G381" t="inlineStr">
        <is>
          <t>YDRE</t>
        </is>
      </c>
      <c r="H381" t="inlineStr">
        <is>
          <t>Kyrkan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46318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44916</v>
      </c>
      <c r="E383" s="1" t="n">
        <v>46318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44562</v>
      </c>
      <c r="E384" s="1" t="n">
        <v>46318</v>
      </c>
      <c r="F384" t="inlineStr">
        <is>
          <t>ÖSTERGÖTLANDS LÄN</t>
        </is>
      </c>
      <c r="G384" t="inlineStr">
        <is>
          <t>YDRE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62859-2023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45272</v>
      </c>
      <c r="E385" s="1" t="n">
        <v>46318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46318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46318</v>
      </c>
      <c r="F387" t="inlineStr">
        <is>
          <t>ÖSTERGÖTLANDS LÄN</t>
        </is>
      </c>
      <c r="G387" t="inlineStr">
        <is>
          <t>YDRE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70448-2021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44536</v>
      </c>
      <c r="E388" s="1" t="n">
        <v>46318</v>
      </c>
      <c r="F388" t="inlineStr">
        <is>
          <t>ÖSTERGÖTLANDS LÄN</t>
        </is>
      </c>
      <c r="G388" t="inlineStr">
        <is>
          <t>YDRE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46318</v>
      </c>
      <c r="F389" t="inlineStr">
        <is>
          <t>ÖSTERGÖTLANDS LÄN</t>
        </is>
      </c>
      <c r="G389" t="inlineStr">
        <is>
          <t>YDRE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46318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59811-2022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46318</v>
      </c>
      <c r="F391" t="inlineStr">
        <is>
          <t>ÖSTERGÖTLANDS LÄN</t>
        </is>
      </c>
      <c r="G391" t="inlineStr">
        <is>
          <t>YDRE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59816-2022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44908</v>
      </c>
      <c r="E392" s="1" t="n">
        <v>46318</v>
      </c>
      <c r="F392" t="inlineStr">
        <is>
          <t>ÖSTERGÖTLANDS LÄN</t>
        </is>
      </c>
      <c r="G392" t="inlineStr">
        <is>
          <t>YDRE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44624</v>
      </c>
      <c r="E393" s="1" t="n">
        <v>46318</v>
      </c>
      <c r="F393" t="inlineStr">
        <is>
          <t>ÖSTERGÖTLANDS LÄN</t>
        </is>
      </c>
      <c r="G393" t="inlineStr">
        <is>
          <t>YDRE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45302</v>
      </c>
      <c r="E394" s="1" t="n">
        <v>46318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416-2022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44585</v>
      </c>
      <c r="E395" s="1" t="n">
        <v>46318</v>
      </c>
      <c r="F395" t="inlineStr">
        <is>
          <t>ÖSTERGÖTLANDS LÄN</t>
        </is>
      </c>
      <c r="G395" t="inlineStr">
        <is>
          <t>YDRE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2053-2025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45839</v>
      </c>
      <c r="E396" s="1" t="n">
        <v>46318</v>
      </c>
      <c r="F396" t="inlineStr">
        <is>
          <t>ÖSTERGÖTLANDS LÄN</t>
        </is>
      </c>
      <c r="G396" t="inlineStr">
        <is>
          <t>YDRE</t>
        </is>
      </c>
      <c r="H396" t="inlineStr">
        <is>
          <t>Sveaskog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2604-2025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45916</v>
      </c>
      <c r="E397" s="1" t="n">
        <v>46318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3063-2025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45964</v>
      </c>
      <c r="E398" s="1" t="n">
        <v>46318</v>
      </c>
      <c r="F398" t="inlineStr">
        <is>
          <t>ÖSTERGÖTLANDS LÄN</t>
        </is>
      </c>
      <c r="G398" t="inlineStr">
        <is>
          <t>YDRE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384-2026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46066</v>
      </c>
      <c r="E399" s="1" t="n">
        <v>46318</v>
      </c>
      <c r="F399" t="inlineStr">
        <is>
          <t>ÖSTERGÖTLANDS LÄN</t>
        </is>
      </c>
      <c r="G399" t="inlineStr">
        <is>
          <t>YDRE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2485-2026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46287</v>
      </c>
      <c r="E400" s="1" t="n">
        <v>46318</v>
      </c>
      <c r="F400" t="inlineStr">
        <is>
          <t>ÖSTERGÖTLANDS LÄN</t>
        </is>
      </c>
      <c r="G400" t="inlineStr">
        <is>
          <t>YDRE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2026-10-23T01:57:17Z</dcterms:created>
  <dcterms:modified xmlns:dcterms="http://purl.org/dc/terms/" xmlns:xsi="http://www.w3.org/2001/XMLSchema-instance" xsi:type="dcterms:W3CDTF">2026-10-23T01:57:18Z</dcterms:modified>
</cp:coreProperties>
</file>