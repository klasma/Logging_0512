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46295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46295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46295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46295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46295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46295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46295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46295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46295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46295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46295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46295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46295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Västlig njurlav
Grynig filtlav</t>
        </is>
      </c>
      <c r="W18">
        <f>HYPERLINK("https://klasma.github.io/Logging_0512/artfynd/A 55870-2025 artfynd.xlsx", "A 55870-2025")</f>
        <v/>
      </c>
      <c r="X18">
        <f>HYPERLINK("https://klasma.github.io/Logging_0512/kartor/A 55870-2025 karta.png", "A 55870-2025")</f>
        <v/>
      </c>
      <c r="Y18">
        <f>HYPERLINK("https://klasma.github.io/Logging_0512/kartor_geotiff/A 55870-2025 georefererad karta.tif", "A 55870-2025")</f>
        <v/>
      </c>
      <c r="AA18">
        <f>HYPERLINK("https://klasma.github.io/Logging_0512/klagomål/A 55870-2025 FSC-klagomål.docx", "A 55870-2025")</f>
        <v/>
      </c>
      <c r="AB18">
        <f>HYPERLINK("https://klasma.github.io/Logging_0512/klagomålsmail/A 55870-2025 FSC-klagomål mail.docx", "A 55870-2025")</f>
        <v/>
      </c>
      <c r="AC18">
        <f>HYPERLINK("https://klasma.github.io/Logging_0512/tillsyn/A 55870-2025 tillsynsbegäran.docx", "A 55870-2025")</f>
        <v/>
      </c>
      <c r="AD18">
        <f>HYPERLINK("https://klasma.github.io/Logging_0512/tillsynsmail/A 55870-2025 tillsynsbegäran mail.docx", "A 55870-2025")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46295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46295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46295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46295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46295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46295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46295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46295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46295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46295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46295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54520-2025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45965</v>
      </c>
      <c r="E31" s="1" t="n">
        <v>46295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HYPERLINK("https://klasma.github.io/Logging_0512/artfynd/A 54520-2025 artfynd.xlsx", "A 54520-2025")</f>
        <v/>
      </c>
      <c r="X31">
        <f>HYPERLINK("https://klasma.github.io/Logging_0512/kartor/A 54520-2025 karta.png", "A 54520-2025")</f>
        <v/>
      </c>
      <c r="Y31">
        <f>HYPERLINK("https://klasma.github.io/Logging_0512/kartor_geotiff/A 54520-2025 georefererad karta.tif", "A 54520-2025")</f>
        <v/>
      </c>
      <c r="AA31">
        <f>HYPERLINK("https://klasma.github.io/Logging_0512/klagomål/A 54520-2025 FSC-klagomål.docx", "A 54520-2025")</f>
        <v/>
      </c>
      <c r="AB31">
        <f>HYPERLINK("https://klasma.github.io/Logging_0512/klagomålsmail/A 54520-2025 FSC-klagomål mail.docx", "A 54520-2025")</f>
        <v/>
      </c>
      <c r="AC31">
        <f>HYPERLINK("https://klasma.github.io/Logging_0512/tillsyn/A 54520-2025 tillsynsbegäran.docx", "A 54520-2025")</f>
        <v/>
      </c>
      <c r="AD31">
        <f>HYPERLINK("https://klasma.github.io/Logging_0512/tillsynsmail/A 54520-2025 tillsynsbegäran mail.docx", "A 54520-2025")</f>
        <v/>
      </c>
      <c r="AE31">
        <f>HYPERLINK("https://klasma.github.io/Logging_0512/fåglar/A 54520-2025 prioriterade fågelarter.docx", "A 54520-2025")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46295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46295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46295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46295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46295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46295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46295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46295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46295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46295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46295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46295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46295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46295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46295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46295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46295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46295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46295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46295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46295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46295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46295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46295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46295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46295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46295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46295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46295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46295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46295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46295</v>
      </c>
      <c r="F63" t="inlineStr">
        <is>
          <t>ÖSTERGÖTLANDS LÄN</t>
        </is>
      </c>
      <c r="G63" t="inlineStr">
        <is>
          <t>YDRE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46295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46295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46295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57282-2021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46295</v>
      </c>
      <c r="F67" t="inlineStr">
        <is>
          <t>ÖSTERGÖTLANDS LÄN</t>
        </is>
      </c>
      <c r="G67" t="inlineStr">
        <is>
          <t>YDRE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71035-2021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46295</v>
      </c>
      <c r="F68" t="inlineStr">
        <is>
          <t>ÖSTERGÖTLANDS LÄN</t>
        </is>
      </c>
      <c r="G68" t="inlineStr">
        <is>
          <t>YDRE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46295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46295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46295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46295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46295</v>
      </c>
      <c r="F73" t="inlineStr">
        <is>
          <t>ÖSTERGÖTLANDS LÄN</t>
        </is>
      </c>
      <c r="G73" t="inlineStr">
        <is>
          <t>YDRE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46295</v>
      </c>
      <c r="F74" t="inlineStr">
        <is>
          <t>ÖSTERGÖTLANDS LÄN</t>
        </is>
      </c>
      <c r="G74" t="inlineStr">
        <is>
          <t>YDRE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46295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53909-2021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44469</v>
      </c>
      <c r="E76" s="1" t="n">
        <v>46295</v>
      </c>
      <c r="F76" t="inlineStr">
        <is>
          <t>ÖSTERGÖTLANDS LÄN</t>
        </is>
      </c>
      <c r="G76" t="inlineStr">
        <is>
          <t>YDRE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69307-2021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44531</v>
      </c>
      <c r="E77" s="1" t="n">
        <v>46295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45748</v>
      </c>
      <c r="E78" s="1" t="n">
        <v>46295</v>
      </c>
      <c r="F78" t="inlineStr">
        <is>
          <t>ÖSTERGÖTLANDS LÄN</t>
        </is>
      </c>
      <c r="G78" t="inlineStr">
        <is>
          <t>YDRE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17291-2024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45414</v>
      </c>
      <c r="E79" s="1" t="n">
        <v>46295</v>
      </c>
      <c r="F79" t="inlineStr">
        <is>
          <t>ÖSTERGÖTLANDS LÄN</t>
        </is>
      </c>
      <c r="G79" t="inlineStr">
        <is>
          <t>YDRE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46295</v>
      </c>
      <c r="F80" t="inlineStr">
        <is>
          <t>ÖSTERGÖTLANDS LÄN</t>
        </is>
      </c>
      <c r="G80" t="inlineStr">
        <is>
          <t>YDRE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45371</v>
      </c>
      <c r="E81" s="1" t="n">
        <v>46295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46295</v>
      </c>
      <c r="F82" t="inlineStr">
        <is>
          <t>ÖSTERGÖTLANDS LÄN</t>
        </is>
      </c>
      <c r="G82" t="inlineStr">
        <is>
          <t>YDRE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44796</v>
      </c>
      <c r="E83" s="1" t="n">
        <v>46295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52074-2023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46295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46295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44916</v>
      </c>
      <c r="E86" s="1" t="n">
        <v>46295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46295</v>
      </c>
      <c r="F87" t="inlineStr">
        <is>
          <t>ÖSTERGÖTLANDS LÄN</t>
        </is>
      </c>
      <c r="G87" t="inlineStr">
        <is>
          <t>YDRE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46295</v>
      </c>
      <c r="F88" t="inlineStr">
        <is>
          <t>ÖSTERGÖTLANDS LÄN</t>
        </is>
      </c>
      <c r="G88" t="inlineStr">
        <is>
          <t>YDRE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46295</v>
      </c>
      <c r="F89" t="inlineStr">
        <is>
          <t>ÖSTERGÖTLANDS LÄN</t>
        </is>
      </c>
      <c r="G89" t="inlineStr">
        <is>
          <t>YDRE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46295</v>
      </c>
      <c r="F90" t="inlineStr">
        <is>
          <t>ÖSTERGÖTLANDS LÄN</t>
        </is>
      </c>
      <c r="G90" t="inlineStr">
        <is>
          <t>YDRE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46295</v>
      </c>
      <c r="F91" t="inlineStr">
        <is>
          <t>ÖSTERGÖTLANDS LÄN</t>
        </is>
      </c>
      <c r="G91" t="inlineStr">
        <is>
          <t>YDRE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46295</v>
      </c>
      <c r="F92" t="inlineStr">
        <is>
          <t>ÖSTERGÖTLANDS LÄN</t>
        </is>
      </c>
      <c r="G92" t="inlineStr">
        <is>
          <t>YDRE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46021</v>
      </c>
      <c r="E93" s="1" t="n">
        <v>46295</v>
      </c>
      <c r="F93" t="inlineStr">
        <is>
          <t>ÖSTERGÖTLANDS LÄN</t>
        </is>
      </c>
      <c r="G93" t="inlineStr">
        <is>
          <t>YDRE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45796</v>
      </c>
      <c r="E94" s="1" t="n">
        <v>46295</v>
      </c>
      <c r="F94" t="inlineStr">
        <is>
          <t>ÖSTERGÖTLANDS LÄN</t>
        </is>
      </c>
      <c r="G94" t="inlineStr">
        <is>
          <t>YDRE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46295</v>
      </c>
      <c r="F95" t="inlineStr">
        <is>
          <t>ÖSTERGÖTLANDS LÄN</t>
        </is>
      </c>
      <c r="G95" t="inlineStr">
        <is>
          <t>YDRE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46295</v>
      </c>
      <c r="F96" t="inlineStr">
        <is>
          <t>ÖSTERGÖTLANDS LÄN</t>
        </is>
      </c>
      <c r="G96" t="inlineStr">
        <is>
          <t>YDRE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55844-2021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44476</v>
      </c>
      <c r="E97" s="1" t="n">
        <v>46295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45889</v>
      </c>
      <c r="E98" s="1" t="n">
        <v>46295</v>
      </c>
      <c r="F98" t="inlineStr">
        <is>
          <t>ÖSTERGÖTLANDS LÄN</t>
        </is>
      </c>
      <c r="G98" t="inlineStr">
        <is>
          <t>YDRE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46295</v>
      </c>
      <c r="F99" t="inlineStr">
        <is>
          <t>ÖSTERGÖTLANDS LÄN</t>
        </is>
      </c>
      <c r="G99" t="inlineStr">
        <is>
          <t>YDRE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46295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46295</v>
      </c>
      <c r="F101" t="inlineStr">
        <is>
          <t>ÖSTERGÖTLANDS LÄN</t>
        </is>
      </c>
      <c r="G101" t="inlineStr">
        <is>
          <t>YDRE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46295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45647</v>
      </c>
      <c r="E103" s="1" t="n">
        <v>46295</v>
      </c>
      <c r="F103" t="inlineStr">
        <is>
          <t>ÖSTERGÖTLANDS LÄN</t>
        </is>
      </c>
      <c r="G103" t="inlineStr">
        <is>
          <t>YDRE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45649</v>
      </c>
      <c r="E104" s="1" t="n">
        <v>46295</v>
      </c>
      <c r="F104" t="inlineStr">
        <is>
          <t>ÖSTERGÖTLANDS LÄN</t>
        </is>
      </c>
      <c r="G104" t="inlineStr">
        <is>
          <t>YDRE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45475</v>
      </c>
      <c r="E105" s="1" t="n">
        <v>46295</v>
      </c>
      <c r="F105" t="inlineStr">
        <is>
          <t>ÖSTERGÖTLANDS LÄN</t>
        </is>
      </c>
      <c r="G105" t="inlineStr">
        <is>
          <t>YDRE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46295</v>
      </c>
      <c r="F106" t="inlineStr">
        <is>
          <t>ÖSTERGÖTLANDS LÄN</t>
        </is>
      </c>
      <c r="G106" t="inlineStr">
        <is>
          <t>YDRE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45909</v>
      </c>
      <c r="E107" s="1" t="n">
        <v>46295</v>
      </c>
      <c r="F107" t="inlineStr">
        <is>
          <t>ÖSTERGÖTLANDS LÄN</t>
        </is>
      </c>
      <c r="G107" t="inlineStr">
        <is>
          <t>YDRE</t>
        </is>
      </c>
      <c r="H107" t="inlineStr">
        <is>
          <t>Övriga Aktiebolag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45909</v>
      </c>
      <c r="E108" s="1" t="n">
        <v>46295</v>
      </c>
      <c r="F108" t="inlineStr">
        <is>
          <t>ÖSTERGÖTLANDS LÄN</t>
        </is>
      </c>
      <c r="G108" t="inlineStr">
        <is>
          <t>YDRE</t>
        </is>
      </c>
      <c r="H108" t="inlineStr">
        <is>
          <t>Övriga Aktiebolag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46295</v>
      </c>
      <c r="F109" t="inlineStr">
        <is>
          <t>ÖSTERGÖTLANDS LÄN</t>
        </is>
      </c>
      <c r="G109" t="inlineStr">
        <is>
          <t>YDRE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46295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45355</v>
      </c>
      <c r="E111" s="1" t="n">
        <v>46295</v>
      </c>
      <c r="F111" t="inlineStr">
        <is>
          <t>ÖSTERGÖTLANDS LÄN</t>
        </is>
      </c>
      <c r="G111" t="inlineStr">
        <is>
          <t>YDRE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46295</v>
      </c>
      <c r="F112" t="inlineStr">
        <is>
          <t>ÖSTERGÖTLANDS LÄN</t>
        </is>
      </c>
      <c r="G112" t="inlineStr">
        <is>
          <t>YDRE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46295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46295</v>
      </c>
      <c r="F114" t="inlineStr">
        <is>
          <t>ÖSTERGÖTLANDS LÄN</t>
        </is>
      </c>
      <c r="G114" t="inlineStr">
        <is>
          <t>YDRE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46295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46295</v>
      </c>
      <c r="F116" t="inlineStr">
        <is>
          <t>ÖSTERGÖTLANDS LÄN</t>
        </is>
      </c>
      <c r="G116" t="inlineStr">
        <is>
          <t>YDRE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46295</v>
      </c>
      <c r="F117" t="inlineStr">
        <is>
          <t>ÖSTERGÖTLANDS LÄN</t>
        </is>
      </c>
      <c r="G117" t="inlineStr">
        <is>
          <t>YDRE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46295</v>
      </c>
      <c r="F118" t="inlineStr">
        <is>
          <t>ÖSTERGÖTLANDS LÄN</t>
        </is>
      </c>
      <c r="G118" t="inlineStr">
        <is>
          <t>YDRE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44966</v>
      </c>
      <c r="E119" s="1" t="n">
        <v>46295</v>
      </c>
      <c r="F119" t="inlineStr">
        <is>
          <t>ÖSTERGÖTLANDS LÄN</t>
        </is>
      </c>
      <c r="G119" t="inlineStr">
        <is>
          <t>YDRE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44498-2025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46295</v>
      </c>
      <c r="F120" t="inlineStr">
        <is>
          <t>ÖSTERGÖTLANDS LÄN</t>
        </is>
      </c>
      <c r="G120" t="inlineStr">
        <is>
          <t>YDRE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45916</v>
      </c>
      <c r="E121" s="1" t="n">
        <v>46295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46295</v>
      </c>
      <c r="F122" t="inlineStr">
        <is>
          <t>ÖSTERGÖTLANDS LÄN</t>
        </is>
      </c>
      <c r="G122" t="inlineStr">
        <is>
          <t>YDRE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46295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46295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46295</v>
      </c>
      <c r="F125" t="inlineStr">
        <is>
          <t>ÖSTERGÖTLANDS LÄN</t>
        </is>
      </c>
      <c r="G125" t="inlineStr">
        <is>
          <t>YDRE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46295</v>
      </c>
      <c r="F126" t="inlineStr">
        <is>
          <t>ÖSTERGÖTLANDS LÄN</t>
        </is>
      </c>
      <c r="G126" t="inlineStr">
        <is>
          <t>YDRE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45752-2025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46295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46295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46295</v>
      </c>
      <c r="F129" t="inlineStr">
        <is>
          <t>ÖSTERGÖTLANDS LÄN</t>
        </is>
      </c>
      <c r="G129" t="inlineStr">
        <is>
          <t>YDRE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30548-2025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46295</v>
      </c>
      <c r="F130" t="inlineStr">
        <is>
          <t>ÖSTERGÖTLANDS LÄN</t>
        </is>
      </c>
      <c r="G130" t="inlineStr">
        <is>
          <t>YDRE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46086-2025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45924</v>
      </c>
      <c r="E131" s="1" t="n">
        <v>46295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46295</v>
      </c>
      <c r="F132" t="inlineStr">
        <is>
          <t>ÖSTERGÖTLANDS LÄN</t>
        </is>
      </c>
      <c r="G132" t="inlineStr">
        <is>
          <t>YDRE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46295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46295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46295</v>
      </c>
      <c r="F135" t="inlineStr">
        <is>
          <t>ÖSTERGÖTLANDS LÄN</t>
        </is>
      </c>
      <c r="G135" t="inlineStr">
        <is>
          <t>YDRE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32635-2025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45838</v>
      </c>
      <c r="E136" s="1" t="n">
        <v>46295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46295</v>
      </c>
      <c r="F137" t="inlineStr">
        <is>
          <t>ÖSTERGÖTLANDS LÄN</t>
        </is>
      </c>
      <c r="G137" t="inlineStr">
        <is>
          <t>YDRE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46295</v>
      </c>
      <c r="F138" t="inlineStr">
        <is>
          <t>ÖSTERGÖTLANDS LÄN</t>
        </is>
      </c>
      <c r="G138" t="inlineStr">
        <is>
          <t>YDRE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22961-2025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46295</v>
      </c>
      <c r="F139" t="inlineStr">
        <is>
          <t>ÖSTERGÖTLANDS LÄN</t>
        </is>
      </c>
      <c r="G139" t="inlineStr">
        <is>
          <t>YDRE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46295</v>
      </c>
      <c r="F140" t="inlineStr">
        <is>
          <t>ÖSTERGÖTLANDS LÄN</t>
        </is>
      </c>
      <c r="G140" t="inlineStr">
        <is>
          <t>YDRE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46295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46295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46295</v>
      </c>
      <c r="F143" t="inlineStr">
        <is>
          <t>ÖSTERGÖTLANDS LÄN</t>
        </is>
      </c>
      <c r="G143" t="inlineStr">
        <is>
          <t>YDRE</t>
        </is>
      </c>
      <c r="H143" t="inlineStr">
        <is>
          <t>Kyrkan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46295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49890-2025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45940</v>
      </c>
      <c r="E145" s="1" t="n">
        <v>46295</v>
      </c>
      <c r="F145" t="inlineStr">
        <is>
          <t>ÖSTERGÖTLANDS LÄN</t>
        </is>
      </c>
      <c r="G145" t="inlineStr">
        <is>
          <t>YDRE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59296-2021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44490</v>
      </c>
      <c r="E146" s="1" t="n">
        <v>46295</v>
      </c>
      <c r="F146" t="inlineStr">
        <is>
          <t>ÖSTERGÖTLANDS LÄN</t>
        </is>
      </c>
      <c r="G146" t="inlineStr">
        <is>
          <t>YDRE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45000</v>
      </c>
      <c r="E147" s="1" t="n">
        <v>46295</v>
      </c>
      <c r="F147" t="inlineStr">
        <is>
          <t>ÖSTERGÖTLANDS LÄN</t>
        </is>
      </c>
      <c r="G147" t="inlineStr">
        <is>
          <t>YDRE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19397-2025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46295</v>
      </c>
      <c r="F148" t="inlineStr">
        <is>
          <t>ÖSTERGÖTLANDS LÄN</t>
        </is>
      </c>
      <c r="G148" t="inlineStr">
        <is>
          <t>YDRE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14101-2022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44651</v>
      </c>
      <c r="E149" s="1" t="n">
        <v>46295</v>
      </c>
      <c r="F149" t="inlineStr">
        <is>
          <t>ÖSTERGÖTLANDS LÄN</t>
        </is>
      </c>
      <c r="G149" t="inlineStr">
        <is>
          <t>YDRE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46295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46295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46295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45575</v>
      </c>
      <c r="E153" s="1" t="n">
        <v>46295</v>
      </c>
      <c r="F153" t="inlineStr">
        <is>
          <t>ÖSTERGÖTLANDS LÄN</t>
        </is>
      </c>
      <c r="G153" t="inlineStr">
        <is>
          <t>YDRE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45600</v>
      </c>
      <c r="E154" s="1" t="n">
        <v>46295</v>
      </c>
      <c r="F154" t="inlineStr">
        <is>
          <t>ÖSTERGÖTLANDS LÄN</t>
        </is>
      </c>
      <c r="G154" t="inlineStr">
        <is>
          <t>YDRE</t>
        </is>
      </c>
      <c r="H154" t="inlineStr">
        <is>
          <t>Kyrkan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6293-2026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46055</v>
      </c>
      <c r="E155" s="1" t="n">
        <v>46295</v>
      </c>
      <c r="F155" t="inlineStr">
        <is>
          <t>ÖSTERGÖTLANDS LÄN</t>
        </is>
      </c>
      <c r="G155" t="inlineStr">
        <is>
          <t>YDRE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52389-2025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46295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46295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46295</v>
      </c>
      <c r="F158" t="inlineStr">
        <is>
          <t>ÖSTERGÖTLANDS LÄN</t>
        </is>
      </c>
      <c r="G158" t="inlineStr">
        <is>
          <t>YDRE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46295</v>
      </c>
      <c r="F159" t="inlineStr">
        <is>
          <t>ÖSTERGÖTLANDS LÄN</t>
        </is>
      </c>
      <c r="G159" t="inlineStr">
        <is>
          <t>YDRE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45964</v>
      </c>
      <c r="E160" s="1" t="n">
        <v>46295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54059-2025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46295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54063-2025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46295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46295</v>
      </c>
      <c r="F163" t="inlineStr">
        <is>
          <t>ÖSTERGÖTLANDS LÄN</t>
        </is>
      </c>
      <c r="G163" t="inlineStr">
        <is>
          <t>YDRE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46295</v>
      </c>
      <c r="F164" t="inlineStr">
        <is>
          <t>ÖSTERGÖTLANDS LÄN</t>
        </is>
      </c>
      <c r="G164" t="inlineStr">
        <is>
          <t>YDRE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46295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46295</v>
      </c>
      <c r="F166" t="inlineStr">
        <is>
          <t>ÖSTERGÖTLANDS LÄN</t>
        </is>
      </c>
      <c r="G166" t="inlineStr">
        <is>
          <t>YDRE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7619-2026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46295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46295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46295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46295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46295</v>
      </c>
      <c r="F171" t="inlineStr">
        <is>
          <t>ÖSTERGÖTLANDS LÄN</t>
        </is>
      </c>
      <c r="G171" t="inlineStr">
        <is>
          <t>YDRE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46295</v>
      </c>
      <c r="F172" t="inlineStr">
        <is>
          <t>ÖSTERGÖTLANDS LÄN</t>
        </is>
      </c>
      <c r="G172" t="inlineStr">
        <is>
          <t>YDRE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46295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46295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46295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45664</v>
      </c>
      <c r="E176" s="1" t="n">
        <v>46295</v>
      </c>
      <c r="F176" t="inlineStr">
        <is>
          <t>ÖSTERGÖTLANDS LÄN</t>
        </is>
      </c>
      <c r="G176" t="inlineStr">
        <is>
          <t>YDRE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46295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9409-2026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46295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46295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46295</v>
      </c>
      <c r="F180" t="inlineStr">
        <is>
          <t>ÖSTERGÖTLANDS LÄN</t>
        </is>
      </c>
      <c r="G180" t="inlineStr">
        <is>
          <t>YDRE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46295</v>
      </c>
      <c r="F181" t="inlineStr">
        <is>
          <t>ÖSTERGÖTLANDS LÄN</t>
        </is>
      </c>
      <c r="G181" t="inlineStr">
        <is>
          <t>YDRE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45596</v>
      </c>
      <c r="E182" s="1" t="n">
        <v>46295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45016</v>
      </c>
      <c r="E183" s="1" t="n">
        <v>46295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46295</v>
      </c>
      <c r="F184" t="inlineStr">
        <is>
          <t>ÖSTERGÖTLANDS LÄN</t>
        </is>
      </c>
      <c r="G184" t="inlineStr">
        <is>
          <t>YDRE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46295</v>
      </c>
      <c r="F185" t="inlineStr">
        <is>
          <t>ÖSTERGÖTLANDS LÄN</t>
        </is>
      </c>
      <c r="G185" t="inlineStr">
        <is>
          <t>YDRE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45736</v>
      </c>
      <c r="E186" s="1" t="n">
        <v>46295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46295</v>
      </c>
      <c r="F187" t="inlineStr">
        <is>
          <t>ÖSTERGÖTLANDS LÄN</t>
        </is>
      </c>
      <c r="G187" t="inlineStr">
        <is>
          <t>YDRE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46295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46295</v>
      </c>
      <c r="F189" t="inlineStr">
        <is>
          <t>ÖSTERGÖTLANDS LÄN</t>
        </is>
      </c>
      <c r="G189" t="inlineStr">
        <is>
          <t>YDRE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46295</v>
      </c>
      <c r="F190" t="inlineStr">
        <is>
          <t>ÖSTERGÖTLANDS LÄN</t>
        </is>
      </c>
      <c r="G190" t="inlineStr">
        <is>
          <t>YDRE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44816</v>
      </c>
      <c r="E191" s="1" t="n">
        <v>46295</v>
      </c>
      <c r="F191" t="inlineStr">
        <is>
          <t>ÖSTERGÖTLANDS LÄN</t>
        </is>
      </c>
      <c r="G191" t="inlineStr">
        <is>
          <t>YDRE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46295</v>
      </c>
      <c r="F192" t="inlineStr">
        <is>
          <t>ÖSTERGÖTLANDS LÄN</t>
        </is>
      </c>
      <c r="G192" t="inlineStr">
        <is>
          <t>YDRE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45692</v>
      </c>
      <c r="E193" s="1" t="n">
        <v>46295</v>
      </c>
      <c r="F193" t="inlineStr">
        <is>
          <t>ÖSTERGÖTLANDS LÄN</t>
        </is>
      </c>
      <c r="G193" t="inlineStr">
        <is>
          <t>YDRE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44562</v>
      </c>
      <c r="E194" s="1" t="n">
        <v>46295</v>
      </c>
      <c r="F194" t="inlineStr">
        <is>
          <t>ÖSTERGÖTLANDS LÄN</t>
        </is>
      </c>
      <c r="G194" t="inlineStr">
        <is>
          <t>YDRE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46295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46295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46295</v>
      </c>
      <c r="F197" t="inlineStr">
        <is>
          <t>ÖSTERGÖTLANDS LÄN</t>
        </is>
      </c>
      <c r="G197" t="inlineStr">
        <is>
          <t>YDRE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46295</v>
      </c>
      <c r="F198" t="inlineStr">
        <is>
          <t>ÖSTERGÖTLANDS LÄN</t>
        </is>
      </c>
      <c r="G198" t="inlineStr">
        <is>
          <t>YDRE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46295</v>
      </c>
      <c r="F199" t="inlineStr">
        <is>
          <t>ÖSTERGÖTLANDS LÄN</t>
        </is>
      </c>
      <c r="G199" t="inlineStr">
        <is>
          <t>YDRE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62453-2025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46295</v>
      </c>
      <c r="F200" t="inlineStr">
        <is>
          <t>ÖSTERGÖTLANDS LÄN</t>
        </is>
      </c>
      <c r="G200" t="inlineStr">
        <is>
          <t>YDRE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46295</v>
      </c>
      <c r="F201" t="inlineStr">
        <is>
          <t>ÖSTERGÖTLANDS LÄN</t>
        </is>
      </c>
      <c r="G201" t="inlineStr">
        <is>
          <t>YDRE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62446-2025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46295</v>
      </c>
      <c r="F202" t="inlineStr">
        <is>
          <t>ÖSTERGÖTLANDS LÄN</t>
        </is>
      </c>
      <c r="G202" t="inlineStr">
        <is>
          <t>YDRE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46295</v>
      </c>
      <c r="F203" t="inlineStr">
        <is>
          <t>ÖSTERGÖTLANDS LÄN</t>
        </is>
      </c>
      <c r="G203" t="inlineStr">
        <is>
          <t>YDRE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46295</v>
      </c>
      <c r="F204" t="inlineStr">
        <is>
          <t>ÖSTERGÖTLANDS LÄN</t>
        </is>
      </c>
      <c r="G204" t="inlineStr">
        <is>
          <t>YDRE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46295</v>
      </c>
      <c r="F205" t="inlineStr">
        <is>
          <t>ÖSTERGÖTLANDS LÄN</t>
        </is>
      </c>
      <c r="G205" t="inlineStr">
        <is>
          <t>YDRE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46295</v>
      </c>
      <c r="F206" t="inlineStr">
        <is>
          <t>ÖSTERGÖTLANDS LÄN</t>
        </is>
      </c>
      <c r="G206" t="inlineStr">
        <is>
          <t>YDRE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46097</v>
      </c>
      <c r="E207" s="1" t="n">
        <v>46295</v>
      </c>
      <c r="F207" t="inlineStr">
        <is>
          <t>ÖSTERGÖTLANDS LÄN</t>
        </is>
      </c>
      <c r="G207" t="inlineStr">
        <is>
          <t>YDRE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14143-2026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46295</v>
      </c>
      <c r="F208" t="inlineStr">
        <is>
          <t>ÖSTERGÖTLANDS LÄN</t>
        </is>
      </c>
      <c r="G208" t="inlineStr">
        <is>
          <t>YDRE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14600-2026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46101</v>
      </c>
      <c r="E209" s="1" t="n">
        <v>46295</v>
      </c>
      <c r="F209" t="inlineStr">
        <is>
          <t>ÖSTERGÖTLANDS LÄN</t>
        </is>
      </c>
      <c r="G209" t="inlineStr">
        <is>
          <t>YDRE</t>
        </is>
      </c>
      <c r="I209" t="n">
        <v>9.9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46295</v>
      </c>
      <c r="F210" t="inlineStr">
        <is>
          <t>ÖSTERGÖTLANDS LÄN</t>
        </is>
      </c>
      <c r="G210" t="inlineStr">
        <is>
          <t>YDRE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44894</v>
      </c>
      <c r="E211" s="1" t="n">
        <v>46295</v>
      </c>
      <c r="F211" t="inlineStr">
        <is>
          <t>ÖSTERGÖTLANDS LÄN</t>
        </is>
      </c>
      <c r="G211" t="inlineStr">
        <is>
          <t>YDRE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46295</v>
      </c>
      <c r="F212" t="inlineStr">
        <is>
          <t>ÖSTERGÖTLANDS LÄN</t>
        </is>
      </c>
      <c r="G212" t="inlineStr">
        <is>
          <t>YDRE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45334</v>
      </c>
      <c r="E213" s="1" t="n">
        <v>46295</v>
      </c>
      <c r="F213" t="inlineStr">
        <is>
          <t>ÖSTERGÖTLANDS LÄN</t>
        </is>
      </c>
      <c r="G213" t="inlineStr">
        <is>
          <t>YDRE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46295</v>
      </c>
      <c r="F214" t="inlineStr">
        <is>
          <t>ÖSTERGÖTLANDS LÄN</t>
        </is>
      </c>
      <c r="G214" t="inlineStr">
        <is>
          <t>YDRE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46116</v>
      </c>
      <c r="E215" s="1" t="n">
        <v>46295</v>
      </c>
      <c r="F215" t="inlineStr">
        <is>
          <t>ÖSTERGÖTLANDS LÄN</t>
        </is>
      </c>
      <c r="G215" t="inlineStr">
        <is>
          <t>YDRE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59812-2022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44908</v>
      </c>
      <c r="E216" s="1" t="n">
        <v>46295</v>
      </c>
      <c r="F216" t="inlineStr">
        <is>
          <t>ÖSTERGÖTLANDS LÄN</t>
        </is>
      </c>
      <c r="G216" t="inlineStr">
        <is>
          <t>YDRE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46295</v>
      </c>
      <c r="F217" t="inlineStr">
        <is>
          <t>ÖSTERGÖTLANDS LÄN</t>
        </is>
      </c>
      <c r="G217" t="inlineStr">
        <is>
          <t>YDRE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46119</v>
      </c>
      <c r="E218" s="1" t="n">
        <v>46295</v>
      </c>
      <c r="F218" t="inlineStr">
        <is>
          <t>ÖSTERGÖTLANDS LÄN</t>
        </is>
      </c>
      <c r="G218" t="inlineStr">
        <is>
          <t>YDRE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46295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46295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46295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61205-2023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45264</v>
      </c>
      <c r="E222" s="1" t="n">
        <v>46295</v>
      </c>
      <c r="F222" t="inlineStr">
        <is>
          <t>ÖSTERGÖTLANDS LÄN</t>
        </is>
      </c>
      <c r="G222" t="inlineStr">
        <is>
          <t>YDRE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46295</v>
      </c>
      <c r="F223" t="inlineStr">
        <is>
          <t>ÖSTERGÖTLANDS LÄN</t>
        </is>
      </c>
      <c r="G223" t="inlineStr">
        <is>
          <t>YDRE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46295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45153</v>
      </c>
      <c r="E225" s="1" t="n">
        <v>46295</v>
      </c>
      <c r="F225" t="inlineStr">
        <is>
          <t>ÖSTERGÖTLANDS LÄN</t>
        </is>
      </c>
      <c r="G225" t="inlineStr">
        <is>
          <t>YDRE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46295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46295</v>
      </c>
      <c r="F227" t="inlineStr">
        <is>
          <t>ÖSTERGÖTLANDS LÄN</t>
        </is>
      </c>
      <c r="G227" t="inlineStr">
        <is>
          <t>YDRE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46295</v>
      </c>
      <c r="F228" t="inlineStr">
        <is>
          <t>ÖSTERGÖTLANDS LÄN</t>
        </is>
      </c>
      <c r="G228" t="inlineStr">
        <is>
          <t>YDRE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46126</v>
      </c>
      <c r="E229" s="1" t="n">
        <v>46295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46295</v>
      </c>
      <c r="F230" t="inlineStr">
        <is>
          <t>ÖSTERGÖTLANDS LÄN</t>
        </is>
      </c>
      <c r="G230" t="inlineStr">
        <is>
          <t>YDRE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46295</v>
      </c>
      <c r="F231" t="inlineStr">
        <is>
          <t>ÖSTERGÖTLANDS LÄN</t>
        </is>
      </c>
      <c r="G231" t="inlineStr">
        <is>
          <t>YDRE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46295</v>
      </c>
      <c r="F232" t="inlineStr">
        <is>
          <t>ÖSTERGÖTLANDS LÄN</t>
        </is>
      </c>
      <c r="G232" t="inlineStr">
        <is>
          <t>YDRE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57590-2023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46295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46295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46295</v>
      </c>
      <c r="F235" t="inlineStr">
        <is>
          <t>ÖSTERGÖTLANDS LÄN</t>
        </is>
      </c>
      <c r="G235" t="inlineStr">
        <is>
          <t>YDRE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54549-2025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46295</v>
      </c>
      <c r="F236" t="inlineStr">
        <is>
          <t>ÖSTERGÖTLANDS LÄN</t>
        </is>
      </c>
      <c r="G236" t="inlineStr">
        <is>
          <t>YDRE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57290-2021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46295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45871</v>
      </c>
      <c r="E238" s="1" t="n">
        <v>46295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46295</v>
      </c>
      <c r="F239" t="inlineStr">
        <is>
          <t>ÖSTERGÖTLANDS LÄN</t>
        </is>
      </c>
      <c r="G239" t="inlineStr">
        <is>
          <t>YDRE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46295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45793</v>
      </c>
      <c r="E241" s="1" t="n">
        <v>46295</v>
      </c>
      <c r="F241" t="inlineStr">
        <is>
          <t>ÖSTERGÖTLANDS LÄN</t>
        </is>
      </c>
      <c r="G241" t="inlineStr">
        <is>
          <t>YDRE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45701</v>
      </c>
      <c r="E242" s="1" t="n">
        <v>46295</v>
      </c>
      <c r="F242" t="inlineStr">
        <is>
          <t>ÖSTERGÖTLANDS LÄN</t>
        </is>
      </c>
      <c r="G242" t="inlineStr">
        <is>
          <t>YDRE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46295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44572</v>
      </c>
      <c r="E244" s="1" t="n">
        <v>46295</v>
      </c>
      <c r="F244" t="inlineStr">
        <is>
          <t>ÖSTERGÖTLANDS LÄN</t>
        </is>
      </c>
      <c r="G244" t="inlineStr">
        <is>
          <t>YDRE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44987</v>
      </c>
      <c r="E245" s="1" t="n">
        <v>46295</v>
      </c>
      <c r="F245" t="inlineStr">
        <is>
          <t>ÖSTERGÖTLANDS LÄN</t>
        </is>
      </c>
      <c r="G245" t="inlineStr">
        <is>
          <t>YDRE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45831</v>
      </c>
      <c r="E246" s="1" t="n">
        <v>46295</v>
      </c>
      <c r="F246" t="inlineStr">
        <is>
          <t>ÖSTERGÖTLANDS LÄN</t>
        </is>
      </c>
      <c r="G246" t="inlineStr">
        <is>
          <t>YDRE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42343-2022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44831</v>
      </c>
      <c r="E247" s="1" t="n">
        <v>46295</v>
      </c>
      <c r="F247" t="inlineStr">
        <is>
          <t>ÖSTERGÖTLANDS LÄN</t>
        </is>
      </c>
      <c r="G247" t="inlineStr">
        <is>
          <t>YDRE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46295</v>
      </c>
      <c r="F248" t="inlineStr">
        <is>
          <t>ÖSTERGÖTLANDS LÄN</t>
        </is>
      </c>
      <c r="G248" t="inlineStr">
        <is>
          <t>YDRE</t>
        </is>
      </c>
      <c r="H248" t="inlineStr">
        <is>
          <t>Kyrkan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45916</v>
      </c>
      <c r="E249" s="1" t="n">
        <v>46295</v>
      </c>
      <c r="F249" t="inlineStr">
        <is>
          <t>ÖSTERGÖTLANDS LÄN</t>
        </is>
      </c>
      <c r="G249" t="inlineStr">
        <is>
          <t>YDRE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68983-2021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44530</v>
      </c>
      <c r="E250" s="1" t="n">
        <v>46295</v>
      </c>
      <c r="F250" t="inlineStr">
        <is>
          <t>ÖSTERGÖTLANDS LÄN</t>
        </is>
      </c>
      <c r="G250" t="inlineStr">
        <is>
          <t>YDRE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45335</v>
      </c>
      <c r="E251" s="1" t="n">
        <v>46295</v>
      </c>
      <c r="F251" t="inlineStr">
        <is>
          <t>ÖSTERGÖTLANDS LÄN</t>
        </is>
      </c>
      <c r="G251" t="inlineStr">
        <is>
          <t>YDRE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45398</v>
      </c>
      <c r="E252" s="1" t="n">
        <v>46295</v>
      </c>
      <c r="F252" t="inlineStr">
        <is>
          <t>ÖSTERGÖTLANDS LÄN</t>
        </is>
      </c>
      <c r="G252" t="inlineStr">
        <is>
          <t>YDRE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46295</v>
      </c>
      <c r="F253" t="inlineStr">
        <is>
          <t>ÖSTERGÖTLANDS LÄN</t>
        </is>
      </c>
      <c r="G253" t="inlineStr">
        <is>
          <t>YDRE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46295</v>
      </c>
      <c r="F254" t="inlineStr">
        <is>
          <t>ÖSTERGÖTLANDS LÄN</t>
        </is>
      </c>
      <c r="G254" t="inlineStr">
        <is>
          <t>YDRE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46295</v>
      </c>
      <c r="F255" t="inlineStr">
        <is>
          <t>ÖSTERGÖTLANDS LÄN</t>
        </is>
      </c>
      <c r="G255" t="inlineStr">
        <is>
          <t>YDRE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45138</v>
      </c>
      <c r="E256" s="1" t="n">
        <v>46295</v>
      </c>
      <c r="F256" t="inlineStr">
        <is>
          <t>ÖSTERGÖTLANDS LÄN</t>
        </is>
      </c>
      <c r="G256" t="inlineStr">
        <is>
          <t>YDRE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62815-2021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44504</v>
      </c>
      <c r="E257" s="1" t="n">
        <v>46295</v>
      </c>
      <c r="F257" t="inlineStr">
        <is>
          <t>ÖSTERGÖTLANDS LÄN</t>
        </is>
      </c>
      <c r="G257" t="inlineStr">
        <is>
          <t>YDRE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37567-2023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46295</v>
      </c>
      <c r="F258" t="inlineStr">
        <is>
          <t>ÖSTERGÖTLANDS LÄN</t>
        </is>
      </c>
      <c r="G258" t="inlineStr">
        <is>
          <t>YDRE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14184-2022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44651</v>
      </c>
      <c r="E259" s="1" t="n">
        <v>46295</v>
      </c>
      <c r="F259" t="inlineStr">
        <is>
          <t>ÖSTERGÖTLANDS LÄN</t>
        </is>
      </c>
      <c r="G259" t="inlineStr">
        <is>
          <t>YDRE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62485-2021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44503</v>
      </c>
      <c r="E260" s="1" t="n">
        <v>46295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45583</v>
      </c>
      <c r="E261" s="1" t="n">
        <v>46295</v>
      </c>
      <c r="F261" t="inlineStr">
        <is>
          <t>ÖSTERGÖTLANDS LÄN</t>
        </is>
      </c>
      <c r="G261" t="inlineStr">
        <is>
          <t>YDRE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7064-2025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46295</v>
      </c>
      <c r="F262" t="inlineStr">
        <is>
          <t>ÖSTERGÖTLANDS LÄN</t>
        </is>
      </c>
      <c r="G262" t="inlineStr">
        <is>
          <t>YDRE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46295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7306-2022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46295</v>
      </c>
      <c r="F264" t="inlineStr">
        <is>
          <t>ÖSTERGÖTLANDS LÄN</t>
        </is>
      </c>
      <c r="G264" t="inlineStr">
        <is>
          <t>YDRE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46295</v>
      </c>
      <c r="F265" t="inlineStr">
        <is>
          <t>ÖSTERGÖTLANDS LÄN</t>
        </is>
      </c>
      <c r="G265" t="inlineStr">
        <is>
          <t>YDRE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46295</v>
      </c>
      <c r="F266" t="inlineStr">
        <is>
          <t>ÖSTERGÖTLANDS LÄN</t>
        </is>
      </c>
      <c r="G266" t="inlineStr">
        <is>
          <t>YDRE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46295</v>
      </c>
      <c r="F267" t="inlineStr">
        <is>
          <t>ÖSTERGÖTLANDS LÄN</t>
        </is>
      </c>
      <c r="G267" t="inlineStr">
        <is>
          <t>YDRE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46295</v>
      </c>
      <c r="F268" t="inlineStr">
        <is>
          <t>ÖSTERGÖTLANDS LÄN</t>
        </is>
      </c>
      <c r="G268" t="inlineStr">
        <is>
          <t>YDRE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46295</v>
      </c>
      <c r="F269" t="inlineStr">
        <is>
          <t>ÖSTERGÖTLANDS LÄN</t>
        </is>
      </c>
      <c r="G269" t="inlineStr">
        <is>
          <t>YDRE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46295</v>
      </c>
      <c r="F270" t="inlineStr">
        <is>
          <t>ÖSTERGÖTLANDS LÄN</t>
        </is>
      </c>
      <c r="G270" t="inlineStr">
        <is>
          <t>YDRE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46295</v>
      </c>
      <c r="F271" t="inlineStr">
        <is>
          <t>ÖSTERGÖTLANDS LÄN</t>
        </is>
      </c>
      <c r="G271" t="inlineStr">
        <is>
          <t>YDRE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28915-2023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45104</v>
      </c>
      <c r="E272" s="1" t="n">
        <v>46295</v>
      </c>
      <c r="F272" t="inlineStr">
        <is>
          <t>ÖSTERGÖTLANDS LÄN</t>
        </is>
      </c>
      <c r="G272" t="inlineStr">
        <is>
          <t>YDRE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20050-2023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45054</v>
      </c>
      <c r="E273" s="1" t="n">
        <v>46295</v>
      </c>
      <c r="F273" t="inlineStr">
        <is>
          <t>ÖSTERGÖTLANDS LÄN</t>
        </is>
      </c>
      <c r="G273" t="inlineStr">
        <is>
          <t>YDRE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22312-2026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46154</v>
      </c>
      <c r="E274" s="1" t="n">
        <v>46295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46295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46295</v>
      </c>
      <c r="F276" t="inlineStr">
        <is>
          <t>ÖSTERGÖTLANDS LÄN</t>
        </is>
      </c>
      <c r="G276" t="inlineStr">
        <is>
          <t>YDRE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46295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14645-2022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44655</v>
      </c>
      <c r="E278" s="1" t="n">
        <v>46295</v>
      </c>
      <c r="F278" t="inlineStr">
        <is>
          <t>ÖSTERGÖTLANDS LÄN</t>
        </is>
      </c>
      <c r="G278" t="inlineStr">
        <is>
          <t>YDRE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45762</v>
      </c>
      <c r="E279" s="1" t="n">
        <v>46295</v>
      </c>
      <c r="F279" t="inlineStr">
        <is>
          <t>ÖSTERGÖTLANDS LÄN</t>
        </is>
      </c>
      <c r="G279" t="inlineStr">
        <is>
          <t>YDRE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33680-2022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44789</v>
      </c>
      <c r="E280" s="1" t="n">
        <v>46295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44576</v>
      </c>
      <c r="E281" s="1" t="n">
        <v>46295</v>
      </c>
      <c r="F281" t="inlineStr">
        <is>
          <t>ÖSTERGÖTLANDS LÄN</t>
        </is>
      </c>
      <c r="G281" t="inlineStr">
        <is>
          <t>YDRE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46295</v>
      </c>
      <c r="F282" t="inlineStr">
        <is>
          <t>ÖSTERGÖTLANDS LÄN</t>
        </is>
      </c>
      <c r="G282" t="inlineStr">
        <is>
          <t>YDRE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20158-2024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46295</v>
      </c>
      <c r="F283" t="inlineStr">
        <is>
          <t>ÖSTERGÖTLANDS LÄN</t>
        </is>
      </c>
      <c r="G283" t="inlineStr">
        <is>
          <t>YDRE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46295</v>
      </c>
      <c r="F284" t="inlineStr">
        <is>
          <t>ÖSTERGÖTLANDS LÄN</t>
        </is>
      </c>
      <c r="G284" t="inlineStr">
        <is>
          <t>YDRE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2745-2026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46038</v>
      </c>
      <c r="E285" s="1" t="n">
        <v>46295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45460</v>
      </c>
      <c r="E286" s="1" t="n">
        <v>46295</v>
      </c>
      <c r="F286" t="inlineStr">
        <is>
          <t>ÖSTERGÖTLANDS LÄN</t>
        </is>
      </c>
      <c r="G286" t="inlineStr">
        <is>
          <t>YDRE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27737-2022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46295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46295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24780-2026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46171</v>
      </c>
      <c r="E289" s="1" t="n">
        <v>46295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37568-2023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46295</v>
      </c>
      <c r="F290" t="inlineStr">
        <is>
          <t>ÖSTERGÖTLANDS LÄN</t>
        </is>
      </c>
      <c r="G290" t="inlineStr">
        <is>
          <t>YDRE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46295</v>
      </c>
      <c r="F291" t="inlineStr">
        <is>
          <t>ÖSTERGÖTLANDS LÄN</t>
        </is>
      </c>
      <c r="G291" t="inlineStr">
        <is>
          <t>YDRE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17309-2024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45414</v>
      </c>
      <c r="E292" s="1" t="n">
        <v>46295</v>
      </c>
      <c r="F292" t="inlineStr">
        <is>
          <t>ÖSTERGÖTLANDS LÄN</t>
        </is>
      </c>
      <c r="G292" t="inlineStr">
        <is>
          <t>YDRE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9155-2025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46295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25473-2026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46177</v>
      </c>
      <c r="E294" s="1" t="n">
        <v>46295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45278</v>
      </c>
      <c r="E295" s="1" t="n">
        <v>46295</v>
      </c>
      <c r="F295" t="inlineStr">
        <is>
          <t>ÖSTERGÖTLANDS LÄN</t>
        </is>
      </c>
      <c r="G295" t="inlineStr">
        <is>
          <t>YDRE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21982-2022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46295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46295</v>
      </c>
      <c r="F297" t="inlineStr">
        <is>
          <t>ÖSTERGÖTLANDS LÄN</t>
        </is>
      </c>
      <c r="G297" t="inlineStr">
        <is>
          <t>YDRE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26603-2026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46183</v>
      </c>
      <c r="E298" s="1" t="n">
        <v>46295</v>
      </c>
      <c r="F298" t="inlineStr">
        <is>
          <t>ÖSTERGÖTLANDS LÄN</t>
        </is>
      </c>
      <c r="G298" t="inlineStr">
        <is>
          <t>YDRE</t>
        </is>
      </c>
      <c r="H298" t="inlineStr">
        <is>
          <t>Sveaskog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46295</v>
      </c>
      <c r="F299" t="inlineStr">
        <is>
          <t>ÖSTERGÖTLANDS LÄN</t>
        </is>
      </c>
      <c r="G299" t="inlineStr">
        <is>
          <t>YDRE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45310</v>
      </c>
      <c r="E300" s="1" t="n">
        <v>46295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55395-2023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45231</v>
      </c>
      <c r="E301" s="1" t="n">
        <v>46295</v>
      </c>
      <c r="F301" t="inlineStr">
        <is>
          <t>ÖSTERGÖTLANDS LÄN</t>
        </is>
      </c>
      <c r="G301" t="inlineStr">
        <is>
          <t>YDRE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46295</v>
      </c>
      <c r="F302" t="inlineStr">
        <is>
          <t>ÖSTERGÖTLANDS LÄN</t>
        </is>
      </c>
      <c r="G302" t="inlineStr">
        <is>
          <t>YDRE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46295</v>
      </c>
      <c r="F303" t="inlineStr">
        <is>
          <t>ÖSTERGÖTLANDS LÄN</t>
        </is>
      </c>
      <c r="G303" t="inlineStr">
        <is>
          <t>YDRE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27700-2026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46190</v>
      </c>
      <c r="E304" s="1" t="n">
        <v>46295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46295</v>
      </c>
      <c r="F305" t="inlineStr">
        <is>
          <t>ÖSTERGÖTLANDS LÄN</t>
        </is>
      </c>
      <c r="G305" t="inlineStr">
        <is>
          <t>YDRE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44939</v>
      </c>
      <c r="E306" s="1" t="n">
        <v>46295</v>
      </c>
      <c r="F306" t="inlineStr">
        <is>
          <t>ÖSTERGÖTLANDS LÄN</t>
        </is>
      </c>
      <c r="G306" t="inlineStr">
        <is>
          <t>YDRE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46295</v>
      </c>
      <c r="F307" t="inlineStr">
        <is>
          <t>ÖSTERGÖTLANDS LÄN</t>
        </is>
      </c>
      <c r="G307" t="inlineStr">
        <is>
          <t>YDRE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46295</v>
      </c>
      <c r="F308" t="inlineStr">
        <is>
          <t>ÖSTERGÖTLANDS LÄN</t>
        </is>
      </c>
      <c r="G308" t="inlineStr">
        <is>
          <t>YDRE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71524-2021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44538</v>
      </c>
      <c r="E309" s="1" t="n">
        <v>46295</v>
      </c>
      <c r="F309" t="inlineStr">
        <is>
          <t>ÖSTERGÖTLANDS LÄN</t>
        </is>
      </c>
      <c r="G309" t="inlineStr">
        <is>
          <t>YDRE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46295</v>
      </c>
      <c r="F310" t="inlineStr">
        <is>
          <t>ÖSTERGÖTLANDS LÄN</t>
        </is>
      </c>
      <c r="G310" t="inlineStr">
        <is>
          <t>YDRE</t>
        </is>
      </c>
      <c r="I310" t="n">
        <v>10.2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45634</v>
      </c>
      <c r="E311" s="1" t="n">
        <v>46295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45671</v>
      </c>
      <c r="E312" s="1" t="n">
        <v>46295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29284-2026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46295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46295</v>
      </c>
      <c r="F314" t="inlineStr">
        <is>
          <t>ÖSTERGÖTLANDS LÄN</t>
        </is>
      </c>
      <c r="G314" t="inlineStr">
        <is>
          <t>YDRE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45406</v>
      </c>
      <c r="E315" s="1" t="n">
        <v>46295</v>
      </c>
      <c r="F315" t="inlineStr">
        <is>
          <t>ÖSTERGÖTLANDS LÄN</t>
        </is>
      </c>
      <c r="G315" t="inlineStr">
        <is>
          <t>YDRE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46295</v>
      </c>
      <c r="F316" t="inlineStr">
        <is>
          <t>ÖSTERGÖTLANDS LÄN</t>
        </is>
      </c>
      <c r="G316" t="inlineStr">
        <is>
          <t>YDRE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44965</v>
      </c>
      <c r="E317" s="1" t="n">
        <v>46295</v>
      </c>
      <c r="F317" t="inlineStr">
        <is>
          <t>ÖSTERGÖTLANDS LÄN</t>
        </is>
      </c>
      <c r="G317" t="inlineStr">
        <is>
          <t>YDRE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46295</v>
      </c>
      <c r="F318" t="inlineStr">
        <is>
          <t>ÖSTERGÖTLANDS LÄN</t>
        </is>
      </c>
      <c r="G318" t="inlineStr">
        <is>
          <t>YDRE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46202</v>
      </c>
      <c r="E319" s="1" t="n">
        <v>46295</v>
      </c>
      <c r="F319" t="inlineStr">
        <is>
          <t>ÖSTERGÖTLANDS LÄN</t>
        </is>
      </c>
      <c r="G319" t="inlineStr">
        <is>
          <t>YDRE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46295</v>
      </c>
      <c r="F320" t="inlineStr">
        <is>
          <t>ÖSTERGÖTLANDS LÄN</t>
        </is>
      </c>
      <c r="G320" t="inlineStr">
        <is>
          <t>YDRE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59805-2022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44908</v>
      </c>
      <c r="E321" s="1" t="n">
        <v>46295</v>
      </c>
      <c r="F321" t="inlineStr">
        <is>
          <t>ÖSTERGÖTLANDS LÄN</t>
        </is>
      </c>
      <c r="G321" t="inlineStr">
        <is>
          <t>YDRE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45755</v>
      </c>
      <c r="E322" s="1" t="n">
        <v>46295</v>
      </c>
      <c r="F322" t="inlineStr">
        <is>
          <t>ÖSTERGÖTLANDS LÄN</t>
        </is>
      </c>
      <c r="G322" t="inlineStr">
        <is>
          <t>YDRE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46295</v>
      </c>
      <c r="F323" t="inlineStr">
        <is>
          <t>ÖSTERGÖTLANDS LÄN</t>
        </is>
      </c>
      <c r="G323" t="inlineStr">
        <is>
          <t>YDRE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45335</v>
      </c>
      <c r="E324" s="1" t="n">
        <v>46295</v>
      </c>
      <c r="F324" t="inlineStr">
        <is>
          <t>ÖSTERGÖTLANDS LÄN</t>
        </is>
      </c>
      <c r="G324" t="inlineStr">
        <is>
          <t>YDRE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60244-2023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46295</v>
      </c>
      <c r="F325" t="inlineStr">
        <is>
          <t>ÖSTERGÖTLANDS LÄN</t>
        </is>
      </c>
      <c r="G325" t="inlineStr">
        <is>
          <t>YDRE</t>
        </is>
      </c>
      <c r="I325" t="n">
        <v>17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44592</v>
      </c>
      <c r="E326" s="1" t="n">
        <v>46295</v>
      </c>
      <c r="F326" t="inlineStr">
        <is>
          <t>ÖSTERGÖTLANDS LÄN</t>
        </is>
      </c>
      <c r="G326" t="inlineStr">
        <is>
          <t>YDRE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44953</v>
      </c>
      <c r="E327" s="1" t="n">
        <v>46295</v>
      </c>
      <c r="F327" t="inlineStr">
        <is>
          <t>ÖSTERGÖTLANDS LÄN</t>
        </is>
      </c>
      <c r="G327" t="inlineStr">
        <is>
          <t>YDRE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58831-2022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44903</v>
      </c>
      <c r="E328" s="1" t="n">
        <v>46295</v>
      </c>
      <c r="F328" t="inlineStr">
        <is>
          <t>ÖSTERGÖTLANDS LÄN</t>
        </is>
      </c>
      <c r="G328" t="inlineStr">
        <is>
          <t>YDRE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45348</v>
      </c>
      <c r="E329" s="1" t="n">
        <v>46295</v>
      </c>
      <c r="F329" t="inlineStr">
        <is>
          <t>ÖSTERGÖTLANDS LÄN</t>
        </is>
      </c>
      <c r="G329" t="inlineStr">
        <is>
          <t>YDRE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46295</v>
      </c>
      <c r="F330" t="inlineStr">
        <is>
          <t>ÖSTERGÖTLANDS LÄN</t>
        </is>
      </c>
      <c r="G330" t="inlineStr">
        <is>
          <t>YDRE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19261-2024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45428</v>
      </c>
      <c r="E331" s="1" t="n">
        <v>46295</v>
      </c>
      <c r="F331" t="inlineStr">
        <is>
          <t>ÖSTERGÖTLANDS LÄN</t>
        </is>
      </c>
      <c r="G331" t="inlineStr">
        <is>
          <t>YDRE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56323-2021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44480</v>
      </c>
      <c r="E332" s="1" t="n">
        <v>46295</v>
      </c>
      <c r="F332" t="inlineStr">
        <is>
          <t>ÖSTERGÖTLANDS LÄN</t>
        </is>
      </c>
      <c r="G332" t="inlineStr">
        <is>
          <t>YDRE</t>
        </is>
      </c>
      <c r="H332" t="inlineStr">
        <is>
          <t>Sveaskog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  <c r="Z332">
        <f>HYPERLINK("https://klasma.github.io/Logging_0512/knärot/A 56323-2021 karta knärot.png", "A 56323-2021")</f>
        <v/>
      </c>
      <c r="AA332">
        <f>HYPERLINK("https://klasma.github.io/Logging_0512/klagomål/A 56323-2021 FSC-klagomål.docx", "A 56323-2021")</f>
        <v/>
      </c>
      <c r="AB332">
        <f>HYPERLINK("https://klasma.github.io/Logging_0512/klagomålsmail/A 56323-2021 FSC-klagomål mail.docx", "A 56323-2021")</f>
        <v/>
      </c>
      <c r="AC332">
        <f>HYPERLINK("https://klasma.github.io/Logging_0512/tillsyn/A 56323-2021 tillsynsbegäran.docx", "A 56323-2021")</f>
        <v/>
      </c>
      <c r="AD332">
        <f>HYPERLINK("https://klasma.github.io/Logging_0512/tillsynsmail/A 56323-2021 tillsynsbegäran mail.docx", "A 56323-2021")</f>
        <v/>
      </c>
    </row>
    <row r="333" ht="15" customHeight="1">
      <c r="A333" t="inlineStr">
        <is>
          <t>A 34791-2026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46258</v>
      </c>
      <c r="E333" s="1" t="n">
        <v>46295</v>
      </c>
      <c r="F333" t="inlineStr">
        <is>
          <t>ÖSTERGÖTLANDS LÄN</t>
        </is>
      </c>
      <c r="G333" t="inlineStr">
        <is>
          <t>YDRE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44501</v>
      </c>
      <c r="E334" s="1" t="n">
        <v>46295</v>
      </c>
      <c r="F334" t="inlineStr">
        <is>
          <t>ÖSTERGÖTLANDS LÄN</t>
        </is>
      </c>
      <c r="G334" t="inlineStr">
        <is>
          <t>YDRE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70448-2021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44536</v>
      </c>
      <c r="E335" s="1" t="n">
        <v>46295</v>
      </c>
      <c r="F335" t="inlineStr">
        <is>
          <t>ÖSTERGÖTLANDS LÄN</t>
        </is>
      </c>
      <c r="G335" t="inlineStr">
        <is>
          <t>YDRE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45096</v>
      </c>
      <c r="E336" s="1" t="n">
        <v>46295</v>
      </c>
      <c r="F336" t="inlineStr">
        <is>
          <t>ÖSTERGÖTLANDS LÄN</t>
        </is>
      </c>
      <c r="G336" t="inlineStr">
        <is>
          <t>YDRE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44953</v>
      </c>
      <c r="E337" s="1" t="n">
        <v>46295</v>
      </c>
      <c r="F337" t="inlineStr">
        <is>
          <t>ÖSTERGÖTLANDS LÄN</t>
        </is>
      </c>
      <c r="G337" t="inlineStr">
        <is>
          <t>YDRE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46295</v>
      </c>
      <c r="F338" t="inlineStr">
        <is>
          <t>ÖSTERGÖTLANDS LÄN</t>
        </is>
      </c>
      <c r="G338" t="inlineStr">
        <is>
          <t>YDRE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46295</v>
      </c>
      <c r="F339" t="inlineStr">
        <is>
          <t>ÖSTERGÖTLANDS LÄN</t>
        </is>
      </c>
      <c r="G339" t="inlineStr">
        <is>
          <t>YDRE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46295</v>
      </c>
      <c r="F340" t="inlineStr">
        <is>
          <t>ÖSTERGÖTLANDS LÄN</t>
        </is>
      </c>
      <c r="G340" t="inlineStr">
        <is>
          <t>YDRE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45077</v>
      </c>
      <c r="E341" s="1" t="n">
        <v>46295</v>
      </c>
      <c r="F341" t="inlineStr">
        <is>
          <t>ÖSTERGÖTLANDS LÄN</t>
        </is>
      </c>
      <c r="G341" t="inlineStr">
        <is>
          <t>YDRE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46269</v>
      </c>
      <c r="E342" s="1" t="n">
        <v>46295</v>
      </c>
      <c r="F342" t="inlineStr">
        <is>
          <t>ÖSTERGÖTLANDS LÄN</t>
        </is>
      </c>
      <c r="G342" t="inlineStr">
        <is>
          <t>YDRE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46269</v>
      </c>
      <c r="E343" s="1" t="n">
        <v>46295</v>
      </c>
      <c r="F343" t="inlineStr">
        <is>
          <t>ÖSTERGÖTLANDS LÄN</t>
        </is>
      </c>
      <c r="G343" t="inlineStr">
        <is>
          <t>YDRE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45665</v>
      </c>
      <c r="E344" s="1" t="n">
        <v>46295</v>
      </c>
      <c r="F344" t="inlineStr">
        <is>
          <t>ÖSTERGÖTLANDS LÄN</t>
        </is>
      </c>
      <c r="G344" t="inlineStr">
        <is>
          <t>YDRE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46273</v>
      </c>
      <c r="E345" s="1" t="n">
        <v>46295</v>
      </c>
      <c r="F345" t="inlineStr">
        <is>
          <t>ÖSTERGÖTLANDS LÄN</t>
        </is>
      </c>
      <c r="G345" t="inlineStr">
        <is>
          <t>YDRE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46295</v>
      </c>
      <c r="F346" t="inlineStr">
        <is>
          <t>ÖSTERGÖTLANDS LÄN</t>
        </is>
      </c>
      <c r="G346" t="inlineStr">
        <is>
          <t>YDRE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46273</v>
      </c>
      <c r="E347" s="1" t="n">
        <v>46295</v>
      </c>
      <c r="F347" t="inlineStr">
        <is>
          <t>ÖSTERGÖTLANDS LÄN</t>
        </is>
      </c>
      <c r="G347" t="inlineStr">
        <is>
          <t>YDRE</t>
        </is>
      </c>
      <c r="I347" t="n">
        <v>15.6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46273</v>
      </c>
      <c r="E348" s="1" t="n">
        <v>46295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45208</v>
      </c>
      <c r="E349" s="1" t="n">
        <v>46295</v>
      </c>
      <c r="F349" t="inlineStr">
        <is>
          <t>ÖSTERGÖTLANDS LÄN</t>
        </is>
      </c>
      <c r="G349" t="inlineStr">
        <is>
          <t>YDRE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46275</v>
      </c>
      <c r="E350" s="1" t="n">
        <v>46295</v>
      </c>
      <c r="F350" t="inlineStr">
        <is>
          <t>ÖSTERGÖTLANDS LÄN</t>
        </is>
      </c>
      <c r="G350" t="inlineStr">
        <is>
          <t>YDRE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45595</v>
      </c>
      <c r="E351" s="1" t="n">
        <v>46295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45698</v>
      </c>
      <c r="E352" s="1" t="n">
        <v>46295</v>
      </c>
      <c r="F352" t="inlineStr">
        <is>
          <t>ÖSTERGÖTLANDS LÄN</t>
        </is>
      </c>
      <c r="G352" t="inlineStr">
        <is>
          <t>YDRE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46280</v>
      </c>
      <c r="E353" s="1" t="n">
        <v>46295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45355</v>
      </c>
      <c r="E354" s="1" t="n">
        <v>46295</v>
      </c>
      <c r="F354" t="inlineStr">
        <is>
          <t>ÖSTERGÖTLANDS LÄN</t>
        </is>
      </c>
      <c r="G354" t="inlineStr">
        <is>
          <t>YDRE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56606-2021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44480</v>
      </c>
      <c r="E355" s="1" t="n">
        <v>46295</v>
      </c>
      <c r="F355" t="inlineStr">
        <is>
          <t>ÖSTERGÖTLANDS LÄN</t>
        </is>
      </c>
      <c r="G355" t="inlineStr">
        <is>
          <t>YDRE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46295</v>
      </c>
      <c r="F356" t="inlineStr">
        <is>
          <t>ÖSTERGÖTLANDS LÄN</t>
        </is>
      </c>
      <c r="G356" t="inlineStr">
        <is>
          <t>YDRE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46295</v>
      </c>
      <c r="F357" t="inlineStr">
        <is>
          <t>ÖSTERGÖTLANDS LÄN</t>
        </is>
      </c>
      <c r="G357" t="inlineStr">
        <is>
          <t>YDRE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49698-2024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45596</v>
      </c>
      <c r="E358" s="1" t="n">
        <v>46295</v>
      </c>
      <c r="F358" t="inlineStr">
        <is>
          <t>ÖSTERGÖTLANDS LÄN</t>
        </is>
      </c>
      <c r="G358" t="inlineStr">
        <is>
          <t>YDRE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46295</v>
      </c>
      <c r="F359" t="inlineStr">
        <is>
          <t>ÖSTERGÖTLANDS LÄN</t>
        </is>
      </c>
      <c r="G359" t="inlineStr">
        <is>
          <t>YDRE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46282</v>
      </c>
      <c r="E360" s="1" t="n">
        <v>46295</v>
      </c>
      <c r="F360" t="inlineStr">
        <is>
          <t>ÖSTERGÖTLANDS LÄN</t>
        </is>
      </c>
      <c r="G360" t="inlineStr">
        <is>
          <t>YDRE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46282</v>
      </c>
      <c r="E361" s="1" t="n">
        <v>46295</v>
      </c>
      <c r="F361" t="inlineStr">
        <is>
          <t>ÖSTERGÖTLANDS LÄN</t>
        </is>
      </c>
      <c r="G361" t="inlineStr">
        <is>
          <t>YDRE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46282</v>
      </c>
      <c r="E362" s="1" t="n">
        <v>46295</v>
      </c>
      <c r="F362" t="inlineStr">
        <is>
          <t>ÖSTERGÖTLANDS LÄN</t>
        </is>
      </c>
      <c r="G362" t="inlineStr">
        <is>
          <t>YDRE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46282</v>
      </c>
      <c r="E363" s="1" t="n">
        <v>46295</v>
      </c>
      <c r="F363" t="inlineStr">
        <is>
          <t>ÖSTERGÖTLANDS LÄN</t>
        </is>
      </c>
      <c r="G363" t="inlineStr">
        <is>
          <t>YDRE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38473-2026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46282</v>
      </c>
      <c r="E364" s="1" t="n">
        <v>46295</v>
      </c>
      <c r="F364" t="inlineStr">
        <is>
          <t>ÖSTERGÖTLANDS LÄN</t>
        </is>
      </c>
      <c r="G364" t="inlineStr">
        <is>
          <t>YDRE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45460</v>
      </c>
      <c r="E365" s="1" t="n">
        <v>46295</v>
      </c>
      <c r="F365" t="inlineStr">
        <is>
          <t>ÖSTERGÖTLANDS LÄN</t>
        </is>
      </c>
      <c r="G365" t="inlineStr">
        <is>
          <t>YDRE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46295</v>
      </c>
      <c r="F366" t="inlineStr">
        <is>
          <t>ÖSTERGÖTLANDS LÄN</t>
        </is>
      </c>
      <c r="G366" t="inlineStr">
        <is>
          <t>YDRE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46295</v>
      </c>
      <c r="F367" t="inlineStr">
        <is>
          <t>ÖSTERGÖTLANDS LÄN</t>
        </is>
      </c>
      <c r="G367" t="inlineStr">
        <is>
          <t>YDRE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44994</v>
      </c>
      <c r="E368" s="1" t="n">
        <v>46295</v>
      </c>
      <c r="F368" t="inlineStr">
        <is>
          <t>ÖSTERGÖTLANDS LÄN</t>
        </is>
      </c>
      <c r="G368" t="inlineStr">
        <is>
          <t>YDRE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44635</v>
      </c>
      <c r="E369" s="1" t="n">
        <v>46295</v>
      </c>
      <c r="F369" t="inlineStr">
        <is>
          <t>ÖSTERGÖTLANDS LÄN</t>
        </is>
      </c>
      <c r="G369" t="inlineStr">
        <is>
          <t>YDRE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46240</v>
      </c>
      <c r="E370" s="1" t="n">
        <v>46295</v>
      </c>
      <c r="F370" t="inlineStr">
        <is>
          <t>ÖSTERGÖTLANDS LÄN</t>
        </is>
      </c>
      <c r="G370" t="inlineStr">
        <is>
          <t>YDRE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38611-2026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46283</v>
      </c>
      <c r="E371" s="1" t="n">
        <v>46295</v>
      </c>
      <c r="F371" t="inlineStr">
        <is>
          <t>ÖSTERGÖTLANDS LÄN</t>
        </is>
      </c>
      <c r="G371" t="inlineStr">
        <is>
          <t>YDRE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46283</v>
      </c>
      <c r="E372" s="1" t="n">
        <v>46295</v>
      </c>
      <c r="F372" t="inlineStr">
        <is>
          <t>ÖSTERGÖTLANDS LÄN</t>
        </is>
      </c>
      <c r="G372" t="inlineStr">
        <is>
          <t>YDRE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46295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38758-2026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46286</v>
      </c>
      <c r="E374" s="1" t="n">
        <v>46295</v>
      </c>
      <c r="F374" t="inlineStr">
        <is>
          <t>ÖSTERGÖTLANDS LÄN</t>
        </is>
      </c>
      <c r="G374" t="inlineStr">
        <is>
          <t>YDRE</t>
        </is>
      </c>
      <c r="H374" t="inlineStr">
        <is>
          <t>Sveaskog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46295</v>
      </c>
      <c r="F375" t="inlineStr">
        <is>
          <t>ÖSTERGÖTLANDS LÄN</t>
        </is>
      </c>
      <c r="G375" t="inlineStr">
        <is>
          <t>YDRE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46295</v>
      </c>
      <c r="F376" t="inlineStr">
        <is>
          <t>ÖSTERGÖTLANDS LÄN</t>
        </is>
      </c>
      <c r="G376" t="inlineStr">
        <is>
          <t>YDRE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32676-2026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46240</v>
      </c>
      <c r="E377" s="1" t="n">
        <v>46295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46283</v>
      </c>
      <c r="E378" s="1" t="n">
        <v>46295</v>
      </c>
      <c r="F378" t="inlineStr">
        <is>
          <t>ÖSTERGÖTLANDS LÄN</t>
        </is>
      </c>
      <c r="G378" t="inlineStr">
        <is>
          <t>YDRE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46295</v>
      </c>
      <c r="F379" t="inlineStr">
        <is>
          <t>ÖSTERGÖTLANDS LÄN</t>
        </is>
      </c>
      <c r="G379" t="inlineStr">
        <is>
          <t>YDRE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50977-2023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45218</v>
      </c>
      <c r="E380" s="1" t="n">
        <v>46295</v>
      </c>
      <c r="F380" t="inlineStr">
        <is>
          <t>ÖSTERGÖTLANDS LÄN</t>
        </is>
      </c>
      <c r="G380" t="inlineStr">
        <is>
          <t>YDRE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46295</v>
      </c>
      <c r="F381" t="inlineStr">
        <is>
          <t>ÖSTERGÖTLANDS LÄN</t>
        </is>
      </c>
      <c r="G381" t="inlineStr">
        <is>
          <t>YDRE</t>
        </is>
      </c>
      <c r="H381" t="inlineStr">
        <is>
          <t>Övriga Aktiebolag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46295</v>
      </c>
      <c r="F382" t="inlineStr">
        <is>
          <t>ÖSTERGÖTLANDS LÄN</t>
        </is>
      </c>
      <c r="G382" t="inlineStr">
        <is>
          <t>YDRE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38605-2026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46283</v>
      </c>
      <c r="E383" s="1" t="n">
        <v>46295</v>
      </c>
      <c r="F383" t="inlineStr">
        <is>
          <t>ÖSTERGÖTLANDS LÄN</t>
        </is>
      </c>
      <c r="G383" t="inlineStr">
        <is>
          <t>YDRE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46295</v>
      </c>
      <c r="F384" t="inlineStr">
        <is>
          <t>ÖSTERGÖTLANDS LÄN</t>
        </is>
      </c>
      <c r="G384" t="inlineStr">
        <is>
          <t>YDRE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46295</v>
      </c>
      <c r="F385" t="inlineStr">
        <is>
          <t>ÖSTERGÖTLANDS LÄN</t>
        </is>
      </c>
      <c r="G385" t="inlineStr">
        <is>
          <t>YDRE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20048-2023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46295</v>
      </c>
      <c r="F386" t="inlineStr">
        <is>
          <t>ÖSTERGÖTLANDS LÄN</t>
        </is>
      </c>
      <c r="G386" t="inlineStr">
        <is>
          <t>YDRE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40692-2023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46295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46295</v>
      </c>
      <c r="F388" t="inlineStr">
        <is>
          <t>ÖSTERGÖTLANDS LÄN</t>
        </is>
      </c>
      <c r="G388" t="inlineStr">
        <is>
          <t>YDRE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45707</v>
      </c>
      <c r="E389" s="1" t="n">
        <v>46295</v>
      </c>
      <c r="F389" t="inlineStr">
        <is>
          <t>ÖSTERGÖTLANDS LÄN</t>
        </is>
      </c>
      <c r="G389" t="inlineStr">
        <is>
          <t>YDRE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19769-2024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45432</v>
      </c>
      <c r="E390" s="1" t="n">
        <v>46295</v>
      </c>
      <c r="F390" t="inlineStr">
        <is>
          <t>ÖSTERGÖTLANDS LÄN</t>
        </is>
      </c>
      <c r="G390" t="inlineStr">
        <is>
          <t>YDRE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59589-2024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46295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17277-2024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46295</v>
      </c>
      <c r="F392" t="inlineStr">
        <is>
          <t>ÖSTERGÖTLANDS LÄN</t>
        </is>
      </c>
      <c r="G392" t="inlineStr">
        <is>
          <t>YDRE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17301-2024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45414</v>
      </c>
      <c r="E393" s="1" t="n">
        <v>46295</v>
      </c>
      <c r="F393" t="inlineStr">
        <is>
          <t>ÖSTERGÖTLANDS LÄN</t>
        </is>
      </c>
      <c r="G393" t="inlineStr">
        <is>
          <t>YDRE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30049-2023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46295</v>
      </c>
      <c r="F394" t="inlineStr">
        <is>
          <t>ÖSTERGÖTLANDS LÄN</t>
        </is>
      </c>
      <c r="G394" t="inlineStr">
        <is>
          <t>YDRE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46295</v>
      </c>
      <c r="F395" t="inlineStr">
        <is>
          <t>ÖSTERGÖTLANDS LÄN</t>
        </is>
      </c>
      <c r="G395" t="inlineStr">
        <is>
          <t>YDRE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45492</v>
      </c>
      <c r="E396" s="1" t="n">
        <v>46295</v>
      </c>
      <c r="F396" t="inlineStr">
        <is>
          <t>ÖSTERGÖTLANDS LÄN</t>
        </is>
      </c>
      <c r="G396" t="inlineStr">
        <is>
          <t>YDRE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46295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46290</v>
      </c>
      <c r="E398" s="1" t="n">
        <v>46295</v>
      </c>
      <c r="F398" t="inlineStr">
        <is>
          <t>ÖSTERGÖTLANDS LÄN</t>
        </is>
      </c>
      <c r="G398" t="inlineStr">
        <is>
          <t>YDRE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46290</v>
      </c>
      <c r="E399" s="1" t="n">
        <v>46295</v>
      </c>
      <c r="F399" t="inlineStr">
        <is>
          <t>ÖSTERGÖTLANDS LÄN</t>
        </is>
      </c>
      <c r="G399" t="inlineStr">
        <is>
          <t>YDRE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46295</v>
      </c>
      <c r="F400" t="inlineStr">
        <is>
          <t>ÖSTERGÖTLANDS LÄN</t>
        </is>
      </c>
      <c r="G400" t="inlineStr">
        <is>
          <t>YDRE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46295</v>
      </c>
      <c r="F401" t="inlineStr">
        <is>
          <t>ÖSTERGÖTLANDS LÄN</t>
        </is>
      </c>
      <c r="G401" t="inlineStr">
        <is>
          <t>YDRE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46295</v>
      </c>
      <c r="F402" t="inlineStr">
        <is>
          <t>ÖSTERGÖTLANDS LÄN</t>
        </is>
      </c>
      <c r="G402" t="inlineStr">
        <is>
          <t>YDRE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46295</v>
      </c>
      <c r="F403" t="inlineStr">
        <is>
          <t>ÖSTERGÖTLANDS LÄN</t>
        </is>
      </c>
      <c r="G403" t="inlineStr">
        <is>
          <t>YDRE</t>
        </is>
      </c>
      <c r="H403" t="inlineStr">
        <is>
          <t>Övriga Aktiebolag</t>
        </is>
      </c>
      <c r="I403" t="n">
        <v>18.2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46295</v>
      </c>
      <c r="F404" t="inlineStr">
        <is>
          <t>ÖSTERGÖTLANDS LÄN</t>
        </is>
      </c>
      <c r="G404" t="inlineStr">
        <is>
          <t>YDRE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416-2022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44585</v>
      </c>
      <c r="E405" s="1" t="n">
        <v>46295</v>
      </c>
      <c r="F405" t="inlineStr">
        <is>
          <t>ÖSTERGÖTLANDS LÄN</t>
        </is>
      </c>
      <c r="G405" t="inlineStr">
        <is>
          <t>YDRE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2053-2025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45839</v>
      </c>
      <c r="E406" s="1" t="n">
        <v>46295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2604-2025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45916</v>
      </c>
      <c r="E407" s="1" t="n">
        <v>46295</v>
      </c>
      <c r="F407" t="inlineStr">
        <is>
          <t>ÖSTERGÖTLANDS LÄN</t>
        </is>
      </c>
      <c r="G407" t="inlineStr">
        <is>
          <t>YDRE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3063-2025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45964</v>
      </c>
      <c r="E408" s="1" t="n">
        <v>46295</v>
      </c>
      <c r="F408" t="inlineStr">
        <is>
          <t>ÖSTERGÖTLANDS LÄN</t>
        </is>
      </c>
      <c r="G408" t="inlineStr">
        <is>
          <t>YDRE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384-2026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46066</v>
      </c>
      <c r="E409" s="1" t="n">
        <v>46295</v>
      </c>
      <c r="F409" t="inlineStr">
        <is>
          <t>ÖSTERGÖTLANDS LÄN</t>
        </is>
      </c>
      <c r="G409" t="inlineStr">
        <is>
          <t>YDRE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2485-2026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46287</v>
      </c>
      <c r="E410" s="1" t="n">
        <v>46295</v>
      </c>
      <c r="F410" t="inlineStr">
        <is>
          <t>ÖSTERGÖTLANDS LÄN</t>
        </is>
      </c>
      <c r="G410" t="inlineStr">
        <is>
          <t>YDRE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2026-09-30T02:02:28Z</dcterms:created>
  <dcterms:modified xmlns:dcterms="http://purl.org/dc/terms/" xmlns:xsi="http://www.w3.org/2001/XMLSchema-instance" xsi:type="dcterms:W3CDTF">2026-09-30T02:02:29Z</dcterms:modified>
</cp:coreProperties>
</file>