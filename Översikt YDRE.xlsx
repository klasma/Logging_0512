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46280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46280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46280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46280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46280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46280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46280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46280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46280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46280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46280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46280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46280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46280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46280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46280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46280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46280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46280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46280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46280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46280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46280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46280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46280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46280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46280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46280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46280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46280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46280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53049-2024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46280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Mosippa</t>
        </is>
      </c>
      <c r="W37">
        <f>HYPERLINK("https://klasma.github.io/Logging_0512/artfynd/A 53049-2024 artfynd.xlsx", "A 53049-2024")</f>
        <v/>
      </c>
      <c r="X37">
        <f>HYPERLINK("https://klasma.github.io/Logging_0512/kartor/A 53049-2024 karta.png", "A 53049-2024")</f>
        <v/>
      </c>
      <c r="Y37">
        <f>HYPERLINK("https://klasma.github.io/Logging_0512/kartor_geotiff/A 53049-2024 georefererad karta.tif", "A 53049-2024")</f>
        <v/>
      </c>
      <c r="AA37">
        <f>HYPERLINK("https://klasma.github.io/Logging_0512/klagomål/A 53049-2024 FSC-klagomål.docx", "A 53049-2024")</f>
        <v/>
      </c>
      <c r="AB37">
        <f>HYPERLINK("https://klasma.github.io/Logging_0512/klagomålsmail/A 53049-2024 FSC-klagomål mail.docx", "A 53049-2024")</f>
        <v/>
      </c>
      <c r="AC37">
        <f>HYPERLINK("https://klasma.github.io/Logging_0512/tillsyn/A 53049-2024 tillsynsbegäran.docx", "A 53049-2024")</f>
        <v/>
      </c>
      <c r="AD37">
        <f>HYPERLINK("https://klasma.github.io/Logging_0512/tillsynsmail/A 53049-2024 tillsynsbegäran mail.docx", "A 53049-2024")</f>
        <v/>
      </c>
    </row>
    <row r="38" ht="15" customHeight="1">
      <c r="A38" t="inlineStr">
        <is>
          <t>A 11273-2024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45371</v>
      </c>
      <c r="E38" s="1" t="n">
        <v>46280</v>
      </c>
      <c r="F38" t="inlineStr">
        <is>
          <t>ÖSTERGÖTLANDS LÄN</t>
        </is>
      </c>
      <c r="G38" t="inlineStr">
        <is>
          <t>YDRE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Lungrot</t>
        </is>
      </c>
      <c r="W38">
        <f>HYPERLINK("https://klasma.github.io/Logging_0512/artfynd/A 11273-2024 artfynd.xlsx", "A 11273-2024")</f>
        <v/>
      </c>
      <c r="X38">
        <f>HYPERLINK("https://klasma.github.io/Logging_0512/kartor/A 11273-2024 karta.png", "A 11273-2024")</f>
        <v/>
      </c>
      <c r="Y38">
        <f>HYPERLINK("https://klasma.github.io/Logging_0512/kartor_geotiff/A 11273-2024 georefererad karta.tif", "A 11273-2024")</f>
        <v/>
      </c>
      <c r="AA38">
        <f>HYPERLINK("https://klasma.github.io/Logging_0512/klagomål/A 11273-2024 FSC-klagomål.docx", "A 11273-2024")</f>
        <v/>
      </c>
      <c r="AB38">
        <f>HYPERLINK("https://klasma.github.io/Logging_0512/klagomålsmail/A 11273-2024 FSC-klagomål mail.docx", "A 11273-2024")</f>
        <v/>
      </c>
      <c r="AC38">
        <f>HYPERLINK("https://klasma.github.io/Logging_0512/tillsyn/A 11273-2024 tillsynsbegäran.docx", "A 11273-2024")</f>
        <v/>
      </c>
      <c r="AD38">
        <f>HYPERLINK("https://klasma.github.io/Logging_0512/tillsynsmail/A 11273-2024 tillsynsbegäran mail.docx", "A 11273-2024")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46280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46280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46280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46280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46280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46280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46280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46280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46280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46280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46280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46280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46280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46280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46280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46280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46280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46280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46280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46280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46280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46280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46280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46280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33687-2022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44789</v>
      </c>
      <c r="E63" s="1" t="n">
        <v>46280</v>
      </c>
      <c r="F63" t="inlineStr">
        <is>
          <t>ÖSTERGÖTLANDS LÄN</t>
        </is>
      </c>
      <c r="G63" t="inlineStr">
        <is>
          <t>YDRE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44474</v>
      </c>
      <c r="E64" s="1" t="n">
        <v>46280</v>
      </c>
      <c r="F64" t="inlineStr">
        <is>
          <t>ÖSTERGÖTLANDS LÄN</t>
        </is>
      </c>
      <c r="G64" t="inlineStr">
        <is>
          <t>YDRE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44477</v>
      </c>
      <c r="E65" s="1" t="n">
        <v>46280</v>
      </c>
      <c r="F65" t="inlineStr">
        <is>
          <t>ÖSTERGÖTLANDS LÄN</t>
        </is>
      </c>
      <c r="G65" t="inlineStr">
        <is>
          <t>YDRE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65794-2021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46280</v>
      </c>
      <c r="F66" t="inlineStr">
        <is>
          <t>ÖSTERGÖTLANDS LÄN</t>
        </is>
      </c>
      <c r="G66" t="inlineStr">
        <is>
          <t>YDRE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46280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57282-2021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46280</v>
      </c>
      <c r="F68" t="inlineStr">
        <is>
          <t>ÖSTERGÖTLANDS LÄN</t>
        </is>
      </c>
      <c r="G68" t="inlineStr">
        <is>
          <t>YDRE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71035-2021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44538</v>
      </c>
      <c r="E69" s="1" t="n">
        <v>46280</v>
      </c>
      <c r="F69" t="inlineStr">
        <is>
          <t>ÖSTERGÖTLANDS LÄN</t>
        </is>
      </c>
      <c r="G69" t="inlineStr">
        <is>
          <t>YDRE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46280</v>
      </c>
      <c r="F70" t="inlineStr">
        <is>
          <t>ÖSTERGÖTLANDS LÄN</t>
        </is>
      </c>
      <c r="G70" t="inlineStr">
        <is>
          <t>YDRE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46280</v>
      </c>
      <c r="F71" t="inlineStr">
        <is>
          <t>ÖSTERGÖTLANDS LÄN</t>
        </is>
      </c>
      <c r="G71" t="inlineStr">
        <is>
          <t>YDRE</t>
        </is>
      </c>
      <c r="H71" t="inlineStr">
        <is>
          <t>Övriga Aktiebolag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46280</v>
      </c>
      <c r="F72" t="inlineStr">
        <is>
          <t>ÖSTERGÖTLANDS LÄN</t>
        </is>
      </c>
      <c r="G72" t="inlineStr">
        <is>
          <t>YDRE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46280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41536-2022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46280</v>
      </c>
      <c r="F74" t="inlineStr">
        <is>
          <t>ÖSTERGÖTLANDS LÄN</t>
        </is>
      </c>
      <c r="G74" t="inlineStr">
        <is>
          <t>YDRE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44743</v>
      </c>
      <c r="E75" s="1" t="n">
        <v>46280</v>
      </c>
      <c r="F75" t="inlineStr">
        <is>
          <t>ÖSTERGÖTLANDS LÄN</t>
        </is>
      </c>
      <c r="G75" t="inlineStr">
        <is>
          <t>YDRE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46280</v>
      </c>
      <c r="F76" t="inlineStr">
        <is>
          <t>ÖSTERGÖTLANDS LÄN</t>
        </is>
      </c>
      <c r="G76" t="inlineStr">
        <is>
          <t>YDRE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53909-2021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46280</v>
      </c>
      <c r="F77" t="inlineStr">
        <is>
          <t>ÖSTERGÖTLANDS LÄN</t>
        </is>
      </c>
      <c r="G77" t="inlineStr">
        <is>
          <t>YDRE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46280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46280</v>
      </c>
      <c r="F79" t="inlineStr">
        <is>
          <t>ÖSTERGÖTLANDS LÄN</t>
        </is>
      </c>
      <c r="G79" t="inlineStr">
        <is>
          <t>YDRE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46280</v>
      </c>
      <c r="F80" t="inlineStr">
        <is>
          <t>ÖSTERGÖTLANDS LÄN</t>
        </is>
      </c>
      <c r="G80" t="inlineStr">
        <is>
          <t>YDRE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55844-2021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44476</v>
      </c>
      <c r="E81" s="1" t="n">
        <v>46280</v>
      </c>
      <c r="F81" t="inlineStr">
        <is>
          <t>ÖSTERGÖTLANDS LÄN</t>
        </is>
      </c>
      <c r="G81" t="inlineStr">
        <is>
          <t>YDRE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30049-2023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46280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46280</v>
      </c>
      <c r="F83" t="inlineStr">
        <is>
          <t>ÖSTERGÖTLANDS LÄN</t>
        </is>
      </c>
      <c r="G83" t="inlineStr">
        <is>
          <t>YDRE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46280</v>
      </c>
      <c r="F84" t="inlineStr">
        <is>
          <t>ÖSTERGÖTLANDS LÄN</t>
        </is>
      </c>
      <c r="G84" t="inlineStr">
        <is>
          <t>YDRE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71524-2021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46280</v>
      </c>
      <c r="F85" t="inlineStr">
        <is>
          <t>ÖSTERGÖTLANDS LÄN</t>
        </is>
      </c>
      <c r="G85" t="inlineStr">
        <is>
          <t>YDRE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46280</v>
      </c>
      <c r="F86" t="inlineStr">
        <is>
          <t>ÖSTERGÖTLANDS LÄN</t>
        </is>
      </c>
      <c r="G86" t="inlineStr">
        <is>
          <t>YDRE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46280</v>
      </c>
      <c r="F87" t="inlineStr">
        <is>
          <t>ÖSTERGÖTLANDS LÄN</t>
        </is>
      </c>
      <c r="G87" t="inlineStr">
        <is>
          <t>YDRE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46280</v>
      </c>
      <c r="F88" t="inlineStr">
        <is>
          <t>ÖSTERGÖTLANDS LÄN</t>
        </is>
      </c>
      <c r="G88" t="inlineStr">
        <is>
          <t>YDRE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46280</v>
      </c>
      <c r="F89" t="inlineStr">
        <is>
          <t>ÖSTERGÖTLANDS LÄN</t>
        </is>
      </c>
      <c r="G89" t="inlineStr">
        <is>
          <t>YDRE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46280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46006</v>
      </c>
      <c r="E91" s="1" t="n">
        <v>46280</v>
      </c>
      <c r="F91" t="inlineStr">
        <is>
          <t>ÖSTERGÖTLANDS LÄN</t>
        </is>
      </c>
      <c r="G91" t="inlineStr">
        <is>
          <t>YDRE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46280</v>
      </c>
      <c r="F92" t="inlineStr">
        <is>
          <t>ÖSTERGÖTLANDS LÄN</t>
        </is>
      </c>
      <c r="G92" t="inlineStr">
        <is>
          <t>YDRE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45796</v>
      </c>
      <c r="E93" s="1" t="n">
        <v>46280</v>
      </c>
      <c r="F93" t="inlineStr">
        <is>
          <t>ÖSTERGÖTLANDS LÄN</t>
        </is>
      </c>
      <c r="G93" t="inlineStr">
        <is>
          <t>YDRE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46280</v>
      </c>
      <c r="F94" t="inlineStr">
        <is>
          <t>ÖSTERGÖTLANDS LÄN</t>
        </is>
      </c>
      <c r="G94" t="inlineStr">
        <is>
          <t>YDRE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46280</v>
      </c>
      <c r="F95" t="inlineStr">
        <is>
          <t>ÖSTERGÖTLANDS LÄN</t>
        </is>
      </c>
      <c r="G95" t="inlineStr">
        <is>
          <t>YDRE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46280</v>
      </c>
      <c r="F96" t="inlineStr">
        <is>
          <t>ÖSTERGÖTLANDS LÄN</t>
        </is>
      </c>
      <c r="G96" t="inlineStr">
        <is>
          <t>YDRE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46280</v>
      </c>
      <c r="F97" t="inlineStr">
        <is>
          <t>ÖSTERGÖTLANDS LÄN</t>
        </is>
      </c>
      <c r="G97" t="inlineStr">
        <is>
          <t>YDRE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46280</v>
      </c>
      <c r="F98" t="inlineStr">
        <is>
          <t>ÖSTERGÖTLANDS LÄN</t>
        </is>
      </c>
      <c r="G98" t="inlineStr">
        <is>
          <t>YDRE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46280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46280</v>
      </c>
      <c r="F100" t="inlineStr">
        <is>
          <t>ÖSTERGÖTLANDS LÄN</t>
        </is>
      </c>
      <c r="G100" t="inlineStr">
        <is>
          <t>YDRE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46280</v>
      </c>
      <c r="F101" t="inlineStr">
        <is>
          <t>ÖSTERGÖTLANDS LÄN</t>
        </is>
      </c>
      <c r="G101" t="inlineStr">
        <is>
          <t>YDRE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46280</v>
      </c>
      <c r="F102" t="inlineStr">
        <is>
          <t>ÖSTERGÖTLANDS LÄN</t>
        </is>
      </c>
      <c r="G102" t="inlineStr">
        <is>
          <t>YDRE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46280</v>
      </c>
      <c r="F103" t="inlineStr">
        <is>
          <t>ÖSTERGÖTLANDS LÄN</t>
        </is>
      </c>
      <c r="G103" t="inlineStr">
        <is>
          <t>YDRE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46280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46280</v>
      </c>
      <c r="F105" t="inlineStr">
        <is>
          <t>ÖSTERGÖTLANDS LÄN</t>
        </is>
      </c>
      <c r="G105" t="inlineStr">
        <is>
          <t>YDRE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46280</v>
      </c>
      <c r="F106" t="inlineStr">
        <is>
          <t>ÖSTERGÖTLANDS LÄN</t>
        </is>
      </c>
      <c r="G106" t="inlineStr">
        <is>
          <t>YDRE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46280</v>
      </c>
      <c r="F107" t="inlineStr">
        <is>
          <t>ÖSTERGÖTLANDS LÄN</t>
        </is>
      </c>
      <c r="G107" t="inlineStr">
        <is>
          <t>YDRE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45707</v>
      </c>
      <c r="E108" s="1" t="n">
        <v>46280</v>
      </c>
      <c r="F108" t="inlineStr">
        <is>
          <t>ÖSTERGÖTLANDS LÄN</t>
        </is>
      </c>
      <c r="G108" t="inlineStr">
        <is>
          <t>YDRE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46280</v>
      </c>
      <c r="F109" t="inlineStr">
        <is>
          <t>ÖSTERGÖTLANDS LÄN</t>
        </is>
      </c>
      <c r="G109" t="inlineStr">
        <is>
          <t>YDRE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46280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46280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46021</v>
      </c>
      <c r="E112" s="1" t="n">
        <v>46280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45239</v>
      </c>
      <c r="E113" s="1" t="n">
        <v>46280</v>
      </c>
      <c r="F113" t="inlineStr">
        <is>
          <t>ÖSTERGÖTLANDS LÄN</t>
        </is>
      </c>
      <c r="G113" t="inlineStr">
        <is>
          <t>YDRE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46280</v>
      </c>
      <c r="F114" t="inlineStr">
        <is>
          <t>ÖSTERGÖTLANDS LÄN</t>
        </is>
      </c>
      <c r="G114" t="inlineStr">
        <is>
          <t>YDRE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46280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46280</v>
      </c>
      <c r="F116" t="inlineStr">
        <is>
          <t>ÖSTERGÖTLANDS LÄN</t>
        </is>
      </c>
      <c r="G116" t="inlineStr">
        <is>
          <t>YDRE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45231</v>
      </c>
      <c r="E117" s="1" t="n">
        <v>46280</v>
      </c>
      <c r="F117" t="inlineStr">
        <is>
          <t>ÖSTERGÖTLANDS LÄN</t>
        </is>
      </c>
      <c r="G117" t="inlineStr">
        <is>
          <t>YDRE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46280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46280</v>
      </c>
      <c r="F119" t="inlineStr">
        <is>
          <t>ÖSTERGÖTLANDS LÄN</t>
        </is>
      </c>
      <c r="G119" t="inlineStr">
        <is>
          <t>YDRE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44592</v>
      </c>
      <c r="E120" s="1" t="n">
        <v>46280</v>
      </c>
      <c r="F120" t="inlineStr">
        <is>
          <t>ÖSTERGÖTLANDS LÄN</t>
        </is>
      </c>
      <c r="G120" t="inlineStr">
        <is>
          <t>YDRE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46280</v>
      </c>
      <c r="F121" t="inlineStr">
        <is>
          <t>ÖSTERGÖTLANDS LÄN</t>
        </is>
      </c>
      <c r="G121" t="inlineStr">
        <is>
          <t>YDRE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46280</v>
      </c>
      <c r="F122" t="inlineStr">
        <is>
          <t>ÖSTERGÖTLANDS LÄN</t>
        </is>
      </c>
      <c r="G122" t="inlineStr">
        <is>
          <t>YDRE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46280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46280</v>
      </c>
      <c r="F124" t="inlineStr">
        <is>
          <t>ÖSTERGÖTLANDS LÄN</t>
        </is>
      </c>
      <c r="G124" t="inlineStr">
        <is>
          <t>YDRE</t>
        </is>
      </c>
      <c r="H124" t="inlineStr">
        <is>
          <t>Kyrkan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46280</v>
      </c>
      <c r="F125" t="inlineStr">
        <is>
          <t>ÖSTERGÖTLANDS LÄN</t>
        </is>
      </c>
      <c r="G125" t="inlineStr">
        <is>
          <t>YDRE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45596</v>
      </c>
      <c r="E126" s="1" t="n">
        <v>46280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46280</v>
      </c>
      <c r="F127" t="inlineStr">
        <is>
          <t>ÖSTERGÖTLANDS LÄN</t>
        </is>
      </c>
      <c r="G127" t="inlineStr">
        <is>
          <t>YDRE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46280</v>
      </c>
      <c r="F128" t="inlineStr">
        <is>
          <t>ÖSTERGÖTLANDS LÄN</t>
        </is>
      </c>
      <c r="G128" t="inlineStr">
        <is>
          <t>YDRE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46280</v>
      </c>
      <c r="F129" t="inlineStr">
        <is>
          <t>ÖSTERGÖTLANDS LÄN</t>
        </is>
      </c>
      <c r="G129" t="inlineStr">
        <is>
          <t>YDRE</t>
        </is>
      </c>
      <c r="H129" t="inlineStr">
        <is>
          <t>Övriga Aktiebolag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46280</v>
      </c>
      <c r="F130" t="inlineStr">
        <is>
          <t>ÖSTERGÖTLANDS LÄN</t>
        </is>
      </c>
      <c r="G130" t="inlineStr">
        <is>
          <t>YDRE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46280</v>
      </c>
      <c r="F131" t="inlineStr">
        <is>
          <t>ÖSTERGÖTLANDS LÄN</t>
        </is>
      </c>
      <c r="G131" t="inlineStr">
        <is>
          <t>YDRE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46280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46280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46280</v>
      </c>
      <c r="F134" t="inlineStr">
        <is>
          <t>ÖSTERGÖTLANDS LÄN</t>
        </is>
      </c>
      <c r="G134" t="inlineStr">
        <is>
          <t>YDRE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46280</v>
      </c>
      <c r="F135" t="inlineStr">
        <is>
          <t>ÖSTERGÖTLANDS LÄN</t>
        </is>
      </c>
      <c r="G135" t="inlineStr">
        <is>
          <t>YDRE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46280</v>
      </c>
      <c r="F136" t="inlineStr">
        <is>
          <t>ÖSTERGÖTLANDS LÄN</t>
        </is>
      </c>
      <c r="G136" t="inlineStr">
        <is>
          <t>YDRE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46280</v>
      </c>
      <c r="F137" t="inlineStr">
        <is>
          <t>ÖSTERGÖTLANDS LÄN</t>
        </is>
      </c>
      <c r="G137" t="inlineStr">
        <is>
          <t>YDRE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46280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46280</v>
      </c>
      <c r="F139" t="inlineStr">
        <is>
          <t>ÖSTERGÖTLANDS LÄN</t>
        </is>
      </c>
      <c r="G139" t="inlineStr">
        <is>
          <t>YDRE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46280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46280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46280</v>
      </c>
      <c r="F142" t="inlineStr">
        <is>
          <t>ÖSTERGÖTLANDS LÄN</t>
        </is>
      </c>
      <c r="G142" t="inlineStr">
        <is>
          <t>YDRE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46280</v>
      </c>
      <c r="F143" t="inlineStr">
        <is>
          <t>ÖSTERGÖTLANDS LÄN</t>
        </is>
      </c>
      <c r="G143" t="inlineStr">
        <is>
          <t>YDRE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46280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46280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46280</v>
      </c>
      <c r="F146" t="inlineStr">
        <is>
          <t>ÖSTERGÖTLANDS LÄN</t>
        </is>
      </c>
      <c r="G146" t="inlineStr">
        <is>
          <t>YDRE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46280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45419</v>
      </c>
      <c r="E148" s="1" t="n">
        <v>46280</v>
      </c>
      <c r="F148" t="inlineStr">
        <is>
          <t>ÖSTERGÖTLANDS LÄN</t>
        </is>
      </c>
      <c r="G148" t="inlineStr">
        <is>
          <t>YDRE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6293-2026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46055</v>
      </c>
      <c r="E149" s="1" t="n">
        <v>46280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32635-2025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45838</v>
      </c>
      <c r="E150" s="1" t="n">
        <v>46280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46280</v>
      </c>
      <c r="F151" t="inlineStr">
        <is>
          <t>ÖSTERGÖTLANDS LÄN</t>
        </is>
      </c>
      <c r="G151" t="inlineStr">
        <is>
          <t>YDRE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46280</v>
      </c>
      <c r="F152" t="inlineStr">
        <is>
          <t>ÖSTERGÖTLANDS LÄN</t>
        </is>
      </c>
      <c r="G152" t="inlineStr">
        <is>
          <t>YDRE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46280</v>
      </c>
      <c r="F153" t="inlineStr">
        <is>
          <t>ÖSTERGÖTLANDS LÄN</t>
        </is>
      </c>
      <c r="G153" t="inlineStr">
        <is>
          <t>YDRE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46280</v>
      </c>
      <c r="F154" t="inlineStr">
        <is>
          <t>ÖSTERGÖTLANDS LÄN</t>
        </is>
      </c>
      <c r="G154" t="inlineStr">
        <is>
          <t>YDRE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46086-2025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45924</v>
      </c>
      <c r="E155" s="1" t="n">
        <v>46280</v>
      </c>
      <c r="F155" t="inlineStr">
        <is>
          <t>ÖSTERGÖTLANDS LÄN</t>
        </is>
      </c>
      <c r="G155" t="inlineStr">
        <is>
          <t>YDRE</t>
        </is>
      </c>
      <c r="H155" t="inlineStr">
        <is>
          <t>Övriga Aktiebolag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46280</v>
      </c>
      <c r="F156" t="inlineStr">
        <is>
          <t>ÖSTERGÖTLANDS LÄN</t>
        </is>
      </c>
      <c r="G156" t="inlineStr">
        <is>
          <t>YDRE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45278</v>
      </c>
      <c r="E157" s="1" t="n">
        <v>46280</v>
      </c>
      <c r="F157" t="inlineStr">
        <is>
          <t>ÖSTERGÖTLANDS LÄN</t>
        </is>
      </c>
      <c r="G157" t="inlineStr">
        <is>
          <t>YDRE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46280</v>
      </c>
      <c r="F158" t="inlineStr">
        <is>
          <t>ÖSTERGÖTLANDS LÄN</t>
        </is>
      </c>
      <c r="G158" t="inlineStr">
        <is>
          <t>YDRE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46280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46280</v>
      </c>
      <c r="F160" t="inlineStr">
        <is>
          <t>ÖSTERGÖTLANDS LÄN</t>
        </is>
      </c>
      <c r="G160" t="inlineStr">
        <is>
          <t>YDRE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46280</v>
      </c>
      <c r="F161" t="inlineStr">
        <is>
          <t>ÖSTERGÖTLANDS LÄN</t>
        </is>
      </c>
      <c r="G161" t="inlineStr">
        <is>
          <t>YDRE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46280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46280</v>
      </c>
      <c r="F163" t="inlineStr">
        <is>
          <t>ÖSTERGÖTLANDS LÄN</t>
        </is>
      </c>
      <c r="G163" t="inlineStr">
        <is>
          <t>YDRE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46280</v>
      </c>
      <c r="F164" t="inlineStr">
        <is>
          <t>ÖSTERGÖTLANDS LÄN</t>
        </is>
      </c>
      <c r="G164" t="inlineStr">
        <is>
          <t>YDRE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46280</v>
      </c>
      <c r="F165" t="inlineStr">
        <is>
          <t>ÖSTERGÖTLANDS LÄN</t>
        </is>
      </c>
      <c r="G165" t="inlineStr">
        <is>
          <t>YDRE</t>
        </is>
      </c>
      <c r="H165" t="inlineStr">
        <is>
          <t>Övriga Aktiebolag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46280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46280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46280</v>
      </c>
      <c r="F168" t="inlineStr">
        <is>
          <t>ÖSTERGÖTLANDS LÄN</t>
        </is>
      </c>
      <c r="G168" t="inlineStr">
        <is>
          <t>YDRE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45769</v>
      </c>
      <c r="E169" s="1" t="n">
        <v>46280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46280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46280</v>
      </c>
      <c r="F171" t="inlineStr">
        <is>
          <t>ÖSTERGÖTLANDS LÄN</t>
        </is>
      </c>
      <c r="G171" t="inlineStr">
        <is>
          <t>YDRE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62815-2021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46280</v>
      </c>
      <c r="F172" t="inlineStr">
        <is>
          <t>ÖSTERGÖTLANDS LÄN</t>
        </is>
      </c>
      <c r="G172" t="inlineStr">
        <is>
          <t>YDRE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45000</v>
      </c>
      <c r="E173" s="1" t="n">
        <v>46280</v>
      </c>
      <c r="F173" t="inlineStr">
        <is>
          <t>ÖSTERGÖTLANDS LÄN</t>
        </is>
      </c>
      <c r="G173" t="inlineStr">
        <is>
          <t>YDRE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46280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46280</v>
      </c>
      <c r="F175" t="inlineStr">
        <is>
          <t>ÖSTERGÖTLANDS LÄN</t>
        </is>
      </c>
      <c r="G175" t="inlineStr">
        <is>
          <t>YDRE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17309-2024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45414</v>
      </c>
      <c r="E176" s="1" t="n">
        <v>46280</v>
      </c>
      <c r="F176" t="inlineStr">
        <is>
          <t>ÖSTERGÖTLANDS LÄN</t>
        </is>
      </c>
      <c r="G176" t="inlineStr">
        <is>
          <t>YDRE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46280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46280</v>
      </c>
      <c r="F178" t="inlineStr">
        <is>
          <t>ÖSTERGÖTLANDS LÄN</t>
        </is>
      </c>
      <c r="G178" t="inlineStr">
        <is>
          <t>YDRE</t>
        </is>
      </c>
      <c r="H178" t="inlineStr">
        <is>
          <t>Övriga Aktiebolag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46280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46280</v>
      </c>
      <c r="F180" t="inlineStr">
        <is>
          <t>ÖSTERGÖTLANDS LÄN</t>
        </is>
      </c>
      <c r="G180" t="inlineStr">
        <is>
          <t>YDRE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45940</v>
      </c>
      <c r="E181" s="1" t="n">
        <v>46280</v>
      </c>
      <c r="F181" t="inlineStr">
        <is>
          <t>ÖSTERGÖTLANDS LÄN</t>
        </is>
      </c>
      <c r="G181" t="inlineStr">
        <is>
          <t>YDRE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46280</v>
      </c>
      <c r="F182" t="inlineStr">
        <is>
          <t>ÖSTERGÖTLANDS LÄN</t>
        </is>
      </c>
      <c r="G182" t="inlineStr">
        <is>
          <t>YDRE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46280</v>
      </c>
      <c r="F183" t="inlineStr">
        <is>
          <t>ÖSTERGÖTLANDS LÄN</t>
        </is>
      </c>
      <c r="G183" t="inlineStr">
        <is>
          <t>YDRE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46280</v>
      </c>
      <c r="F184" t="inlineStr">
        <is>
          <t>ÖSTERGÖTLANDS LÄN</t>
        </is>
      </c>
      <c r="G184" t="inlineStr">
        <is>
          <t>YDRE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62485-2021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46280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46280</v>
      </c>
      <c r="F186" t="inlineStr">
        <is>
          <t>ÖSTERGÖTLANDS LÄN</t>
        </is>
      </c>
      <c r="G186" t="inlineStr">
        <is>
          <t>YDRE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46280</v>
      </c>
      <c r="F187" t="inlineStr">
        <is>
          <t>ÖSTERGÖTLANDS LÄN</t>
        </is>
      </c>
      <c r="G187" t="inlineStr">
        <is>
          <t>YDRE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46280</v>
      </c>
      <c r="F188" t="inlineStr">
        <is>
          <t>ÖSTERGÖTLANDS LÄN</t>
        </is>
      </c>
      <c r="G188" t="inlineStr">
        <is>
          <t>YDRE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46280</v>
      </c>
      <c r="F189" t="inlineStr">
        <is>
          <t>ÖSTERGÖTLANDS LÄN</t>
        </is>
      </c>
      <c r="G189" t="inlineStr">
        <is>
          <t>YDRE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45434</v>
      </c>
      <c r="E190" s="1" t="n">
        <v>46280</v>
      </c>
      <c r="F190" t="inlineStr">
        <is>
          <t>ÖSTERGÖTLANDS LÄN</t>
        </is>
      </c>
      <c r="G190" t="inlineStr">
        <is>
          <t>YDRE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45218</v>
      </c>
      <c r="E191" s="1" t="n">
        <v>46280</v>
      </c>
      <c r="F191" t="inlineStr">
        <is>
          <t>ÖSTERGÖTLANDS LÄN</t>
        </is>
      </c>
      <c r="G191" t="inlineStr">
        <is>
          <t>YDRE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46280</v>
      </c>
      <c r="F192" t="inlineStr">
        <is>
          <t>ÖSTERGÖTLANDS LÄN</t>
        </is>
      </c>
      <c r="G192" t="inlineStr">
        <is>
          <t>YDRE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46280</v>
      </c>
      <c r="F193" t="inlineStr">
        <is>
          <t>ÖSTERGÖTLANDS LÄN</t>
        </is>
      </c>
      <c r="G193" t="inlineStr">
        <is>
          <t>YDRE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46280</v>
      </c>
      <c r="F194" t="inlineStr">
        <is>
          <t>ÖSTERGÖTLANDS LÄN</t>
        </is>
      </c>
      <c r="G194" t="inlineStr">
        <is>
          <t>YDRE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46280</v>
      </c>
      <c r="F195" t="inlineStr">
        <is>
          <t>ÖSTERGÖTLANDS LÄN</t>
        </is>
      </c>
      <c r="G195" t="inlineStr">
        <is>
          <t>YDRE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46097</v>
      </c>
      <c r="E196" s="1" t="n">
        <v>46280</v>
      </c>
      <c r="F196" t="inlineStr">
        <is>
          <t>ÖSTERGÖTLANDS LÄN</t>
        </is>
      </c>
      <c r="G196" t="inlineStr">
        <is>
          <t>YDRE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46099</v>
      </c>
      <c r="E197" s="1" t="n">
        <v>46280</v>
      </c>
      <c r="F197" t="inlineStr">
        <is>
          <t>ÖSTERGÖTLANDS LÄN</t>
        </is>
      </c>
      <c r="G197" t="inlineStr">
        <is>
          <t>YDRE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45194</v>
      </c>
      <c r="E198" s="1" t="n">
        <v>46280</v>
      </c>
      <c r="F198" t="inlineStr">
        <is>
          <t>ÖSTERGÖTLANDS LÄN</t>
        </is>
      </c>
      <c r="G198" t="inlineStr">
        <is>
          <t>YDRE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45666</v>
      </c>
      <c r="E199" s="1" t="n">
        <v>46280</v>
      </c>
      <c r="F199" t="inlineStr">
        <is>
          <t>ÖSTERGÖTLANDS LÄN</t>
        </is>
      </c>
      <c r="G199" t="inlineStr">
        <is>
          <t>YDRE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46280</v>
      </c>
      <c r="F200" t="inlineStr">
        <is>
          <t>ÖSTERGÖTLANDS LÄN</t>
        </is>
      </c>
      <c r="G200" t="inlineStr">
        <is>
          <t>YDRE</t>
        </is>
      </c>
      <c r="I200" t="n">
        <v>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46280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45954</v>
      </c>
      <c r="E202" s="1" t="n">
        <v>46280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46280</v>
      </c>
      <c r="F203" t="inlineStr">
        <is>
          <t>ÖSTERGÖTLANDS LÄN</t>
        </is>
      </c>
      <c r="G203" t="inlineStr">
        <is>
          <t>YDRE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46280</v>
      </c>
      <c r="F204" t="inlineStr">
        <is>
          <t>ÖSTERGÖTLANDS LÄN</t>
        </is>
      </c>
      <c r="G204" t="inlineStr">
        <is>
          <t>YDRE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32050-2023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46280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44966</v>
      </c>
      <c r="E206" s="1" t="n">
        <v>46280</v>
      </c>
      <c r="F206" t="inlineStr">
        <is>
          <t>ÖSTERGÖTLANDS LÄN</t>
        </is>
      </c>
      <c r="G206" t="inlineStr">
        <is>
          <t>YDRE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46280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46280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46280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46116</v>
      </c>
      <c r="E210" s="1" t="n">
        <v>46280</v>
      </c>
      <c r="F210" t="inlineStr">
        <is>
          <t>ÖSTERGÖTLANDS LÄN</t>
        </is>
      </c>
      <c r="G210" t="inlineStr">
        <is>
          <t>YDRE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46280</v>
      </c>
      <c r="F211" t="inlineStr">
        <is>
          <t>ÖSTERGÖTLANDS LÄN</t>
        </is>
      </c>
      <c r="G211" t="inlineStr">
        <is>
          <t>YDRE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46280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46280</v>
      </c>
      <c r="F213" t="inlineStr">
        <is>
          <t>ÖSTERGÖTLANDS LÄN</t>
        </is>
      </c>
      <c r="G213" t="inlineStr">
        <is>
          <t>YDRE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46280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46280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46280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46280</v>
      </c>
      <c r="F217" t="inlineStr">
        <is>
          <t>ÖSTERGÖTLANDS LÄN</t>
        </is>
      </c>
      <c r="G217" t="inlineStr">
        <is>
          <t>YDRE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46280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46280</v>
      </c>
      <c r="F219" t="inlineStr">
        <is>
          <t>ÖSTERGÖTLANDS LÄN</t>
        </is>
      </c>
      <c r="G219" t="inlineStr">
        <is>
          <t>YDRE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46280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46280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46280</v>
      </c>
      <c r="F222" t="inlineStr">
        <is>
          <t>ÖSTERGÖTLANDS LÄN</t>
        </is>
      </c>
      <c r="G222" t="inlineStr">
        <is>
          <t>YDRE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46125</v>
      </c>
      <c r="E223" s="1" t="n">
        <v>46280</v>
      </c>
      <c r="F223" t="inlineStr">
        <is>
          <t>ÖSTERGÖTLANDS LÄN</t>
        </is>
      </c>
      <c r="G223" t="inlineStr">
        <is>
          <t>YDRE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46280</v>
      </c>
      <c r="F224" t="inlineStr">
        <is>
          <t>ÖSTERGÖTLANDS LÄN</t>
        </is>
      </c>
      <c r="G224" t="inlineStr">
        <is>
          <t>YDRE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46126</v>
      </c>
      <c r="E225" s="1" t="n">
        <v>46280</v>
      </c>
      <c r="F225" t="inlineStr">
        <is>
          <t>ÖSTERGÖTLANDS LÄN</t>
        </is>
      </c>
      <c r="G225" t="inlineStr">
        <is>
          <t>YDRE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46280</v>
      </c>
      <c r="F226" t="inlineStr">
        <is>
          <t>ÖSTERGÖTLANDS LÄN</t>
        </is>
      </c>
      <c r="G226" t="inlineStr">
        <is>
          <t>YDRE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46280</v>
      </c>
      <c r="F227" t="inlineStr">
        <is>
          <t>ÖSTERGÖTLANDS LÄN</t>
        </is>
      </c>
      <c r="G227" t="inlineStr">
        <is>
          <t>YDRE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46280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46280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46280</v>
      </c>
      <c r="F230" t="inlineStr">
        <is>
          <t>ÖSTERGÖTLANDS LÄN</t>
        </is>
      </c>
      <c r="G230" t="inlineStr">
        <is>
          <t>YDRE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46280</v>
      </c>
      <c r="F231" t="inlineStr">
        <is>
          <t>ÖSTERGÖTLANDS LÄN</t>
        </is>
      </c>
      <c r="G231" t="inlineStr">
        <is>
          <t>YDRE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46280</v>
      </c>
      <c r="F232" t="inlineStr">
        <is>
          <t>ÖSTERGÖTLANDS LÄN</t>
        </is>
      </c>
      <c r="G232" t="inlineStr">
        <is>
          <t>YDRE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44980</v>
      </c>
      <c r="E233" s="1" t="n">
        <v>46280</v>
      </c>
      <c r="F233" t="inlineStr">
        <is>
          <t>ÖSTERGÖTLANDS LÄN</t>
        </is>
      </c>
      <c r="G233" t="inlineStr">
        <is>
          <t>YDRE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45616</v>
      </c>
      <c r="E234" s="1" t="n">
        <v>46280</v>
      </c>
      <c r="F234" t="inlineStr">
        <is>
          <t>ÖSTERGÖTLANDS LÄN</t>
        </is>
      </c>
      <c r="G234" t="inlineStr">
        <is>
          <t>YDRE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46280</v>
      </c>
      <c r="F235" t="inlineStr">
        <is>
          <t>ÖSTERGÖTLANDS LÄN</t>
        </is>
      </c>
      <c r="G235" t="inlineStr">
        <is>
          <t>YDRE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44480</v>
      </c>
      <c r="E236" s="1" t="n">
        <v>46280</v>
      </c>
      <c r="F236" t="inlineStr">
        <is>
          <t>ÖSTERGÖTLANDS LÄN</t>
        </is>
      </c>
      <c r="G236" t="inlineStr">
        <is>
          <t>YDRE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46280</v>
      </c>
      <c r="F237" t="inlineStr">
        <is>
          <t>ÖSTERGÖTLANDS LÄN</t>
        </is>
      </c>
      <c r="G237" t="inlineStr">
        <is>
          <t>YDRE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46280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46280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44576</v>
      </c>
      <c r="E240" s="1" t="n">
        <v>46280</v>
      </c>
      <c r="F240" t="inlineStr">
        <is>
          <t>ÖSTERGÖTLANDS LÄN</t>
        </is>
      </c>
      <c r="G240" t="inlineStr">
        <is>
          <t>YDRE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46280</v>
      </c>
      <c r="F241" t="inlineStr">
        <is>
          <t>ÖSTERGÖTLANDS LÄN</t>
        </is>
      </c>
      <c r="G241" t="inlineStr">
        <is>
          <t>YDRE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46280</v>
      </c>
      <c r="F242" t="inlineStr">
        <is>
          <t>ÖSTERGÖTLANDS LÄN</t>
        </is>
      </c>
      <c r="G242" t="inlineStr">
        <is>
          <t>YDRE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44635</v>
      </c>
      <c r="E243" s="1" t="n">
        <v>46280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46280</v>
      </c>
      <c r="F244" t="inlineStr">
        <is>
          <t>ÖSTERGÖTLANDS LÄN</t>
        </is>
      </c>
      <c r="G244" t="inlineStr">
        <is>
          <t>YDRE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46280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44789</v>
      </c>
      <c r="E246" s="1" t="n">
        <v>46280</v>
      </c>
      <c r="F246" t="inlineStr">
        <is>
          <t>ÖSTERGÖTLANDS LÄN</t>
        </is>
      </c>
      <c r="G246" t="inlineStr">
        <is>
          <t>YDRE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46280</v>
      </c>
      <c r="F247" t="inlineStr">
        <is>
          <t>ÖSTERGÖTLANDS LÄN</t>
        </is>
      </c>
      <c r="G247" t="inlineStr">
        <is>
          <t>YDRE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46280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46280</v>
      </c>
      <c r="F249" t="inlineStr">
        <is>
          <t>ÖSTERGÖTLANDS LÄN</t>
        </is>
      </c>
      <c r="G249" t="inlineStr">
        <is>
          <t>YDRE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45871</v>
      </c>
      <c r="E250" s="1" t="n">
        <v>46280</v>
      </c>
      <c r="F250" t="inlineStr">
        <is>
          <t>ÖSTERGÖTLANDS LÄN</t>
        </is>
      </c>
      <c r="G250" t="inlineStr">
        <is>
          <t>YDRE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46280</v>
      </c>
      <c r="F251" t="inlineStr">
        <is>
          <t>ÖSTERGÖTLANDS LÄN</t>
        </is>
      </c>
      <c r="G251" t="inlineStr">
        <is>
          <t>YDRE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46280</v>
      </c>
      <c r="F252" t="inlineStr">
        <is>
          <t>ÖSTERGÖTLANDS LÄN</t>
        </is>
      </c>
      <c r="G252" t="inlineStr">
        <is>
          <t>YDRE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45365</v>
      </c>
      <c r="E253" s="1" t="n">
        <v>46280</v>
      </c>
      <c r="F253" t="inlineStr">
        <is>
          <t>ÖSTERGÖTLANDS LÄN</t>
        </is>
      </c>
      <c r="G253" t="inlineStr">
        <is>
          <t>YDRE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59812-2022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46280</v>
      </c>
      <c r="F254" t="inlineStr">
        <is>
          <t>ÖSTERGÖTLANDS LÄN</t>
        </is>
      </c>
      <c r="G254" t="inlineStr">
        <is>
          <t>YDRE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46280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46280</v>
      </c>
      <c r="F256" t="inlineStr">
        <is>
          <t>ÖSTERGÖTLANDS LÄN</t>
        </is>
      </c>
      <c r="G256" t="inlineStr">
        <is>
          <t>YDRE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36711-2023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46280</v>
      </c>
      <c r="F257" t="inlineStr">
        <is>
          <t>ÖSTERGÖTLANDS LÄN</t>
        </is>
      </c>
      <c r="G257" t="inlineStr">
        <is>
          <t>YDRE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45474</v>
      </c>
      <c r="E258" s="1" t="n">
        <v>46280</v>
      </c>
      <c r="F258" t="inlineStr">
        <is>
          <t>ÖSTERGÖTLANDS LÄN</t>
        </is>
      </c>
      <c r="G258" t="inlineStr">
        <is>
          <t>YDRE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46280</v>
      </c>
      <c r="F259" t="inlineStr">
        <is>
          <t>ÖSTERGÖTLANDS LÄN</t>
        </is>
      </c>
      <c r="G259" t="inlineStr">
        <is>
          <t>YDRE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46280</v>
      </c>
      <c r="F260" t="inlineStr">
        <is>
          <t>ÖSTERGÖTLANDS LÄN</t>
        </is>
      </c>
      <c r="G260" t="inlineStr">
        <is>
          <t>YDRE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45647</v>
      </c>
      <c r="E261" s="1" t="n">
        <v>46280</v>
      </c>
      <c r="F261" t="inlineStr">
        <is>
          <t>ÖSTERGÖTLANDS LÄN</t>
        </is>
      </c>
      <c r="G261" t="inlineStr">
        <is>
          <t>YDRE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45634</v>
      </c>
      <c r="E262" s="1" t="n">
        <v>46280</v>
      </c>
      <c r="F262" t="inlineStr">
        <is>
          <t>ÖSTERGÖTLANDS LÄN</t>
        </is>
      </c>
      <c r="G262" t="inlineStr">
        <is>
          <t>YDRE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45406</v>
      </c>
      <c r="E263" s="1" t="n">
        <v>46280</v>
      </c>
      <c r="F263" t="inlineStr">
        <is>
          <t>ÖSTERGÖTLANDS LÄN</t>
        </is>
      </c>
      <c r="G263" t="inlineStr">
        <is>
          <t>YDRE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46280</v>
      </c>
      <c r="F264" t="inlineStr">
        <is>
          <t>ÖSTERGÖTLANDS LÄN</t>
        </is>
      </c>
      <c r="G264" t="inlineStr">
        <is>
          <t>YDRE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46280</v>
      </c>
      <c r="F265" t="inlineStr">
        <is>
          <t>ÖSTERGÖTLANDS LÄN</t>
        </is>
      </c>
      <c r="G265" t="inlineStr">
        <is>
          <t>YDRE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46280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46280</v>
      </c>
      <c r="F267" t="inlineStr">
        <is>
          <t>ÖSTERGÖTLANDS LÄN</t>
        </is>
      </c>
      <c r="G267" t="inlineStr">
        <is>
          <t>YDRE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46280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46280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46146</v>
      </c>
      <c r="E270" s="1" t="n">
        <v>46280</v>
      </c>
      <c r="F270" t="inlineStr">
        <is>
          <t>ÖSTERGÖTLANDS LÄN</t>
        </is>
      </c>
      <c r="G270" t="inlineStr">
        <is>
          <t>YDRE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46280</v>
      </c>
      <c r="F271" t="inlineStr">
        <is>
          <t>ÖSTERGÖTLANDS LÄN</t>
        </is>
      </c>
      <c r="G271" t="inlineStr">
        <is>
          <t>YDRE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46280</v>
      </c>
      <c r="F272" t="inlineStr">
        <is>
          <t>ÖSTERGÖTLANDS LÄN</t>
        </is>
      </c>
      <c r="G272" t="inlineStr">
        <is>
          <t>YDRE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46280</v>
      </c>
      <c r="F273" t="inlineStr">
        <is>
          <t>ÖSTERGÖTLANDS LÄN</t>
        </is>
      </c>
      <c r="G273" t="inlineStr">
        <is>
          <t>YDRE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44600</v>
      </c>
      <c r="E274" s="1" t="n">
        <v>46280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44894</v>
      </c>
      <c r="E275" s="1" t="n">
        <v>46280</v>
      </c>
      <c r="F275" t="inlineStr">
        <is>
          <t>ÖSTERGÖTLANDS LÄN</t>
        </is>
      </c>
      <c r="G275" t="inlineStr">
        <is>
          <t>YDRE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56323-2021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44480</v>
      </c>
      <c r="E276" s="1" t="n">
        <v>46280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  <c r="Z276">
        <f>HYPERLINK("https://klasma.github.io/Logging_0512/knärot/A 56323-2021 karta knärot.png", "A 56323-2021")</f>
        <v/>
      </c>
      <c r="AA276">
        <f>HYPERLINK("https://klasma.github.io/Logging_0512/klagomål/A 56323-2021 FSC-klagomål.docx", "A 56323-2021")</f>
        <v/>
      </c>
      <c r="AB276">
        <f>HYPERLINK("https://klasma.github.io/Logging_0512/klagomålsmail/A 56323-2021 FSC-klagomål mail.docx", "A 56323-2021")</f>
        <v/>
      </c>
      <c r="AC276">
        <f>HYPERLINK("https://klasma.github.io/Logging_0512/tillsyn/A 56323-2021 tillsynsbegäran.docx", "A 56323-2021")</f>
        <v/>
      </c>
      <c r="AD276">
        <f>HYPERLINK("https://klasma.github.io/Logging_0512/tillsynsmail/A 56323-2021 tillsynsbegäran mail.docx", "A 56323-2021")</f>
        <v/>
      </c>
    </row>
    <row r="277" ht="15" customHeight="1">
      <c r="A277" t="inlineStr">
        <is>
          <t>A 35209-2023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46280</v>
      </c>
      <c r="F277" t="inlineStr">
        <is>
          <t>ÖSTERGÖTLANDS LÄN</t>
        </is>
      </c>
      <c r="G277" t="inlineStr">
        <is>
          <t>YDRE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45666</v>
      </c>
      <c r="E278" s="1" t="n">
        <v>46280</v>
      </c>
      <c r="F278" t="inlineStr">
        <is>
          <t>ÖSTERGÖTLANDS LÄN</t>
        </is>
      </c>
      <c r="G278" t="inlineStr">
        <is>
          <t>YDRE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46280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22312-2026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46154</v>
      </c>
      <c r="E280" s="1" t="n">
        <v>46280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45714</v>
      </c>
      <c r="E281" s="1" t="n">
        <v>46280</v>
      </c>
      <c r="F281" t="inlineStr">
        <is>
          <t>ÖSTERGÖTLANDS LÄN</t>
        </is>
      </c>
      <c r="G281" t="inlineStr">
        <is>
          <t>YDRE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2745-2026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46038</v>
      </c>
      <c r="E282" s="1" t="n">
        <v>46280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46280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24780-2026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46171</v>
      </c>
      <c r="E284" s="1" t="n">
        <v>46280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45054</v>
      </c>
      <c r="E285" s="1" t="n">
        <v>46280</v>
      </c>
      <c r="F285" t="inlineStr">
        <is>
          <t>ÖSTERGÖTLANDS LÄN</t>
        </is>
      </c>
      <c r="G285" t="inlineStr">
        <is>
          <t>YDRE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46280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46280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27700-2026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46190</v>
      </c>
      <c r="E288" s="1" t="n">
        <v>46280</v>
      </c>
      <c r="F288" t="inlineStr">
        <is>
          <t>ÖSTERGÖTLANDS LÄN</t>
        </is>
      </c>
      <c r="G288" t="inlineStr">
        <is>
          <t>YDRE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46280</v>
      </c>
      <c r="F289" t="inlineStr">
        <is>
          <t>ÖSTERGÖTLANDS LÄN</t>
        </is>
      </c>
      <c r="G289" t="inlineStr">
        <is>
          <t>YDRE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44502</v>
      </c>
      <c r="E290" s="1" t="n">
        <v>46280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46280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46240</v>
      </c>
      <c r="E292" s="1" t="n">
        <v>46280</v>
      </c>
      <c r="F292" t="inlineStr">
        <is>
          <t>ÖSTERGÖTLANDS LÄN</t>
        </is>
      </c>
      <c r="G292" t="inlineStr">
        <is>
          <t>YDRE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46240</v>
      </c>
      <c r="E293" s="1" t="n">
        <v>46280</v>
      </c>
      <c r="F293" t="inlineStr">
        <is>
          <t>ÖSTERGÖTLANDS LÄN</t>
        </is>
      </c>
      <c r="G293" t="inlineStr">
        <is>
          <t>YDRE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45310</v>
      </c>
      <c r="E294" s="1" t="n">
        <v>46280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46280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45428</v>
      </c>
      <c r="E296" s="1" t="n">
        <v>46280</v>
      </c>
      <c r="F296" t="inlineStr">
        <is>
          <t>ÖSTERGÖTLANDS LÄN</t>
        </is>
      </c>
      <c r="G296" t="inlineStr">
        <is>
          <t>YDRE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46280</v>
      </c>
      <c r="F297" t="inlineStr">
        <is>
          <t>ÖSTERGÖTLANDS LÄN</t>
        </is>
      </c>
      <c r="G297" t="inlineStr">
        <is>
          <t>YDRE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46280</v>
      </c>
      <c r="F298" t="inlineStr">
        <is>
          <t>ÖSTERGÖTLANDS LÄN</t>
        </is>
      </c>
      <c r="G298" t="inlineStr">
        <is>
          <t>YDRE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29148-2026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46280</v>
      </c>
      <c r="F299" t="inlineStr">
        <is>
          <t>ÖSTERGÖTLANDS LÄN</t>
        </is>
      </c>
      <c r="G299" t="inlineStr">
        <is>
          <t>YDRE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46280</v>
      </c>
      <c r="F300" t="inlineStr">
        <is>
          <t>ÖSTERGÖTLANDS LÄN</t>
        </is>
      </c>
      <c r="G300" t="inlineStr">
        <is>
          <t>YDRE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46280</v>
      </c>
      <c r="F301" t="inlineStr">
        <is>
          <t>ÖSTERGÖTLANDS LÄN</t>
        </is>
      </c>
      <c r="G301" t="inlineStr">
        <is>
          <t>YDRE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46280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45449-2023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45194</v>
      </c>
      <c r="E303" s="1" t="n">
        <v>46280</v>
      </c>
      <c r="F303" t="inlineStr">
        <is>
          <t>ÖSTERGÖTLANDS LÄN</t>
        </is>
      </c>
      <c r="G303" t="inlineStr">
        <is>
          <t>YDRE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46280</v>
      </c>
      <c r="F304" t="inlineStr">
        <is>
          <t>ÖSTERGÖTLANDS LÄN</t>
        </is>
      </c>
      <c r="G304" t="inlineStr">
        <is>
          <t>YDRE</t>
        </is>
      </c>
      <c r="H304" t="inlineStr">
        <is>
          <t>Kyrkan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46280</v>
      </c>
      <c r="F305" t="inlineStr">
        <is>
          <t>ÖSTERGÖTLANDS LÄN</t>
        </is>
      </c>
      <c r="G305" t="inlineStr">
        <is>
          <t>YDRE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44916</v>
      </c>
      <c r="E306" s="1" t="n">
        <v>46280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46280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44562</v>
      </c>
      <c r="E308" s="1" t="n">
        <v>46280</v>
      </c>
      <c r="F308" t="inlineStr">
        <is>
          <t>ÖSTERGÖTLANDS LÄN</t>
        </is>
      </c>
      <c r="G308" t="inlineStr">
        <is>
          <t>YDRE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45272</v>
      </c>
      <c r="E309" s="1" t="n">
        <v>46280</v>
      </c>
      <c r="F309" t="inlineStr">
        <is>
          <t>ÖSTERGÖTLANDS LÄN</t>
        </is>
      </c>
      <c r="G309" t="inlineStr">
        <is>
          <t>YDRE</t>
        </is>
      </c>
      <c r="H309" t="inlineStr">
        <is>
          <t>Övriga Aktiebolag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46280</v>
      </c>
      <c r="F310" t="inlineStr">
        <is>
          <t>ÖSTERGÖTLANDS LÄN</t>
        </is>
      </c>
      <c r="G310" t="inlineStr">
        <is>
          <t>YDRE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45414</v>
      </c>
      <c r="E311" s="1" t="n">
        <v>46280</v>
      </c>
      <c r="F311" t="inlineStr">
        <is>
          <t>ÖSTERGÖTLANDS LÄN</t>
        </is>
      </c>
      <c r="G311" t="inlineStr">
        <is>
          <t>YDRE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70448-2021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44536</v>
      </c>
      <c r="E312" s="1" t="n">
        <v>46280</v>
      </c>
      <c r="F312" t="inlineStr">
        <is>
          <t>ÖSTERGÖTLANDS LÄN</t>
        </is>
      </c>
      <c r="G312" t="inlineStr">
        <is>
          <t>YDRE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46280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46269</v>
      </c>
      <c r="E314" s="1" t="n">
        <v>46280</v>
      </c>
      <c r="F314" t="inlineStr">
        <is>
          <t>ÖSTERGÖTLANDS LÄN</t>
        </is>
      </c>
      <c r="G314" t="inlineStr">
        <is>
          <t>YDRE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46280</v>
      </c>
      <c r="F315" t="inlineStr">
        <is>
          <t>ÖSTERGÖTLANDS LÄN</t>
        </is>
      </c>
      <c r="G315" t="inlineStr">
        <is>
          <t>YDRE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25844-2023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46280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59811-2022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44908</v>
      </c>
      <c r="E317" s="1" t="n">
        <v>46280</v>
      </c>
      <c r="F317" t="inlineStr">
        <is>
          <t>ÖSTERGÖTLANDS LÄN</t>
        </is>
      </c>
      <c r="G317" t="inlineStr">
        <is>
          <t>YDRE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46280</v>
      </c>
      <c r="F318" t="inlineStr">
        <is>
          <t>ÖSTERGÖTLANDS LÄN</t>
        </is>
      </c>
      <c r="G318" t="inlineStr">
        <is>
          <t>YDRE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46273</v>
      </c>
      <c r="E319" s="1" t="n">
        <v>46280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10699-2022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46280</v>
      </c>
      <c r="F320" t="inlineStr">
        <is>
          <t>ÖSTERGÖTLANDS LÄN</t>
        </is>
      </c>
      <c r="G320" t="inlineStr">
        <is>
          <t>YDRE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46273</v>
      </c>
      <c r="E321" s="1" t="n">
        <v>46280</v>
      </c>
      <c r="F321" t="inlineStr">
        <is>
          <t>ÖSTERGÖTLANDS LÄN</t>
        </is>
      </c>
      <c r="G321" t="inlineStr">
        <is>
          <t>YDRE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46273</v>
      </c>
      <c r="E322" s="1" t="n">
        <v>46280</v>
      </c>
      <c r="F322" t="inlineStr">
        <is>
          <t>ÖSTERGÖTLANDS LÄN</t>
        </is>
      </c>
      <c r="G322" t="inlineStr">
        <is>
          <t>YDRE</t>
        </is>
      </c>
      <c r="I322" t="n">
        <v>15.6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46275</v>
      </c>
      <c r="E323" s="1" t="n">
        <v>46280</v>
      </c>
      <c r="F323" t="inlineStr">
        <is>
          <t>ÖSTERGÖTLANDS LÄN</t>
        </is>
      </c>
      <c r="G323" t="inlineStr">
        <is>
          <t>YDRE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46280</v>
      </c>
      <c r="F324" t="inlineStr">
        <is>
          <t>ÖSTERGÖTLANDS LÄN</t>
        </is>
      </c>
      <c r="G324" t="inlineStr">
        <is>
          <t>YDRE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11790-2023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44994</v>
      </c>
      <c r="E325" s="1" t="n">
        <v>46280</v>
      </c>
      <c r="F325" t="inlineStr">
        <is>
          <t>ÖSTERGÖTLANDS LÄN</t>
        </is>
      </c>
      <c r="G325" t="inlineStr">
        <is>
          <t>YDRE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46280</v>
      </c>
      <c r="F326" t="inlineStr">
        <is>
          <t>ÖSTERGÖTLANDS LÄN</t>
        </is>
      </c>
      <c r="G326" t="inlineStr">
        <is>
          <t>YDRE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46280</v>
      </c>
      <c r="F327" t="inlineStr">
        <is>
          <t>ÖSTERGÖTLANDS LÄN</t>
        </is>
      </c>
      <c r="G327" t="inlineStr">
        <is>
          <t>YDRE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46280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46280</v>
      </c>
      <c r="F329" t="inlineStr">
        <is>
          <t>ÖSTERGÖTLANDS LÄN</t>
        </is>
      </c>
      <c r="G329" t="inlineStr">
        <is>
          <t>YDRE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45583</v>
      </c>
      <c r="E330" s="1" t="n">
        <v>46280</v>
      </c>
      <c r="F330" t="inlineStr">
        <is>
          <t>ÖSTERGÖTLANDS LÄN</t>
        </is>
      </c>
      <c r="G330" t="inlineStr">
        <is>
          <t>YDRE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46280</v>
      </c>
      <c r="F331" t="inlineStr">
        <is>
          <t>ÖSTERGÖTLANDS LÄN</t>
        </is>
      </c>
      <c r="G331" t="inlineStr">
        <is>
          <t>YDRE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46280</v>
      </c>
      <c r="F332" t="inlineStr">
        <is>
          <t>ÖSTERGÖTLANDS LÄN</t>
        </is>
      </c>
      <c r="G332" t="inlineStr">
        <is>
          <t>YDRE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46280</v>
      </c>
      <c r="F333" t="inlineStr">
        <is>
          <t>ÖSTERGÖTLANDS LÄN</t>
        </is>
      </c>
      <c r="G333" t="inlineStr">
        <is>
          <t>YDRE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44572</v>
      </c>
      <c r="E334" s="1" t="n">
        <v>46280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59407-2021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44491</v>
      </c>
      <c r="E335" s="1" t="n">
        <v>46280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61636-2021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44501</v>
      </c>
      <c r="E336" s="1" t="n">
        <v>46280</v>
      </c>
      <c r="F336" t="inlineStr">
        <is>
          <t>ÖSTERGÖTLANDS LÄN</t>
        </is>
      </c>
      <c r="G336" t="inlineStr">
        <is>
          <t>YDRE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46280</v>
      </c>
      <c r="F337" t="inlineStr">
        <is>
          <t>ÖSTERGÖTLANDS LÄN</t>
        </is>
      </c>
      <c r="G337" t="inlineStr">
        <is>
          <t>YDRE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45335</v>
      </c>
      <c r="E338" s="1" t="n">
        <v>46280</v>
      </c>
      <c r="F338" t="inlineStr">
        <is>
          <t>ÖSTERGÖTLANDS LÄN</t>
        </is>
      </c>
      <c r="G338" t="inlineStr">
        <is>
          <t>YDRE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45575</v>
      </c>
      <c r="E339" s="1" t="n">
        <v>46280</v>
      </c>
      <c r="F339" t="inlineStr">
        <is>
          <t>ÖSTERGÖTLANDS LÄN</t>
        </is>
      </c>
      <c r="G339" t="inlineStr">
        <is>
          <t>YDRE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46280</v>
      </c>
      <c r="F340" t="inlineStr">
        <is>
          <t>ÖSTERGÖTLANDS LÄN</t>
        </is>
      </c>
      <c r="G340" t="inlineStr">
        <is>
          <t>YDRE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21982-2022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44711</v>
      </c>
      <c r="E341" s="1" t="n">
        <v>46280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46280</v>
      </c>
      <c r="F342" t="inlineStr">
        <is>
          <t>ÖSTERGÖTLANDS LÄN</t>
        </is>
      </c>
      <c r="G342" t="inlineStr">
        <is>
          <t>YDRE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24637-2024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45460</v>
      </c>
      <c r="E343" s="1" t="n">
        <v>46280</v>
      </c>
      <c r="F343" t="inlineStr">
        <is>
          <t>ÖSTERGÖTLANDS LÄN</t>
        </is>
      </c>
      <c r="G343" t="inlineStr">
        <is>
          <t>YDRE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45580</v>
      </c>
      <c r="E344" s="1" t="n">
        <v>46280</v>
      </c>
      <c r="F344" t="inlineStr">
        <is>
          <t>ÖSTERGÖTLANDS LÄN</t>
        </is>
      </c>
      <c r="G344" t="inlineStr">
        <is>
          <t>YDRE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46280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46280</v>
      </c>
      <c r="F346" t="inlineStr">
        <is>
          <t>ÖSTERGÖTLANDS LÄN</t>
        </is>
      </c>
      <c r="G346" t="inlineStr">
        <is>
          <t>YDRE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45664</v>
      </c>
      <c r="E347" s="1" t="n">
        <v>46280</v>
      </c>
      <c r="F347" t="inlineStr">
        <is>
          <t>ÖSTERGÖTLANDS LÄN</t>
        </is>
      </c>
      <c r="G347" t="inlineStr">
        <is>
          <t>YDRE</t>
        </is>
      </c>
      <c r="I347" t="n">
        <v>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45436</v>
      </c>
      <c r="E348" s="1" t="n">
        <v>46280</v>
      </c>
      <c r="F348" t="inlineStr">
        <is>
          <t>ÖSTERGÖTLANDS LÄN</t>
        </is>
      </c>
      <c r="G348" t="inlineStr">
        <is>
          <t>YDRE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68983-2021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44530</v>
      </c>
      <c r="E349" s="1" t="n">
        <v>46280</v>
      </c>
      <c r="F349" t="inlineStr">
        <is>
          <t>ÖSTERGÖTLANDS LÄN</t>
        </is>
      </c>
      <c r="G349" t="inlineStr">
        <is>
          <t>YDRE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61257-2023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46280</v>
      </c>
      <c r="F350" t="inlineStr">
        <is>
          <t>ÖSTERGÖTLANDS LÄN</t>
        </is>
      </c>
      <c r="G350" t="inlineStr">
        <is>
          <t>YDRE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45649</v>
      </c>
      <c r="E351" s="1" t="n">
        <v>46280</v>
      </c>
      <c r="F351" t="inlineStr">
        <is>
          <t>ÖSTERGÖTLANDS LÄN</t>
        </is>
      </c>
      <c r="G351" t="inlineStr">
        <is>
          <t>YDRE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14953-2024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45398</v>
      </c>
      <c r="E352" s="1" t="n">
        <v>46280</v>
      </c>
      <c r="F352" t="inlineStr">
        <is>
          <t>ÖSTERGÖTLANDS LÄN</t>
        </is>
      </c>
      <c r="G352" t="inlineStr">
        <is>
          <t>YDRE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46280</v>
      </c>
      <c r="F353" t="inlineStr">
        <is>
          <t>ÖSTERGÖTLANDS LÄN</t>
        </is>
      </c>
      <c r="G353" t="inlineStr">
        <is>
          <t>YDRE</t>
        </is>
      </c>
      <c r="I353" t="n">
        <v>10.2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45762</v>
      </c>
      <c r="E354" s="1" t="n">
        <v>46280</v>
      </c>
      <c r="F354" t="inlineStr">
        <is>
          <t>ÖSTERGÖTLANDS LÄN</t>
        </is>
      </c>
      <c r="G354" t="inlineStr">
        <is>
          <t>YDRE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46280</v>
      </c>
      <c r="F355" t="inlineStr">
        <is>
          <t>ÖSTERGÖTLANDS LÄN</t>
        </is>
      </c>
      <c r="G355" t="inlineStr">
        <is>
          <t>YDRE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46280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46280</v>
      </c>
      <c r="F357" t="inlineStr">
        <is>
          <t>ÖSTERGÖTLANDS LÄN</t>
        </is>
      </c>
      <c r="G357" t="inlineStr">
        <is>
          <t>YDRE</t>
        </is>
      </c>
      <c r="H357" t="inlineStr">
        <is>
          <t>Kyrkan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59589-2024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45638</v>
      </c>
      <c r="E358" s="1" t="n">
        <v>46280</v>
      </c>
      <c r="F358" t="inlineStr">
        <is>
          <t>ÖSTERGÖTLANDS LÄN</t>
        </is>
      </c>
      <c r="G358" t="inlineStr">
        <is>
          <t>YDRE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45414</v>
      </c>
      <c r="E359" s="1" t="n">
        <v>46280</v>
      </c>
      <c r="F359" t="inlineStr">
        <is>
          <t>ÖSTERGÖTLANDS LÄN</t>
        </is>
      </c>
      <c r="G359" t="inlineStr">
        <is>
          <t>YDRE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45334</v>
      </c>
      <c r="E360" s="1" t="n">
        <v>46280</v>
      </c>
      <c r="F360" t="inlineStr">
        <is>
          <t>ÖSTERGÖTLANDS LÄN</t>
        </is>
      </c>
      <c r="G360" t="inlineStr">
        <is>
          <t>YDRE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44816</v>
      </c>
      <c r="E361" s="1" t="n">
        <v>46280</v>
      </c>
      <c r="F361" t="inlineStr">
        <is>
          <t>ÖSTERGÖTLANDS LÄN</t>
        </is>
      </c>
      <c r="G361" t="inlineStr">
        <is>
          <t>YDRE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45016</v>
      </c>
      <c r="E362" s="1" t="n">
        <v>46280</v>
      </c>
      <c r="F362" t="inlineStr">
        <is>
          <t>ÖSTERGÖTLANDS LÄN</t>
        </is>
      </c>
      <c r="G362" t="inlineStr">
        <is>
          <t>YDRE</t>
        </is>
      </c>
      <c r="H362" t="inlineStr">
        <is>
          <t>Övriga Aktiebolag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14645-2022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44655</v>
      </c>
      <c r="E363" s="1" t="n">
        <v>46280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45348</v>
      </c>
      <c r="E364" s="1" t="n">
        <v>46280</v>
      </c>
      <c r="F364" t="inlineStr">
        <is>
          <t>ÖSTERGÖTLANDS LÄN</t>
        </is>
      </c>
      <c r="G364" t="inlineStr">
        <is>
          <t>YDRE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46280</v>
      </c>
      <c r="F365" t="inlineStr">
        <is>
          <t>ÖSTERGÖTLANDS LÄN</t>
        </is>
      </c>
      <c r="G365" t="inlineStr">
        <is>
          <t>YDRE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46280</v>
      </c>
      <c r="F366" t="inlineStr">
        <is>
          <t>ÖSTERGÖTLANDS LÄN</t>
        </is>
      </c>
      <c r="G366" t="inlineStr">
        <is>
          <t>YDRE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44987</v>
      </c>
      <c r="E367" s="1" t="n">
        <v>46280</v>
      </c>
      <c r="F367" t="inlineStr">
        <is>
          <t>ÖSTERGÖTLANDS LÄN</t>
        </is>
      </c>
      <c r="G367" t="inlineStr">
        <is>
          <t>YDRE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46280</v>
      </c>
      <c r="F368" t="inlineStr">
        <is>
          <t>ÖSTERGÖTLANDS LÄN</t>
        </is>
      </c>
      <c r="G368" t="inlineStr">
        <is>
          <t>YDRE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44908</v>
      </c>
      <c r="E369" s="1" t="n">
        <v>46280</v>
      </c>
      <c r="F369" t="inlineStr">
        <is>
          <t>ÖSTERGÖTLANDS LÄN</t>
        </is>
      </c>
      <c r="G369" t="inlineStr">
        <is>
          <t>YDRE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45634</v>
      </c>
      <c r="E370" s="1" t="n">
        <v>46280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45218</v>
      </c>
      <c r="E371" s="1" t="n">
        <v>46280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45414</v>
      </c>
      <c r="E372" s="1" t="n">
        <v>46280</v>
      </c>
      <c r="F372" t="inlineStr">
        <is>
          <t>ÖSTERGÖTLANDS LÄN</t>
        </is>
      </c>
      <c r="G372" t="inlineStr">
        <is>
          <t>YDRE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14184-2022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44651</v>
      </c>
      <c r="E373" s="1" t="n">
        <v>46280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45395-2022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44844</v>
      </c>
      <c r="E374" s="1" t="n">
        <v>46280</v>
      </c>
      <c r="F374" t="inlineStr">
        <is>
          <t>ÖSTERGÖTLANDS LÄN</t>
        </is>
      </c>
      <c r="G374" t="inlineStr">
        <is>
          <t>YDRE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60244-2023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45257</v>
      </c>
      <c r="E375" s="1" t="n">
        <v>46280</v>
      </c>
      <c r="F375" t="inlineStr">
        <is>
          <t>ÖSTERGÖTLANDS LÄN</t>
        </is>
      </c>
      <c r="G375" t="inlineStr">
        <is>
          <t>YDRE</t>
        </is>
      </c>
      <c r="I375" t="n">
        <v>17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46280</v>
      </c>
      <c r="F376" t="inlineStr">
        <is>
          <t>ÖSTERGÖTLANDS LÄN</t>
        </is>
      </c>
      <c r="G376" t="inlineStr">
        <is>
          <t>YDRE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46280</v>
      </c>
      <c r="F377" t="inlineStr">
        <is>
          <t>ÖSTERGÖTLANDS LÄN</t>
        </is>
      </c>
      <c r="G377" t="inlineStr">
        <is>
          <t>YDRE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40988-2024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45558</v>
      </c>
      <c r="E378" s="1" t="n">
        <v>46280</v>
      </c>
      <c r="F378" t="inlineStr">
        <is>
          <t>ÖSTERGÖTLANDS LÄN</t>
        </is>
      </c>
      <c r="G378" t="inlineStr">
        <is>
          <t>YDRE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46280</v>
      </c>
      <c r="F379" t="inlineStr">
        <is>
          <t>ÖSTERGÖTLANDS LÄN</t>
        </is>
      </c>
      <c r="G379" t="inlineStr">
        <is>
          <t>YDRE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44994</v>
      </c>
      <c r="E380" s="1" t="n">
        <v>46280</v>
      </c>
      <c r="F380" t="inlineStr">
        <is>
          <t>ÖSTERGÖTLANDS LÄN</t>
        </is>
      </c>
      <c r="G380" t="inlineStr">
        <is>
          <t>YDRE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45273</v>
      </c>
      <c r="E381" s="1" t="n">
        <v>46280</v>
      </c>
      <c r="F381" t="inlineStr">
        <is>
          <t>ÖSTERGÖTLANDS LÄN</t>
        </is>
      </c>
      <c r="G381" t="inlineStr">
        <is>
          <t>YDRE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45692</v>
      </c>
      <c r="E382" s="1" t="n">
        <v>46280</v>
      </c>
      <c r="F382" t="inlineStr">
        <is>
          <t>ÖSTERGÖTLANDS LÄN</t>
        </is>
      </c>
      <c r="G382" t="inlineStr">
        <is>
          <t>YDRE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44670</v>
      </c>
      <c r="E383" s="1" t="n">
        <v>46280</v>
      </c>
      <c r="F383" t="inlineStr">
        <is>
          <t>ÖSTERGÖTLANDS LÄN</t>
        </is>
      </c>
      <c r="G383" t="inlineStr">
        <is>
          <t>YDRE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44953</v>
      </c>
      <c r="E384" s="1" t="n">
        <v>46280</v>
      </c>
      <c r="F384" t="inlineStr">
        <is>
          <t>ÖSTERGÖTLANDS LÄN</t>
        </is>
      </c>
      <c r="G384" t="inlineStr">
        <is>
          <t>YDRE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14101-2022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44651</v>
      </c>
      <c r="E385" s="1" t="n">
        <v>46280</v>
      </c>
      <c r="F385" t="inlineStr">
        <is>
          <t>ÖSTERGÖTLANDS LÄN</t>
        </is>
      </c>
      <c r="G385" t="inlineStr">
        <is>
          <t>YDRE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45671</v>
      </c>
      <c r="E386" s="1" t="n">
        <v>46280</v>
      </c>
      <c r="F386" t="inlineStr">
        <is>
          <t>ÖSTERGÖTLANDS LÄN</t>
        </is>
      </c>
      <c r="G386" t="inlineStr">
        <is>
          <t>YDRE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59296-2021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44490</v>
      </c>
      <c r="E387" s="1" t="n">
        <v>46280</v>
      </c>
      <c r="F387" t="inlineStr">
        <is>
          <t>ÖSTERGÖTLANDS LÄN</t>
        </is>
      </c>
      <c r="G387" t="inlineStr">
        <is>
          <t>YDRE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45159</v>
      </c>
      <c r="E388" s="1" t="n">
        <v>46280</v>
      </c>
      <c r="F388" t="inlineStr">
        <is>
          <t>ÖSTERGÖTLANDS LÄN</t>
        </is>
      </c>
      <c r="G388" t="inlineStr">
        <is>
          <t>YDRE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45096</v>
      </c>
      <c r="E389" s="1" t="n">
        <v>46280</v>
      </c>
      <c r="F389" t="inlineStr">
        <is>
          <t>ÖSTERGÖTLANDS LÄN</t>
        </is>
      </c>
      <c r="G389" t="inlineStr">
        <is>
          <t>YDRE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46280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45736</v>
      </c>
      <c r="E391" s="1" t="n">
        <v>46280</v>
      </c>
      <c r="F391" t="inlineStr">
        <is>
          <t>ÖSTERGÖTLANDS LÄN</t>
        </is>
      </c>
      <c r="G391" t="inlineStr">
        <is>
          <t>YDRE</t>
        </is>
      </c>
      <c r="H391" t="inlineStr">
        <is>
          <t>Övriga Aktiebolag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45748</v>
      </c>
      <c r="E392" s="1" t="n">
        <v>46280</v>
      </c>
      <c r="F392" t="inlineStr">
        <is>
          <t>ÖSTERGÖTLANDS LÄN</t>
        </is>
      </c>
      <c r="G392" t="inlineStr">
        <is>
          <t>YDRE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61205-2023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45264</v>
      </c>
      <c r="E393" s="1" t="n">
        <v>46280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57290-2021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46280</v>
      </c>
      <c r="F394" t="inlineStr">
        <is>
          <t>ÖSTERGÖTLANDS LÄN</t>
        </is>
      </c>
      <c r="G394" t="inlineStr">
        <is>
          <t>YDRE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45492</v>
      </c>
      <c r="E395" s="1" t="n">
        <v>46280</v>
      </c>
      <c r="F395" t="inlineStr">
        <is>
          <t>ÖSTERGÖTLANDS LÄN</t>
        </is>
      </c>
      <c r="G395" t="inlineStr">
        <is>
          <t>YDRE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45468</v>
      </c>
      <c r="E396" s="1" t="n">
        <v>46280</v>
      </c>
      <c r="F396" t="inlineStr">
        <is>
          <t>ÖSTERGÖTLANDS LÄN</t>
        </is>
      </c>
      <c r="G396" t="inlineStr">
        <is>
          <t>YDRE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46280</v>
      </c>
      <c r="F397" t="inlineStr">
        <is>
          <t>ÖSTERGÖTLANDS LÄN</t>
        </is>
      </c>
      <c r="G397" t="inlineStr">
        <is>
          <t>YDRE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46280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46280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46280</v>
      </c>
      <c r="F400" t="inlineStr">
        <is>
          <t>ÖSTERGÖTLANDS LÄN</t>
        </is>
      </c>
      <c r="G400" t="inlineStr">
        <is>
          <t>YDRE</t>
        </is>
      </c>
      <c r="H400" t="inlineStr">
        <is>
          <t>Övriga Aktiebolag</t>
        </is>
      </c>
      <c r="I400" t="n">
        <v>18.2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46280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46280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46280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46280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46280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46280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2026-09-15T08:14:50Z</dcterms:created>
  <dcterms:modified xmlns:dcterms="http://purl.org/dc/terms/" xmlns:xsi="http://www.w3.org/2001/XMLSchema-instance" xsi:type="dcterms:W3CDTF">2026-09-15T08:14:50Z</dcterms:modified>
</cp:coreProperties>
</file>