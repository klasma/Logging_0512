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46229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46229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46229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46229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46229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46229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46229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46582-2023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46229</v>
      </c>
      <c r="F10" t="inlineStr">
        <is>
          <t>ÖSTERGÖTLANDS LÄN</t>
        </is>
      </c>
      <c r="G10" t="inlineStr">
        <is>
          <t>YDRE</t>
        </is>
      </c>
      <c r="I10" t="n">
        <v>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6</v>
      </c>
      <c r="U10" t="n">
        <v>2</v>
      </c>
      <c r="V10" s="2" t="inlineStr">
        <is>
          <t>Knärot
Vedtrappmossa
Kornig nållav</t>
        </is>
      </c>
      <c r="W10">
        <f>HYPERLINK("https://klasma.github.io/Logging_0512/artfynd/A 46582-2023 artfynd.xlsx", "A 46582-2023")</f>
        <v/>
      </c>
      <c r="X10">
        <f>HYPERLINK("https://klasma.github.io/Logging_0512/kartor/A 46582-2023 karta.png", "A 46582-2023")</f>
        <v/>
      </c>
      <c r="Y10">
        <f>HYPERLINK("https://klasma.github.io/Logging_0512/kartor_geotiff/A 46582-2023 georefererad karta.tif", "A 46582-2023")</f>
        <v/>
      </c>
      <c r="Z10">
        <f>HYPERLINK("https://klasma.github.io/Logging_0512/knärot/A 46582-2023 karta knärot.png", "A 46582-2023")</f>
        <v/>
      </c>
      <c r="AA10">
        <f>HYPERLINK("https://klasma.github.io/Logging_0512/klagomål/A 46582-2023 FSC-klagomål.docx", "A 46582-2023")</f>
        <v/>
      </c>
      <c r="AB10">
        <f>HYPERLINK("https://klasma.github.io/Logging_0512/klagomålsmail/A 46582-2023 FSC-klagomål mail.docx", "A 46582-2023")</f>
        <v/>
      </c>
      <c r="AC10">
        <f>HYPERLINK("https://klasma.github.io/Logging_0512/tillsyn/A 46582-2023 tillsynsbegäran.docx", "A 46582-2023")</f>
        <v/>
      </c>
      <c r="AD10">
        <f>HYPERLINK("https://klasma.github.io/Logging_0512/tillsynsmail/A 46582-2023 tillsynsbegäran mail.docx", "A 46582-2023")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46229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46229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46229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46229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46229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46229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Vattenfladdermus</t>
        </is>
      </c>
      <c r="W16">
        <f>HYPERLINK("https://klasma.github.io/Logging_0512/artfynd/A 7621-2024 artfynd.xlsx", "A 7621-2024")</f>
        <v/>
      </c>
      <c r="X16">
        <f>HYPERLINK("https://klasma.github.io/Logging_0512/kartor/A 7621-2024 karta.png", "A 7621-2024")</f>
        <v/>
      </c>
      <c r="Y16">
        <f>HYPERLINK("https://klasma.github.io/Logging_0512/kartor_geotiff/A 7621-2024 georefererad karta.tif", "A 7621-2024")</f>
        <v/>
      </c>
      <c r="AA16">
        <f>HYPERLINK("https://klasma.github.io/Logging_0512/klagomål/A 7621-2024 FSC-klagomål.docx", "A 7621-2024")</f>
        <v/>
      </c>
      <c r="AB16">
        <f>HYPERLINK("https://klasma.github.io/Logging_0512/klagomålsmail/A 7621-2024 FSC-klagomål mail.docx", "A 7621-2024")</f>
        <v/>
      </c>
      <c r="AC16">
        <f>HYPERLINK("https://klasma.github.io/Logging_0512/tillsyn/A 7621-2024 tillsynsbegäran.docx", "A 7621-2024")</f>
        <v/>
      </c>
      <c r="AD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46229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46229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46229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Solvända
Mattlummer</t>
        </is>
      </c>
      <c r="W19">
        <f>HYPERLINK("https://klasma.github.io/Logging_0512/artfynd/A 52667-2022 artfynd.xlsx", "A 52667-2022")</f>
        <v/>
      </c>
      <c r="X19">
        <f>HYPERLINK("https://klasma.github.io/Logging_0512/kartor/A 52667-2022 karta.png", "A 52667-2022")</f>
        <v/>
      </c>
      <c r="Y19">
        <f>HYPERLINK("https://klasma.github.io/Logging_0512/kartor_geotiff/A 52667-2022 georefererad karta.tif", "A 52667-2022")</f>
        <v/>
      </c>
      <c r="AA19">
        <f>HYPERLINK("https://klasma.github.io/Logging_0512/klagomål/A 52667-2022 FSC-klagomål.docx", "A 52667-2022")</f>
        <v/>
      </c>
      <c r="AB19">
        <f>HYPERLINK("https://klasma.github.io/Logging_0512/klagomålsmail/A 52667-2022 FSC-klagomål mail.docx", "A 52667-2022")</f>
        <v/>
      </c>
      <c r="AC19">
        <f>HYPERLINK("https://klasma.github.io/Logging_0512/tillsyn/A 52667-2022 tillsynsbegäran.docx", "A 52667-2022")</f>
        <v/>
      </c>
      <c r="AD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46229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46229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46229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46229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46229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46229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46229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46229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45765-2025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46229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Sommarfibbla</t>
        </is>
      </c>
      <c r="W28">
        <f>HYPERLINK("https://klasma.github.io/Logging_0512/artfynd/A 45765-2025 artfynd.xlsx", "A 45765-2025")</f>
        <v/>
      </c>
      <c r="X28">
        <f>HYPERLINK("https://klasma.github.io/Logging_0512/kartor/A 45765-2025 karta.png", "A 45765-2025")</f>
        <v/>
      </c>
      <c r="Y28">
        <f>HYPERLINK("https://klasma.github.io/Logging_0512/kartor_geotiff/A 45765-2025 georefererad karta.tif", "A 45765-2025")</f>
        <v/>
      </c>
      <c r="AA28">
        <f>HYPERLINK("https://klasma.github.io/Logging_0512/klagomål/A 45765-2025 FSC-klagomål.docx", "A 45765-2025")</f>
        <v/>
      </c>
      <c r="AB28">
        <f>HYPERLINK("https://klasma.github.io/Logging_0512/klagomålsmail/A 45765-2025 FSC-klagomål mail.docx", "A 45765-2025")</f>
        <v/>
      </c>
      <c r="AC28">
        <f>HYPERLINK("https://klasma.github.io/Logging_0512/tillsyn/A 45765-2025 tillsynsbegäran.docx", "A 45765-2025")</f>
        <v/>
      </c>
      <c r="AD28">
        <f>HYPERLINK("https://klasma.github.io/Logging_0512/tillsynsmail/A 45765-2025 tillsynsbegäran mail.docx", "A 45765-2025")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46229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46229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46229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46229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46229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46229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46229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46229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46229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29200-2026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46229</v>
      </c>
      <c r="F38" t="inlineStr">
        <is>
          <t>ÖSTERGÖTLANDS LÄN</t>
        </is>
      </c>
      <c r="G38" t="inlineStr">
        <is>
          <t>YDRE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HYPERLINK("https://klasma.github.io/Logging_0512/artfynd/A 29200-2026 artfynd.xlsx", "A 29200-2026")</f>
        <v/>
      </c>
      <c r="X38">
        <f>HYPERLINK("https://klasma.github.io/Logging_0512/kartor/A 29200-2026 karta.png", "A 29200-2026")</f>
        <v/>
      </c>
      <c r="Y38">
        <f>HYPERLINK("https://klasma.github.io/Logging_0512/kartor_geotiff/A 29200-2026 georefererad karta.tif", "A 29200-2026")</f>
        <v/>
      </c>
      <c r="AA38">
        <f>HYPERLINK("https://klasma.github.io/Logging_0512/klagomål/A 29200-2026 FSC-klagomål.docx", "A 29200-2026")</f>
        <v/>
      </c>
      <c r="AB38">
        <f>HYPERLINK("https://klasma.github.io/Logging_0512/klagomålsmail/A 29200-2026 FSC-klagomål mail.docx", "A 29200-2026")</f>
        <v/>
      </c>
      <c r="AC38">
        <f>HYPERLINK("https://klasma.github.io/Logging_0512/tillsyn/A 29200-2026 tillsynsbegäran.docx", "A 29200-2026")</f>
        <v/>
      </c>
      <c r="AD38">
        <f>HYPERLINK("https://klasma.github.io/Logging_0512/tillsynsmail/A 29200-2026 tillsynsbegäran mail.docx", "A 29200-2026")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46229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46229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46229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46229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46229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46229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46229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46229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46229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46229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46229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46229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46229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46229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46229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46229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46229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46229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46229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46229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46229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46229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46229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46229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46229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46229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46229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46229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46229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46229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46229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46229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46229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46229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46229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46229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46229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46229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46229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46229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46229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46229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46229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46229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46229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46229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46229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46229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46229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46229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55844-2021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44476</v>
      </c>
      <c r="E89" s="1" t="n">
        <v>46229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19769-2024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45432</v>
      </c>
      <c r="E90" s="1" t="n">
        <v>46229</v>
      </c>
      <c r="F90" t="inlineStr">
        <is>
          <t>ÖSTERGÖTLANDS LÄN</t>
        </is>
      </c>
      <c r="G90" t="inlineStr">
        <is>
          <t>YDRE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46229</v>
      </c>
      <c r="F91" t="inlineStr">
        <is>
          <t>ÖSTERGÖTLANDS LÄN</t>
        </is>
      </c>
      <c r="G91" t="inlineStr">
        <is>
          <t>YDRE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46229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46229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46229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71524-2021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46229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46229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46229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46229</v>
      </c>
      <c r="F98" t="inlineStr">
        <is>
          <t>ÖSTERGÖTLANDS LÄN</t>
        </is>
      </c>
      <c r="G98" t="inlineStr">
        <is>
          <t>YDRE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46229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46229</v>
      </c>
      <c r="F100" t="inlineStr">
        <is>
          <t>ÖSTERGÖTLANDS LÄN</t>
        </is>
      </c>
      <c r="G100" t="inlineStr">
        <is>
          <t>YDRE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46229</v>
      </c>
      <c r="F101" t="inlineStr">
        <is>
          <t>ÖSTERGÖTLANDS LÄN</t>
        </is>
      </c>
      <c r="G101" t="inlineStr">
        <is>
          <t>YDRE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46229</v>
      </c>
      <c r="F102" t="inlineStr">
        <is>
          <t>ÖSTERGÖTLANDS LÄN</t>
        </is>
      </c>
      <c r="G102" t="inlineStr">
        <is>
          <t>YDRE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46229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46229</v>
      </c>
      <c r="F104" t="inlineStr">
        <is>
          <t>ÖSTERGÖTLANDS LÄN</t>
        </is>
      </c>
      <c r="G104" t="inlineStr">
        <is>
          <t>YDRE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46229</v>
      </c>
      <c r="F105" t="inlineStr">
        <is>
          <t>ÖSTERGÖTLANDS LÄN</t>
        </is>
      </c>
      <c r="G105" t="inlineStr">
        <is>
          <t>YDRE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46229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44283-2021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46229</v>
      </c>
      <c r="F107" t="inlineStr">
        <is>
          <t>ÖSTERGÖTLANDS LÄN</t>
        </is>
      </c>
      <c r="G107" t="inlineStr">
        <is>
          <t>YDRE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46229</v>
      </c>
      <c r="F108" t="inlineStr">
        <is>
          <t>ÖSTERGÖTLANDS LÄN</t>
        </is>
      </c>
      <c r="G108" t="inlineStr">
        <is>
          <t>YDRE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44592</v>
      </c>
      <c r="E109" s="1" t="n">
        <v>46229</v>
      </c>
      <c r="F109" t="inlineStr">
        <is>
          <t>ÖSTERGÖTLANDS LÄN</t>
        </is>
      </c>
      <c r="G109" t="inlineStr">
        <is>
          <t>YDRE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46229</v>
      </c>
      <c r="F110" t="inlineStr">
        <is>
          <t>ÖSTERGÖTLANDS LÄN</t>
        </is>
      </c>
      <c r="G110" t="inlineStr">
        <is>
          <t>YDRE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46229</v>
      </c>
      <c r="F111" t="inlineStr">
        <is>
          <t>ÖSTERGÖTLANDS LÄN</t>
        </is>
      </c>
      <c r="G111" t="inlineStr">
        <is>
          <t>YDRE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46229</v>
      </c>
      <c r="F112" t="inlineStr">
        <is>
          <t>ÖSTERGÖTLANDS LÄN</t>
        </is>
      </c>
      <c r="G112" t="inlineStr">
        <is>
          <t>YDRE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46229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46229</v>
      </c>
      <c r="F114" t="inlineStr">
        <is>
          <t>ÖSTERGÖTLANDS LÄN</t>
        </is>
      </c>
      <c r="G114" t="inlineStr">
        <is>
          <t>YDRE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45714</v>
      </c>
      <c r="E115" s="1" t="n">
        <v>46229</v>
      </c>
      <c r="F115" t="inlineStr">
        <is>
          <t>ÖSTERGÖTLANDS LÄN</t>
        </is>
      </c>
      <c r="G115" t="inlineStr">
        <is>
          <t>YDRE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46229</v>
      </c>
      <c r="F116" t="inlineStr">
        <is>
          <t>ÖSTERGÖTLANDS LÄN</t>
        </is>
      </c>
      <c r="G116" t="inlineStr">
        <is>
          <t>YDRE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46229</v>
      </c>
      <c r="F117" t="inlineStr">
        <is>
          <t>ÖSTERGÖTLANDS LÄN</t>
        </is>
      </c>
      <c r="G117" t="inlineStr">
        <is>
          <t>YDRE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46229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46229</v>
      </c>
      <c r="F119" t="inlineStr">
        <is>
          <t>ÖSTERGÖTLANDS LÄN</t>
        </is>
      </c>
      <c r="G119" t="inlineStr">
        <is>
          <t>YDRE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46229</v>
      </c>
      <c r="F120" t="inlineStr">
        <is>
          <t>ÖSTERGÖTLANDS LÄN</t>
        </is>
      </c>
      <c r="G120" t="inlineStr">
        <is>
          <t>YDRE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46229</v>
      </c>
      <c r="F121" t="inlineStr">
        <is>
          <t>ÖSTERGÖTLANDS LÄN</t>
        </is>
      </c>
      <c r="G121" t="inlineStr">
        <is>
          <t>YDRE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44504</v>
      </c>
      <c r="E122" s="1" t="n">
        <v>46229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45355</v>
      </c>
      <c r="E123" s="1" t="n">
        <v>46229</v>
      </c>
      <c r="F123" t="inlineStr">
        <is>
          <t>ÖSTERGÖTLANDS LÄN</t>
        </is>
      </c>
      <c r="G123" t="inlineStr">
        <is>
          <t>YDRE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17309-2024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45414</v>
      </c>
      <c r="E124" s="1" t="n">
        <v>46229</v>
      </c>
      <c r="F124" t="inlineStr">
        <is>
          <t>ÖSTERGÖTLANDS LÄN</t>
        </is>
      </c>
      <c r="G124" t="inlineStr">
        <is>
          <t>YDRE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46229</v>
      </c>
      <c r="F125" t="inlineStr">
        <is>
          <t>ÖSTERGÖTLANDS LÄN</t>
        </is>
      </c>
      <c r="G125" t="inlineStr">
        <is>
          <t>YDRE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46229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46229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44447</v>
      </c>
      <c r="E128" s="1" t="n">
        <v>46229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46229</v>
      </c>
      <c r="F129" t="inlineStr">
        <is>
          <t>ÖSTERGÖTLANDS LÄN</t>
        </is>
      </c>
      <c r="G129" t="inlineStr">
        <is>
          <t>YDRE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46229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46229</v>
      </c>
      <c r="F131" t="inlineStr">
        <is>
          <t>ÖSTERGÖTLANDS LÄN</t>
        </is>
      </c>
      <c r="G131" t="inlineStr">
        <is>
          <t>YDRE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39903-2021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44417</v>
      </c>
      <c r="E132" s="1" t="n">
        <v>46229</v>
      </c>
      <c r="F132" t="inlineStr">
        <is>
          <t>ÖSTERGÖTLANDS LÄN</t>
        </is>
      </c>
      <c r="G132" t="inlineStr">
        <is>
          <t>YDRE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44417</v>
      </c>
      <c r="E133" s="1" t="n">
        <v>46229</v>
      </c>
      <c r="F133" t="inlineStr">
        <is>
          <t>ÖSTERGÖTLANDS LÄN</t>
        </is>
      </c>
      <c r="G133" t="inlineStr">
        <is>
          <t>YDRE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46229</v>
      </c>
      <c r="F134" t="inlineStr">
        <is>
          <t>ÖSTERGÖTLANDS LÄN</t>
        </is>
      </c>
      <c r="G134" t="inlineStr">
        <is>
          <t>YDRE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46229</v>
      </c>
      <c r="F135" t="inlineStr">
        <is>
          <t>ÖSTERGÖTLANDS LÄN</t>
        </is>
      </c>
      <c r="G135" t="inlineStr">
        <is>
          <t>YDRE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46229</v>
      </c>
      <c r="F136" t="inlineStr">
        <is>
          <t>ÖSTERGÖTLANDS LÄN</t>
        </is>
      </c>
      <c r="G136" t="inlineStr">
        <is>
          <t>YDRE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46229</v>
      </c>
      <c r="F137" t="inlineStr">
        <is>
          <t>ÖSTERGÖTLANDS LÄN</t>
        </is>
      </c>
      <c r="G137" t="inlineStr">
        <is>
          <t>YDRE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46229</v>
      </c>
      <c r="F138" t="inlineStr">
        <is>
          <t>ÖSTERGÖTLANDS LÄN</t>
        </is>
      </c>
      <c r="G138" t="inlineStr">
        <is>
          <t>YDRE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46229</v>
      </c>
      <c r="F139" t="inlineStr">
        <is>
          <t>ÖSTERGÖTLANDS LÄN</t>
        </is>
      </c>
      <c r="G139" t="inlineStr">
        <is>
          <t>YDRE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46229</v>
      </c>
      <c r="F140" t="inlineStr">
        <is>
          <t>ÖSTERGÖTLANDS LÄN</t>
        </is>
      </c>
      <c r="G140" t="inlineStr">
        <is>
          <t>YDRE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46229</v>
      </c>
      <c r="F141" t="inlineStr">
        <is>
          <t>ÖSTERGÖTLANDS LÄN</t>
        </is>
      </c>
      <c r="G141" t="inlineStr">
        <is>
          <t>YDRE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46229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44966</v>
      </c>
      <c r="E143" s="1" t="n">
        <v>46229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46229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46229</v>
      </c>
      <c r="F145" t="inlineStr">
        <is>
          <t>ÖSTERGÖTLANDS LÄN</t>
        </is>
      </c>
      <c r="G145" t="inlineStr">
        <is>
          <t>YDRE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46229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44939</v>
      </c>
      <c r="E147" s="1" t="n">
        <v>46229</v>
      </c>
      <c r="F147" t="inlineStr">
        <is>
          <t>ÖSTERGÖTLANDS LÄN</t>
        </is>
      </c>
      <c r="G147" t="inlineStr">
        <is>
          <t>YDRE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46229</v>
      </c>
      <c r="F148" t="inlineStr">
        <is>
          <t>ÖSTERGÖTLANDS LÄN</t>
        </is>
      </c>
      <c r="G148" t="inlineStr">
        <is>
          <t>YDRE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46229</v>
      </c>
      <c r="F149" t="inlineStr">
        <is>
          <t>ÖSTERGÖTLANDS LÄN</t>
        </is>
      </c>
      <c r="G149" t="inlineStr">
        <is>
          <t>YDRE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46229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45917</v>
      </c>
      <c r="E151" s="1" t="n">
        <v>46229</v>
      </c>
      <c r="F151" t="inlineStr">
        <is>
          <t>ÖSTERGÖTLANDS LÄN</t>
        </is>
      </c>
      <c r="G151" t="inlineStr">
        <is>
          <t>YDRE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46229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46229</v>
      </c>
      <c r="F153" t="inlineStr">
        <is>
          <t>ÖSTERGÖTLANDS LÄN</t>
        </is>
      </c>
      <c r="G153" t="inlineStr">
        <is>
          <t>YDRE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46229</v>
      </c>
      <c r="F154" t="inlineStr">
        <is>
          <t>ÖSTERGÖTLANDS LÄN</t>
        </is>
      </c>
      <c r="G154" t="inlineStr">
        <is>
          <t>YDRE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46229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46229</v>
      </c>
      <c r="F156" t="inlineStr">
        <is>
          <t>ÖSTERGÖTLANDS LÄN</t>
        </is>
      </c>
      <c r="G156" t="inlineStr">
        <is>
          <t>YDRE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44480</v>
      </c>
      <c r="E157" s="1" t="n">
        <v>46229</v>
      </c>
      <c r="F157" t="inlineStr">
        <is>
          <t>ÖSTERGÖTLANDS LÄN</t>
        </is>
      </c>
      <c r="G157" t="inlineStr">
        <is>
          <t>YDRE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46229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45909</v>
      </c>
      <c r="E159" s="1" t="n">
        <v>46229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43231-2025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45910</v>
      </c>
      <c r="E160" s="1" t="n">
        <v>46229</v>
      </c>
      <c r="F160" t="inlineStr">
        <is>
          <t>ÖSTERGÖTLANDS LÄN</t>
        </is>
      </c>
      <c r="G160" t="inlineStr">
        <is>
          <t>YDRE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46229</v>
      </c>
      <c r="F161" t="inlineStr">
        <is>
          <t>ÖSTERGÖTLANDS LÄN</t>
        </is>
      </c>
      <c r="G161" t="inlineStr">
        <is>
          <t>YDRE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46229</v>
      </c>
      <c r="F162" t="inlineStr">
        <is>
          <t>ÖSTERGÖTLANDS LÄN</t>
        </is>
      </c>
      <c r="G162" t="inlineStr">
        <is>
          <t>YDRE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46229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45910</v>
      </c>
      <c r="E164" s="1" t="n">
        <v>46229</v>
      </c>
      <c r="F164" t="inlineStr">
        <is>
          <t>ÖSTERGÖTLANDS LÄN</t>
        </is>
      </c>
      <c r="G164" t="inlineStr">
        <is>
          <t>YDRE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44635</v>
      </c>
      <c r="E165" s="1" t="n">
        <v>46229</v>
      </c>
      <c r="F165" t="inlineStr">
        <is>
          <t>ÖSTERGÖTLANDS LÄN</t>
        </is>
      </c>
      <c r="G165" t="inlineStr">
        <is>
          <t>YDRE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46229</v>
      </c>
      <c r="F166" t="inlineStr">
        <is>
          <t>ÖSTERGÖTLANDS LÄN</t>
        </is>
      </c>
      <c r="G166" t="inlineStr">
        <is>
          <t>YDRE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46229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33680-2022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46229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46229</v>
      </c>
      <c r="F169" t="inlineStr">
        <is>
          <t>ÖSTERGÖTLANDS LÄN</t>
        </is>
      </c>
      <c r="G169" t="inlineStr">
        <is>
          <t>YDRE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46229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46229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44498-2025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45916</v>
      </c>
      <c r="E172" s="1" t="n">
        <v>46229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46229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46229</v>
      </c>
      <c r="F174" t="inlineStr">
        <is>
          <t>ÖSTERGÖTLANDS LÄN</t>
        </is>
      </c>
      <c r="G174" t="inlineStr">
        <is>
          <t>YDRE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45871</v>
      </c>
      <c r="E175" s="1" t="n">
        <v>46229</v>
      </c>
      <c r="F175" t="inlineStr">
        <is>
          <t>ÖSTERGÖTLANDS LÄN</t>
        </is>
      </c>
      <c r="G175" t="inlineStr">
        <is>
          <t>YDRE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46229</v>
      </c>
      <c r="F176" t="inlineStr">
        <is>
          <t>ÖSTERGÖTLANDS LÄN</t>
        </is>
      </c>
      <c r="G176" t="inlineStr">
        <is>
          <t>YDRE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46229</v>
      </c>
      <c r="F177" t="inlineStr">
        <is>
          <t>ÖSTERGÖTLANDS LÄN</t>
        </is>
      </c>
      <c r="G177" t="inlineStr">
        <is>
          <t>YDRE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45752-2025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46229</v>
      </c>
      <c r="F178" t="inlineStr">
        <is>
          <t>ÖSTERGÖTLANDS LÄN</t>
        </is>
      </c>
      <c r="G178" t="inlineStr">
        <is>
          <t>YDRE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46229</v>
      </c>
      <c r="F179" t="inlineStr">
        <is>
          <t>ÖSTERGÖTLANDS LÄN</t>
        </is>
      </c>
      <c r="G179" t="inlineStr">
        <is>
          <t>YDRE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46229</v>
      </c>
      <c r="F180" t="inlineStr">
        <is>
          <t>ÖSTERGÖTLANDS LÄN</t>
        </is>
      </c>
      <c r="G180" t="inlineStr">
        <is>
          <t>YDRE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46229</v>
      </c>
      <c r="F181" t="inlineStr">
        <is>
          <t>ÖSTERGÖTLANDS LÄN</t>
        </is>
      </c>
      <c r="G181" t="inlineStr">
        <is>
          <t>YDRE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46229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46229</v>
      </c>
      <c r="F183" t="inlineStr">
        <is>
          <t>ÖSTERGÖTLANDS LÄN</t>
        </is>
      </c>
      <c r="G183" t="inlineStr">
        <is>
          <t>YDRE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46229</v>
      </c>
      <c r="F184" t="inlineStr">
        <is>
          <t>ÖSTERGÖTLANDS LÄN</t>
        </is>
      </c>
      <c r="G184" t="inlineStr">
        <is>
          <t>YDRE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46229</v>
      </c>
      <c r="F185" t="inlineStr">
        <is>
          <t>ÖSTERGÖTLANDS LÄN</t>
        </is>
      </c>
      <c r="G185" t="inlineStr">
        <is>
          <t>YDRE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46229</v>
      </c>
      <c r="F186" t="inlineStr">
        <is>
          <t>ÖSTERGÖTLANDS LÄN</t>
        </is>
      </c>
      <c r="G186" t="inlineStr">
        <is>
          <t>YDRE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46086-2025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45924</v>
      </c>
      <c r="E187" s="1" t="n">
        <v>46229</v>
      </c>
      <c r="F187" t="inlineStr">
        <is>
          <t>ÖSTERGÖTLANDS LÄN</t>
        </is>
      </c>
      <c r="G187" t="inlineStr">
        <is>
          <t>YDRE</t>
        </is>
      </c>
      <c r="H187" t="inlineStr">
        <is>
          <t>Övriga Aktiebolag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46229</v>
      </c>
      <c r="F188" t="inlineStr">
        <is>
          <t>ÖSTERGÖTLANDS LÄN</t>
        </is>
      </c>
      <c r="G188" t="inlineStr">
        <is>
          <t>YDRE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46229</v>
      </c>
      <c r="F189" t="inlineStr">
        <is>
          <t>ÖSTERGÖTLANDS LÄN</t>
        </is>
      </c>
      <c r="G189" t="inlineStr">
        <is>
          <t>YDRE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46229</v>
      </c>
      <c r="F190" t="inlineStr">
        <is>
          <t>ÖSTERGÖTLANDS LÄN</t>
        </is>
      </c>
      <c r="G190" t="inlineStr">
        <is>
          <t>YDRE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45647</v>
      </c>
      <c r="E191" s="1" t="n">
        <v>46229</v>
      </c>
      <c r="F191" t="inlineStr">
        <is>
          <t>ÖSTERGÖTLANDS LÄN</t>
        </is>
      </c>
      <c r="G191" t="inlineStr">
        <is>
          <t>YDRE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46229</v>
      </c>
      <c r="F192" t="inlineStr">
        <is>
          <t>ÖSTERGÖTLANDS LÄN</t>
        </is>
      </c>
      <c r="G192" t="inlineStr">
        <is>
          <t>YDRE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45634</v>
      </c>
      <c r="E193" s="1" t="n">
        <v>46229</v>
      </c>
      <c r="F193" t="inlineStr">
        <is>
          <t>ÖSTERGÖTLANDS LÄN</t>
        </is>
      </c>
      <c r="G193" t="inlineStr">
        <is>
          <t>YDRE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46229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46229</v>
      </c>
      <c r="F195" t="inlineStr">
        <is>
          <t>ÖSTERGÖTLANDS LÄN</t>
        </is>
      </c>
      <c r="G195" t="inlineStr">
        <is>
          <t>YDRE</t>
        </is>
      </c>
      <c r="H195" t="inlineStr">
        <is>
          <t>Övriga Aktiebolag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46229</v>
      </c>
      <c r="F196" t="inlineStr">
        <is>
          <t>ÖSTERGÖTLANDS LÄN</t>
        </is>
      </c>
      <c r="G196" t="inlineStr">
        <is>
          <t>YDRE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46229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46229</v>
      </c>
      <c r="F198" t="inlineStr">
        <is>
          <t>ÖSTERGÖTLANDS LÄN</t>
        </is>
      </c>
      <c r="G198" t="inlineStr">
        <is>
          <t>YDRE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46229</v>
      </c>
      <c r="F199" t="inlineStr">
        <is>
          <t>ÖSTERGÖTLANDS LÄN</t>
        </is>
      </c>
      <c r="G199" t="inlineStr">
        <is>
          <t>YDRE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46229</v>
      </c>
      <c r="F200" t="inlineStr">
        <is>
          <t>ÖSTERGÖTLANDS LÄN</t>
        </is>
      </c>
      <c r="G200" t="inlineStr">
        <is>
          <t>YDRE</t>
        </is>
      </c>
      <c r="H200" t="inlineStr">
        <is>
          <t>Kyrkan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46229</v>
      </c>
      <c r="F201" t="inlineStr">
        <is>
          <t>ÖSTERGÖTLANDS LÄN</t>
        </is>
      </c>
      <c r="G201" t="inlineStr">
        <is>
          <t>YDRE</t>
        </is>
      </c>
      <c r="H201" t="inlineStr">
        <is>
          <t>Kyrkan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46229</v>
      </c>
      <c r="F202" t="inlineStr">
        <is>
          <t>ÖSTERGÖTLANDS LÄN</t>
        </is>
      </c>
      <c r="G202" t="inlineStr">
        <is>
          <t>YDRE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46229</v>
      </c>
      <c r="F203" t="inlineStr">
        <is>
          <t>ÖSTERGÖTLANDS LÄN</t>
        </is>
      </c>
      <c r="G203" t="inlineStr">
        <is>
          <t>YDRE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46229</v>
      </c>
      <c r="F204" t="inlineStr">
        <is>
          <t>ÖSTERGÖTLANDS LÄN</t>
        </is>
      </c>
      <c r="G204" t="inlineStr">
        <is>
          <t>YDRE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46229</v>
      </c>
      <c r="F205" t="inlineStr">
        <is>
          <t>ÖSTERGÖTLANDS LÄN</t>
        </is>
      </c>
      <c r="G205" t="inlineStr">
        <is>
          <t>YDRE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46229</v>
      </c>
      <c r="F206" t="inlineStr">
        <is>
          <t>ÖSTERGÖTLANDS LÄN</t>
        </is>
      </c>
      <c r="G206" t="inlineStr">
        <is>
          <t>YDRE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46229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  <c r="Z207">
        <f>HYPERLINK("https://klasma.github.io/Logging_0512/knärot/A 56323-2021 karta knärot.png", "A 56323-2021")</f>
        <v/>
      </c>
      <c r="AA207">
        <f>HYPERLINK("https://klasma.github.io/Logging_0512/klagomål/A 56323-2021 FSC-klagomål.docx", "A 56323-2021")</f>
        <v/>
      </c>
      <c r="AB207">
        <f>HYPERLINK("https://klasma.github.io/Logging_0512/klagomålsmail/A 56323-2021 FSC-klagomål mail.docx", "A 56323-2021")</f>
        <v/>
      </c>
      <c r="AC207">
        <f>HYPERLINK("https://klasma.github.io/Logging_0512/tillsyn/A 56323-2021 tillsynsbegäran.docx", "A 56323-2021")</f>
        <v/>
      </c>
      <c r="AD207">
        <f>HYPERLINK("https://klasma.github.io/Logging_0512/tillsynsmail/A 56323-2021 tillsynsbegäran mail.docx", "A 56323-2021")</f>
        <v/>
      </c>
    </row>
    <row r="208" ht="15" customHeight="1">
      <c r="A208" t="inlineStr">
        <is>
          <t>A 35209-2023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46229</v>
      </c>
      <c r="F208" t="inlineStr">
        <is>
          <t>ÖSTERGÖTLANDS LÄN</t>
        </is>
      </c>
      <c r="G208" t="inlineStr">
        <is>
          <t>YDRE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46229</v>
      </c>
      <c r="F209" t="inlineStr">
        <is>
          <t>ÖSTERGÖTLANDS LÄN</t>
        </is>
      </c>
      <c r="G209" t="inlineStr">
        <is>
          <t>YDRE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46229</v>
      </c>
      <c r="F210" t="inlineStr">
        <is>
          <t>ÖSTERGÖTLANDS LÄN</t>
        </is>
      </c>
      <c r="G210" t="inlineStr">
        <is>
          <t>YDRE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46229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46229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46229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46229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46229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46146</v>
      </c>
      <c r="E216" s="1" t="n">
        <v>46229</v>
      </c>
      <c r="F216" t="inlineStr">
        <is>
          <t>ÖSTERGÖTLANDS LÄN</t>
        </is>
      </c>
      <c r="G216" t="inlineStr">
        <is>
          <t>YDRE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46229</v>
      </c>
      <c r="F217" t="inlineStr">
        <is>
          <t>ÖSTERGÖTLANDS LÄN</t>
        </is>
      </c>
      <c r="G217" t="inlineStr">
        <is>
          <t>YDRE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46229</v>
      </c>
      <c r="F218" t="inlineStr">
        <is>
          <t>ÖSTERGÖTLANDS LÄN</t>
        </is>
      </c>
      <c r="G218" t="inlineStr">
        <is>
          <t>YDRE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46229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46229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46229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46229</v>
      </c>
      <c r="F222" t="inlineStr">
        <is>
          <t>ÖSTERGÖTLANDS LÄN</t>
        </is>
      </c>
      <c r="G222" t="inlineStr">
        <is>
          <t>YDRE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46229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46229</v>
      </c>
      <c r="F224" t="inlineStr">
        <is>
          <t>ÖSTERGÖTLANDS LÄN</t>
        </is>
      </c>
      <c r="G224" t="inlineStr">
        <is>
          <t>YDRE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20048-2023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46229</v>
      </c>
      <c r="F225" t="inlineStr">
        <is>
          <t>ÖSTERGÖTLANDS LÄN</t>
        </is>
      </c>
      <c r="G225" t="inlineStr">
        <is>
          <t>YDRE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46229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46229</v>
      </c>
      <c r="F227" t="inlineStr">
        <is>
          <t>ÖSTERGÖTLANDS LÄN</t>
        </is>
      </c>
      <c r="G227" t="inlineStr">
        <is>
          <t>YDRE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46229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46229</v>
      </c>
      <c r="F229" t="inlineStr">
        <is>
          <t>ÖSTERGÖTLANDS LÄN</t>
        </is>
      </c>
      <c r="G229" t="inlineStr">
        <is>
          <t>YDRE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46229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44502</v>
      </c>
      <c r="E231" s="1" t="n">
        <v>46229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44965</v>
      </c>
      <c r="E232" s="1" t="n">
        <v>46229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46191</v>
      </c>
      <c r="E233" s="1" t="n">
        <v>46229</v>
      </c>
      <c r="F233" t="inlineStr">
        <is>
          <t>ÖSTERGÖTLANDS LÄN</t>
        </is>
      </c>
      <c r="G233" t="inlineStr">
        <is>
          <t>YDRE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45310</v>
      </c>
      <c r="E234" s="1" t="n">
        <v>46229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27700-2026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46190</v>
      </c>
      <c r="E235" s="1" t="n">
        <v>46229</v>
      </c>
      <c r="F235" t="inlineStr">
        <is>
          <t>ÖSTERGÖTLANDS LÄN</t>
        </is>
      </c>
      <c r="G235" t="inlineStr">
        <is>
          <t>YDRE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45428</v>
      </c>
      <c r="E236" s="1" t="n">
        <v>46229</v>
      </c>
      <c r="F236" t="inlineStr">
        <is>
          <t>ÖSTERGÖTLANDS LÄN</t>
        </is>
      </c>
      <c r="G236" t="inlineStr">
        <is>
          <t>YDRE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46229</v>
      </c>
      <c r="F237" t="inlineStr">
        <is>
          <t>ÖSTERGÖTLANDS LÄN</t>
        </is>
      </c>
      <c r="G237" t="inlineStr">
        <is>
          <t>YDRE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46229</v>
      </c>
      <c r="F238" t="inlineStr">
        <is>
          <t>ÖSTERGÖTLANDS LÄN</t>
        </is>
      </c>
      <c r="G238" t="inlineStr">
        <is>
          <t>YDRE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45449-2023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45194</v>
      </c>
      <c r="E239" s="1" t="n">
        <v>46229</v>
      </c>
      <c r="F239" t="inlineStr">
        <is>
          <t>ÖSTERGÖTLANDS LÄN</t>
        </is>
      </c>
      <c r="G239" t="inlineStr">
        <is>
          <t>YDRE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46229</v>
      </c>
      <c r="F240" t="inlineStr">
        <is>
          <t>ÖSTERGÖTLANDS LÄN</t>
        </is>
      </c>
      <c r="G240" t="inlineStr">
        <is>
          <t>YDRE</t>
        </is>
      </c>
      <c r="H240" t="inlineStr">
        <is>
          <t>Kyrkan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46229</v>
      </c>
      <c r="F241" t="inlineStr">
        <is>
          <t>ÖSTERGÖTLANDS LÄN</t>
        </is>
      </c>
      <c r="G241" t="inlineStr">
        <is>
          <t>YDRE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46229</v>
      </c>
      <c r="F242" t="inlineStr">
        <is>
          <t>ÖSTERGÖTLANDS LÄN</t>
        </is>
      </c>
      <c r="G242" t="inlineStr">
        <is>
          <t>YDRE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45194-2021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44439</v>
      </c>
      <c r="E243" s="1" t="n">
        <v>46229</v>
      </c>
      <c r="F243" t="inlineStr">
        <is>
          <t>ÖSTERGÖTLANDS LÄN</t>
        </is>
      </c>
      <c r="G243" t="inlineStr">
        <is>
          <t>YDRE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44562</v>
      </c>
      <c r="E244" s="1" t="n">
        <v>46229</v>
      </c>
      <c r="F244" t="inlineStr">
        <is>
          <t>ÖSTERGÖTLANDS LÄN</t>
        </is>
      </c>
      <c r="G244" t="inlineStr">
        <is>
          <t>YDRE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46229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46229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45414</v>
      </c>
      <c r="E247" s="1" t="n">
        <v>46229</v>
      </c>
      <c r="F247" t="inlineStr">
        <is>
          <t>ÖSTERGÖTLANDS LÄN</t>
        </is>
      </c>
      <c r="G247" t="inlineStr">
        <is>
          <t>YDRE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46229</v>
      </c>
      <c r="F248" t="inlineStr">
        <is>
          <t>ÖSTERGÖTLANDS LÄN</t>
        </is>
      </c>
      <c r="G248" t="inlineStr">
        <is>
          <t>YDRE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46229</v>
      </c>
      <c r="F249" t="inlineStr">
        <is>
          <t>ÖSTERGÖTLANDS LÄN</t>
        </is>
      </c>
      <c r="G249" t="inlineStr">
        <is>
          <t>YDRE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46229</v>
      </c>
      <c r="F250" t="inlineStr">
        <is>
          <t>ÖSTERGÖTLANDS LÄN</t>
        </is>
      </c>
      <c r="G250" t="inlineStr">
        <is>
          <t>YDRE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70448-2021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46229</v>
      </c>
      <c r="F251" t="inlineStr">
        <is>
          <t>ÖSTERGÖTLANDS LÄN</t>
        </is>
      </c>
      <c r="G251" t="inlineStr">
        <is>
          <t>YDRE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46229</v>
      </c>
      <c r="F252" t="inlineStr">
        <is>
          <t>ÖSTERGÖTLANDS LÄN</t>
        </is>
      </c>
      <c r="G252" t="inlineStr">
        <is>
          <t>YDRE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44428</v>
      </c>
      <c r="E253" s="1" t="n">
        <v>46229</v>
      </c>
      <c r="F253" t="inlineStr">
        <is>
          <t>ÖSTERGÖTLANDS LÄN</t>
        </is>
      </c>
      <c r="G253" t="inlineStr">
        <is>
          <t>YDRE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46229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22312-2026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46154</v>
      </c>
      <c r="E255" s="1" t="n">
        <v>46229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46229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46229</v>
      </c>
      <c r="F257" t="inlineStr">
        <is>
          <t>ÖSTERGÖTLANDS LÄN</t>
        </is>
      </c>
      <c r="G257" t="inlineStr">
        <is>
          <t>YDRE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46229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46229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46229</v>
      </c>
      <c r="F260" t="inlineStr">
        <is>
          <t>ÖSTERGÖTLANDS LÄN</t>
        </is>
      </c>
      <c r="G260" t="inlineStr">
        <is>
          <t>YDRE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44908</v>
      </c>
      <c r="E261" s="1" t="n">
        <v>46229</v>
      </c>
      <c r="F261" t="inlineStr">
        <is>
          <t>ÖSTERGÖTLANDS LÄN</t>
        </is>
      </c>
      <c r="G261" t="inlineStr">
        <is>
          <t>YDRE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46229</v>
      </c>
      <c r="F262" t="inlineStr">
        <is>
          <t>ÖSTERGÖTLANDS LÄN</t>
        </is>
      </c>
      <c r="G262" t="inlineStr">
        <is>
          <t>YDRE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46229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46229</v>
      </c>
      <c r="F264" t="inlineStr">
        <is>
          <t>ÖSTERGÖTLANDS LÄN</t>
        </is>
      </c>
      <c r="G264" t="inlineStr">
        <is>
          <t>YDRE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10699-2022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44624</v>
      </c>
      <c r="E265" s="1" t="n">
        <v>46229</v>
      </c>
      <c r="F265" t="inlineStr">
        <is>
          <t>ÖSTERGÖTLANDS LÄN</t>
        </is>
      </c>
      <c r="G265" t="inlineStr">
        <is>
          <t>YDRE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46229</v>
      </c>
      <c r="F266" t="inlineStr">
        <is>
          <t>ÖSTERGÖTLANDS LÄN</t>
        </is>
      </c>
      <c r="G266" t="inlineStr">
        <is>
          <t>YDRE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46229</v>
      </c>
      <c r="F267" t="inlineStr">
        <is>
          <t>ÖSTERGÖTLANDS LÄN</t>
        </is>
      </c>
      <c r="G267" t="inlineStr">
        <is>
          <t>YDRE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46229</v>
      </c>
      <c r="F268" t="inlineStr">
        <is>
          <t>ÖSTERGÖTLANDS LÄN</t>
        </is>
      </c>
      <c r="G268" t="inlineStr">
        <is>
          <t>YDRE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46013</v>
      </c>
      <c r="E269" s="1" t="n">
        <v>46229</v>
      </c>
      <c r="F269" t="inlineStr">
        <is>
          <t>ÖSTERGÖTLANDS LÄN</t>
        </is>
      </c>
      <c r="G269" t="inlineStr">
        <is>
          <t>YDRE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46229</v>
      </c>
      <c r="F270" t="inlineStr">
        <is>
          <t>ÖSTERGÖTLANDS LÄN</t>
        </is>
      </c>
      <c r="G270" t="inlineStr">
        <is>
          <t>YDRE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46229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46229</v>
      </c>
      <c r="F272" t="inlineStr">
        <is>
          <t>ÖSTERGÖTLANDS LÄN</t>
        </is>
      </c>
      <c r="G272" t="inlineStr">
        <is>
          <t>YDRE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46021</v>
      </c>
      <c r="E273" s="1" t="n">
        <v>46229</v>
      </c>
      <c r="F273" t="inlineStr">
        <is>
          <t>ÖSTERGÖTLANDS LÄN</t>
        </is>
      </c>
      <c r="G273" t="inlineStr">
        <is>
          <t>YDRE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46229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46229</v>
      </c>
      <c r="F275" t="inlineStr">
        <is>
          <t>ÖSTERGÖTLANDS LÄN</t>
        </is>
      </c>
      <c r="G275" t="inlineStr">
        <is>
          <t>YDRE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46229</v>
      </c>
      <c r="F276" t="inlineStr">
        <is>
          <t>ÖSTERGÖTLANDS LÄN</t>
        </is>
      </c>
      <c r="G276" t="inlineStr">
        <is>
          <t>YDRE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46229</v>
      </c>
      <c r="F277" t="inlineStr">
        <is>
          <t>ÖSTERGÖTLANDS LÄN</t>
        </is>
      </c>
      <c r="G277" t="inlineStr">
        <is>
          <t>YDRE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46229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46229</v>
      </c>
      <c r="F279" t="inlineStr">
        <is>
          <t>ÖSTERGÖTLANDS LÄN</t>
        </is>
      </c>
      <c r="G279" t="inlineStr">
        <is>
          <t>YDRE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46229</v>
      </c>
      <c r="F280" t="inlineStr">
        <is>
          <t>ÖSTERGÖTLANDS LÄN</t>
        </is>
      </c>
      <c r="G280" t="inlineStr">
        <is>
          <t>YDRE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46229</v>
      </c>
      <c r="F281" t="inlineStr">
        <is>
          <t>ÖSTERGÖTLANDS LÄN</t>
        </is>
      </c>
      <c r="G281" t="inlineStr">
        <is>
          <t>YDRE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46229</v>
      </c>
      <c r="F282" t="inlineStr">
        <is>
          <t>ÖSTERGÖTLANDS LÄN</t>
        </is>
      </c>
      <c r="G282" t="inlineStr">
        <is>
          <t>YDRE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46229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46229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46229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46229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51153-2022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44868</v>
      </c>
      <c r="E287" s="1" t="n">
        <v>46229</v>
      </c>
      <c r="F287" t="inlineStr">
        <is>
          <t>ÖSTERGÖTLANDS LÄN</t>
        </is>
      </c>
      <c r="G287" t="inlineStr">
        <is>
          <t>YDRE</t>
        </is>
      </c>
      <c r="H287" t="inlineStr">
        <is>
          <t>Övriga Aktiebolag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46229</v>
      </c>
      <c r="F288" t="inlineStr">
        <is>
          <t>ÖSTERGÖTLANDS LÄN</t>
        </is>
      </c>
      <c r="G288" t="inlineStr">
        <is>
          <t>YDRE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6293-2026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46055</v>
      </c>
      <c r="E289" s="1" t="n">
        <v>46229</v>
      </c>
      <c r="F289" t="inlineStr">
        <is>
          <t>ÖSTERGÖTLANDS LÄN</t>
        </is>
      </c>
      <c r="G289" t="inlineStr">
        <is>
          <t>YDRE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46229</v>
      </c>
      <c r="F290" t="inlineStr">
        <is>
          <t>ÖSTERGÖTLANDS LÄN</t>
        </is>
      </c>
      <c r="G290" t="inlineStr">
        <is>
          <t>YDRE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46229</v>
      </c>
      <c r="F291" t="inlineStr">
        <is>
          <t>ÖSTERGÖTLANDS LÄN</t>
        </is>
      </c>
      <c r="G291" t="inlineStr">
        <is>
          <t>YDRE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46229</v>
      </c>
      <c r="F292" t="inlineStr">
        <is>
          <t>ÖSTERGÖTLANDS LÄN</t>
        </is>
      </c>
      <c r="G292" t="inlineStr">
        <is>
          <t>YDRE</t>
        </is>
      </c>
      <c r="H292" t="inlineStr">
        <is>
          <t>Övriga Aktiebolag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46229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46229</v>
      </c>
      <c r="F294" t="inlineStr">
        <is>
          <t>ÖSTERGÖTLANDS LÄN</t>
        </is>
      </c>
      <c r="G294" t="inlineStr">
        <is>
          <t>YDRE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45099</v>
      </c>
      <c r="E295" s="1" t="n">
        <v>46229</v>
      </c>
      <c r="F295" t="inlineStr">
        <is>
          <t>ÖSTERGÖTLANDS LÄN</t>
        </is>
      </c>
      <c r="G295" t="inlineStr">
        <is>
          <t>YDRE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46229</v>
      </c>
      <c r="F296" t="inlineStr">
        <is>
          <t>ÖSTERGÖTLANDS LÄN</t>
        </is>
      </c>
      <c r="G296" t="inlineStr">
        <is>
          <t>YDRE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9026-2026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46229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46229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46229</v>
      </c>
      <c r="F299" t="inlineStr">
        <is>
          <t>ÖSTERGÖTLANDS LÄN</t>
        </is>
      </c>
      <c r="G299" t="inlineStr">
        <is>
          <t>YDRE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46229</v>
      </c>
      <c r="F300" t="inlineStr">
        <is>
          <t>ÖSTERGÖTLANDS LÄN</t>
        </is>
      </c>
      <c r="G300" t="inlineStr">
        <is>
          <t>YDRE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46229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44572</v>
      </c>
      <c r="E302" s="1" t="n">
        <v>46229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2745-2026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46038</v>
      </c>
      <c r="E303" s="1" t="n">
        <v>46229</v>
      </c>
      <c r="F303" t="inlineStr">
        <is>
          <t>ÖSTERGÖTLANDS LÄN</t>
        </is>
      </c>
      <c r="G303" t="inlineStr">
        <is>
          <t>YDRE</t>
        </is>
      </c>
      <c r="H303" t="inlineStr">
        <is>
          <t>Övriga Aktiebolag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46077</v>
      </c>
      <c r="E304" s="1" t="n">
        <v>46229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46229</v>
      </c>
      <c r="F305" t="inlineStr">
        <is>
          <t>ÖSTERGÖTLANDS LÄN</t>
        </is>
      </c>
      <c r="G305" t="inlineStr">
        <is>
          <t>YDRE</t>
        </is>
      </c>
      <c r="H305" t="inlineStr">
        <is>
          <t>Övriga Aktiebolag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46229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46229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61636-2021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44501</v>
      </c>
      <c r="E308" s="1" t="n">
        <v>46229</v>
      </c>
      <c r="F308" t="inlineStr">
        <is>
          <t>ÖSTERGÖTLANDS LÄN</t>
        </is>
      </c>
      <c r="G308" t="inlineStr">
        <is>
          <t>YDRE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46229</v>
      </c>
      <c r="F309" t="inlineStr">
        <is>
          <t>ÖSTERGÖTLANDS LÄN</t>
        </is>
      </c>
      <c r="G309" t="inlineStr">
        <is>
          <t>YDRE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46229</v>
      </c>
      <c r="F310" t="inlineStr">
        <is>
          <t>ÖSTERGÖTLANDS LÄN</t>
        </is>
      </c>
      <c r="G310" t="inlineStr">
        <is>
          <t>YDRE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46229</v>
      </c>
      <c r="F311" t="inlineStr">
        <is>
          <t>ÖSTERGÖTLANDS LÄN</t>
        </is>
      </c>
      <c r="G311" t="inlineStr">
        <is>
          <t>YDRE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46229</v>
      </c>
      <c r="F312" t="inlineStr">
        <is>
          <t>ÖSTERGÖTLANDS LÄN</t>
        </is>
      </c>
      <c r="G312" t="inlineStr">
        <is>
          <t>YDRE</t>
        </is>
      </c>
      <c r="H312" t="inlineStr">
        <is>
          <t>Sveaskog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24780-2026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46171</v>
      </c>
      <c r="E313" s="1" t="n">
        <v>46229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46229</v>
      </c>
      <c r="F314" t="inlineStr">
        <is>
          <t>ÖSTERGÖTLANDS LÄN</t>
        </is>
      </c>
      <c r="G314" t="inlineStr">
        <is>
          <t>YDRE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46097</v>
      </c>
      <c r="E315" s="1" t="n">
        <v>46229</v>
      </c>
      <c r="F315" t="inlineStr">
        <is>
          <t>ÖSTERGÖTLANDS LÄN</t>
        </is>
      </c>
      <c r="G315" t="inlineStr">
        <is>
          <t>YDRE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44874</v>
      </c>
      <c r="E316" s="1" t="n">
        <v>46229</v>
      </c>
      <c r="F316" t="inlineStr">
        <is>
          <t>ÖSTERGÖTLANDS LÄN</t>
        </is>
      </c>
      <c r="G316" t="inlineStr">
        <is>
          <t>YDRE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46229</v>
      </c>
      <c r="F317" t="inlineStr">
        <is>
          <t>ÖSTERGÖTLANDS LÄN</t>
        </is>
      </c>
      <c r="G317" t="inlineStr">
        <is>
          <t>YDRE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46229</v>
      </c>
      <c r="F318" t="inlineStr">
        <is>
          <t>ÖSTERGÖTLANDS LÄN</t>
        </is>
      </c>
      <c r="G318" t="inlineStr">
        <is>
          <t>YDRE</t>
        </is>
      </c>
      <c r="H318" t="inlineStr">
        <is>
          <t>Övriga Aktiebolag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14600-2026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46229</v>
      </c>
      <c r="F319" t="inlineStr">
        <is>
          <t>ÖSTERGÖTLANDS LÄN</t>
        </is>
      </c>
      <c r="G319" t="inlineStr">
        <is>
          <t>YDRE</t>
        </is>
      </c>
      <c r="I319" t="n">
        <v>9.9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14604-2026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46101</v>
      </c>
      <c r="E320" s="1" t="n">
        <v>46229</v>
      </c>
      <c r="F320" t="inlineStr">
        <is>
          <t>ÖSTERGÖTLANDS LÄN</t>
        </is>
      </c>
      <c r="G320" t="inlineStr">
        <is>
          <t>YDRE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46229</v>
      </c>
      <c r="F321" t="inlineStr">
        <is>
          <t>ÖSTERGÖTLANDS LÄN</t>
        </is>
      </c>
      <c r="G321" t="inlineStr">
        <is>
          <t>YDRE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46229</v>
      </c>
      <c r="F322" t="inlineStr">
        <is>
          <t>ÖSTERGÖTLANDS LÄN</t>
        </is>
      </c>
      <c r="G322" t="inlineStr">
        <is>
          <t>YDRE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46116</v>
      </c>
      <c r="E323" s="1" t="n">
        <v>46229</v>
      </c>
      <c r="F323" t="inlineStr">
        <is>
          <t>ÖSTERGÖTLANDS LÄN</t>
        </is>
      </c>
      <c r="G323" t="inlineStr">
        <is>
          <t>YDRE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46229</v>
      </c>
      <c r="F324" t="inlineStr">
        <is>
          <t>ÖSTERGÖTLANDS LÄN</t>
        </is>
      </c>
      <c r="G324" t="inlineStr">
        <is>
          <t>YDRE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46229</v>
      </c>
      <c r="F325" t="inlineStr">
        <is>
          <t>ÖSTERGÖTLANDS LÄN</t>
        </is>
      </c>
      <c r="G325" t="inlineStr">
        <is>
          <t>YDRE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46229</v>
      </c>
      <c r="F326" t="inlineStr">
        <is>
          <t>ÖSTERGÖTLANDS LÄN</t>
        </is>
      </c>
      <c r="G326" t="inlineStr">
        <is>
          <t>YDRE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46229</v>
      </c>
      <c r="F327" t="inlineStr">
        <is>
          <t>ÖSTERGÖTLANDS LÄN</t>
        </is>
      </c>
      <c r="G327" t="inlineStr">
        <is>
          <t>YDRE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46229</v>
      </c>
      <c r="F328" t="inlineStr">
        <is>
          <t>ÖSTERGÖTLANDS LÄN</t>
        </is>
      </c>
      <c r="G328" t="inlineStr">
        <is>
          <t>YDRE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46229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46229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46126</v>
      </c>
      <c r="E331" s="1" t="n">
        <v>46229</v>
      </c>
      <c r="F331" t="inlineStr">
        <is>
          <t>ÖSTERGÖTLANDS LÄN</t>
        </is>
      </c>
      <c r="G331" t="inlineStr">
        <is>
          <t>YDRE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46229</v>
      </c>
      <c r="F332" t="inlineStr">
        <is>
          <t>ÖSTERGÖTLANDS LÄN</t>
        </is>
      </c>
      <c r="G332" t="inlineStr">
        <is>
          <t>YDRE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46229</v>
      </c>
      <c r="F333" t="inlineStr">
        <is>
          <t>ÖSTERGÖTLANDS LÄN</t>
        </is>
      </c>
      <c r="G333" t="inlineStr">
        <is>
          <t>YDRE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46177</v>
      </c>
      <c r="E334" s="1" t="n">
        <v>46229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46229</v>
      </c>
      <c r="F335" t="inlineStr">
        <is>
          <t>ÖSTERGÖTLANDS LÄN</t>
        </is>
      </c>
      <c r="G335" t="inlineStr">
        <is>
          <t>YDRE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46229</v>
      </c>
      <c r="F336" t="inlineStr">
        <is>
          <t>ÖSTERGÖTLANDS LÄN</t>
        </is>
      </c>
      <c r="G336" t="inlineStr">
        <is>
          <t>YDRE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44741-2021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44438</v>
      </c>
      <c r="E337" s="1" t="n">
        <v>46229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45436</v>
      </c>
      <c r="E338" s="1" t="n">
        <v>46229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68983-2021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44530</v>
      </c>
      <c r="E339" s="1" t="n">
        <v>46229</v>
      </c>
      <c r="F339" t="inlineStr">
        <is>
          <t>ÖSTERGÖTLANDS LÄN</t>
        </is>
      </c>
      <c r="G339" t="inlineStr">
        <is>
          <t>YDRE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46229</v>
      </c>
      <c r="F340" t="inlineStr">
        <is>
          <t>ÖSTERGÖTLANDS LÄN</t>
        </is>
      </c>
      <c r="G340" t="inlineStr">
        <is>
          <t>YDRE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46229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46229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45398</v>
      </c>
      <c r="E343" s="1" t="n">
        <v>46229</v>
      </c>
      <c r="F343" t="inlineStr">
        <is>
          <t>ÖSTERGÖTLANDS LÄN</t>
        </is>
      </c>
      <c r="G343" t="inlineStr">
        <is>
          <t>YDRE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46229</v>
      </c>
      <c r="F344" t="inlineStr">
        <is>
          <t>ÖSTERGÖTLANDS LÄN</t>
        </is>
      </c>
      <c r="G344" t="inlineStr">
        <is>
          <t>YDRE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18432-2025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45762</v>
      </c>
      <c r="E345" s="1" t="n">
        <v>46229</v>
      </c>
      <c r="F345" t="inlineStr">
        <is>
          <t>ÖSTERGÖTLANDS LÄN</t>
        </is>
      </c>
      <c r="G345" t="inlineStr">
        <is>
          <t>YDRE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46229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46229</v>
      </c>
      <c r="F347" t="inlineStr">
        <is>
          <t>ÖSTERGÖTLANDS LÄN</t>
        </is>
      </c>
      <c r="G347" t="inlineStr">
        <is>
          <t>YDRE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45600</v>
      </c>
      <c r="E348" s="1" t="n">
        <v>46229</v>
      </c>
      <c r="F348" t="inlineStr">
        <is>
          <t>ÖSTERGÖTLANDS LÄN</t>
        </is>
      </c>
      <c r="G348" t="inlineStr">
        <is>
          <t>YDRE</t>
        </is>
      </c>
      <c r="H348" t="inlineStr">
        <is>
          <t>Kyrkan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46229</v>
      </c>
      <c r="F349" t="inlineStr">
        <is>
          <t>ÖSTERGÖTLANDS LÄN</t>
        </is>
      </c>
      <c r="G349" t="inlineStr">
        <is>
          <t>YDRE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46229</v>
      </c>
      <c r="F350" t="inlineStr">
        <is>
          <t>ÖSTERGÖTLANDS LÄN</t>
        </is>
      </c>
      <c r="G350" t="inlineStr">
        <is>
          <t>YDRE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46229</v>
      </c>
      <c r="F351" t="inlineStr">
        <is>
          <t>ÖSTERGÖTLANDS LÄN</t>
        </is>
      </c>
      <c r="G351" t="inlineStr">
        <is>
          <t>YDRE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44816</v>
      </c>
      <c r="E352" s="1" t="n">
        <v>46229</v>
      </c>
      <c r="F352" t="inlineStr">
        <is>
          <t>ÖSTERGÖTLANDS LÄN</t>
        </is>
      </c>
      <c r="G352" t="inlineStr">
        <is>
          <t>YDRE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45016</v>
      </c>
      <c r="E353" s="1" t="n">
        <v>46229</v>
      </c>
      <c r="F353" t="inlineStr">
        <is>
          <t>ÖSTERGÖTLANDS LÄN</t>
        </is>
      </c>
      <c r="G353" t="inlineStr">
        <is>
          <t>YDRE</t>
        </is>
      </c>
      <c r="H353" t="inlineStr">
        <is>
          <t>Övriga Aktiebolag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44655</v>
      </c>
      <c r="E354" s="1" t="n">
        <v>46229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46229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45085</v>
      </c>
      <c r="E356" s="1" t="n">
        <v>46229</v>
      </c>
      <c r="F356" t="inlineStr">
        <is>
          <t>ÖSTERGÖTLANDS LÄN</t>
        </is>
      </c>
      <c r="G356" t="inlineStr">
        <is>
          <t>YDRE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46229</v>
      </c>
      <c r="F357" t="inlineStr">
        <is>
          <t>ÖSTERGÖTLANDS LÄN</t>
        </is>
      </c>
      <c r="G357" t="inlineStr">
        <is>
          <t>YDRE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46229</v>
      </c>
      <c r="F358" t="inlineStr">
        <is>
          <t>ÖSTERGÖTLANDS LÄN</t>
        </is>
      </c>
      <c r="G358" t="inlineStr">
        <is>
          <t>YDRE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44980</v>
      </c>
      <c r="E359" s="1" t="n">
        <v>46229</v>
      </c>
      <c r="F359" t="inlineStr">
        <is>
          <t>ÖSTERGÖTLANDS LÄN</t>
        </is>
      </c>
      <c r="G359" t="inlineStr">
        <is>
          <t>YDRE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46229</v>
      </c>
      <c r="F360" t="inlineStr">
        <is>
          <t>ÖSTERGÖTLANDS LÄN</t>
        </is>
      </c>
      <c r="G360" t="inlineStr">
        <is>
          <t>YDRE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45634</v>
      </c>
      <c r="E361" s="1" t="n">
        <v>46229</v>
      </c>
      <c r="F361" t="inlineStr">
        <is>
          <t>ÖSTERGÖTLANDS LÄN</t>
        </is>
      </c>
      <c r="G361" t="inlineStr">
        <is>
          <t>YDRE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46229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45414</v>
      </c>
      <c r="E363" s="1" t="n">
        <v>46229</v>
      </c>
      <c r="F363" t="inlineStr">
        <is>
          <t>ÖSTERGÖTLANDS LÄN</t>
        </is>
      </c>
      <c r="G363" t="inlineStr">
        <is>
          <t>YDRE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14184-2022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44651</v>
      </c>
      <c r="E364" s="1" t="n">
        <v>46229</v>
      </c>
      <c r="F364" t="inlineStr">
        <is>
          <t>ÖSTERGÖTLANDS LÄN</t>
        </is>
      </c>
      <c r="G364" t="inlineStr">
        <is>
          <t>YDRE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44844</v>
      </c>
      <c r="E365" s="1" t="n">
        <v>46229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46229</v>
      </c>
      <c r="F366" t="inlineStr">
        <is>
          <t>ÖSTERGÖTLANDS LÄN</t>
        </is>
      </c>
      <c r="G366" t="inlineStr">
        <is>
          <t>YDRE</t>
        </is>
      </c>
      <c r="I366" t="n">
        <v>17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46229</v>
      </c>
      <c r="F367" t="inlineStr">
        <is>
          <t>ÖSTERGÖTLANDS LÄN</t>
        </is>
      </c>
      <c r="G367" t="inlineStr">
        <is>
          <t>YDRE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46229</v>
      </c>
      <c r="F368" t="inlineStr">
        <is>
          <t>ÖSTERGÖTLANDS LÄN</t>
        </is>
      </c>
      <c r="G368" t="inlineStr">
        <is>
          <t>YDRE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46229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46229</v>
      </c>
      <c r="F370" t="inlineStr">
        <is>
          <t>ÖSTERGÖTLANDS LÄN</t>
        </is>
      </c>
      <c r="G370" t="inlineStr">
        <is>
          <t>YDRE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46229</v>
      </c>
      <c r="F371" t="inlineStr">
        <is>
          <t>ÖSTERGÖTLANDS LÄN</t>
        </is>
      </c>
      <c r="G371" t="inlineStr">
        <is>
          <t>YDRE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46229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46229</v>
      </c>
      <c r="F373" t="inlineStr">
        <is>
          <t>ÖSTERGÖTLANDS LÄN</t>
        </is>
      </c>
      <c r="G373" t="inlineStr">
        <is>
          <t>YDRE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46229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46229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46229</v>
      </c>
      <c r="F376" t="inlineStr">
        <is>
          <t>ÖSTERGÖTLANDS LÄN</t>
        </is>
      </c>
      <c r="G376" t="inlineStr">
        <is>
          <t>YDRE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14101-2022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46229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46229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46229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46229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45096</v>
      </c>
      <c r="E381" s="1" t="n">
        <v>46229</v>
      </c>
      <c r="F381" t="inlineStr">
        <is>
          <t>ÖSTERGÖTLANDS LÄN</t>
        </is>
      </c>
      <c r="G381" t="inlineStr">
        <is>
          <t>YDRE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46229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45736</v>
      </c>
      <c r="E383" s="1" t="n">
        <v>46229</v>
      </c>
      <c r="F383" t="inlineStr">
        <is>
          <t>ÖSTERGÖTLANDS LÄN</t>
        </is>
      </c>
      <c r="G383" t="inlineStr">
        <is>
          <t>YDRE</t>
        </is>
      </c>
      <c r="H383" t="inlineStr">
        <is>
          <t>Övriga Aktiebolag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46229</v>
      </c>
      <c r="F384" t="inlineStr">
        <is>
          <t>ÖSTERGÖTLANDS LÄN</t>
        </is>
      </c>
      <c r="G384" t="inlineStr">
        <is>
          <t>YDRE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61205-2023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45264</v>
      </c>
      <c r="E385" s="1" t="n">
        <v>46229</v>
      </c>
      <c r="F385" t="inlineStr">
        <is>
          <t>ÖSTERGÖTLANDS LÄN</t>
        </is>
      </c>
      <c r="G385" t="inlineStr">
        <is>
          <t>YDRE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57290-2021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46229</v>
      </c>
      <c r="F386" t="inlineStr">
        <is>
          <t>ÖSTERGÖTLANDS LÄN</t>
        </is>
      </c>
      <c r="G386" t="inlineStr">
        <is>
          <t>YDRE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46229</v>
      </c>
      <c r="F387" t="inlineStr">
        <is>
          <t>ÖSTERGÖTLANDS LÄN</t>
        </is>
      </c>
      <c r="G387" t="inlineStr">
        <is>
          <t>YDRE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45468</v>
      </c>
      <c r="E388" s="1" t="n">
        <v>46229</v>
      </c>
      <c r="F388" t="inlineStr">
        <is>
          <t>ÖSTERGÖTLANDS LÄN</t>
        </is>
      </c>
      <c r="G388" t="inlineStr">
        <is>
          <t>YDRE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45544</v>
      </c>
      <c r="E389" s="1" t="n">
        <v>46229</v>
      </c>
      <c r="F389" t="inlineStr">
        <is>
          <t>ÖSTERGÖTLANDS LÄN</t>
        </is>
      </c>
      <c r="G389" t="inlineStr">
        <is>
          <t>YDRE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46229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46229</v>
      </c>
      <c r="F391" t="inlineStr">
        <is>
          <t>ÖSTERGÖTLANDS LÄN</t>
        </is>
      </c>
      <c r="G391" t="inlineStr">
        <is>
          <t>YDRE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46229</v>
      </c>
      <c r="F392" t="inlineStr">
        <is>
          <t>ÖSTERGÖTLANDS LÄN</t>
        </is>
      </c>
      <c r="G392" t="inlineStr">
        <is>
          <t>YDRE</t>
        </is>
      </c>
      <c r="H392" t="inlineStr">
        <is>
          <t>Övriga Aktiebolag</t>
        </is>
      </c>
      <c r="I392" t="n">
        <v>18.2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45475</v>
      </c>
      <c r="E393" s="1" t="n">
        <v>46229</v>
      </c>
      <c r="F393" t="inlineStr">
        <is>
          <t>ÖSTERGÖTLANDS LÄN</t>
        </is>
      </c>
      <c r="G393" t="inlineStr">
        <is>
          <t>YDRE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45365</v>
      </c>
      <c r="E394" s="1" t="n">
        <v>46229</v>
      </c>
      <c r="F394" t="inlineStr">
        <is>
          <t>ÖSTERGÖTLANDS LÄN</t>
        </is>
      </c>
      <c r="G394" t="inlineStr">
        <is>
          <t>YDRE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46229</v>
      </c>
      <c r="F395" t="inlineStr">
        <is>
          <t>ÖSTERGÖTLANDS LÄN</t>
        </is>
      </c>
      <c r="G395" t="inlineStr">
        <is>
          <t>YDRE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46229</v>
      </c>
      <c r="F396" t="inlineStr">
        <is>
          <t>ÖSTERGÖTLANDS LÄN</t>
        </is>
      </c>
      <c r="G396" t="inlineStr">
        <is>
          <t>YDRE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46229</v>
      </c>
      <c r="F397" t="inlineStr">
        <is>
          <t>ÖSTERGÖTLANDS LÄN</t>
        </is>
      </c>
      <c r="G397" t="inlineStr">
        <is>
          <t>YDRE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46229</v>
      </c>
      <c r="F398" t="inlineStr">
        <is>
          <t>ÖSTERGÖTLANDS LÄN</t>
        </is>
      </c>
      <c r="G398" t="inlineStr">
        <is>
          <t>YDRE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46229</v>
      </c>
      <c r="F399" t="inlineStr">
        <is>
          <t>ÖSTERGÖTLANDS LÄN</t>
        </is>
      </c>
      <c r="G399" t="inlineStr">
        <is>
          <t>YDRE</t>
        </is>
      </c>
      <c r="H399" t="inlineStr">
        <is>
          <t>Kyrkan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46229</v>
      </c>
      <c r="F400" t="inlineStr">
        <is>
          <t>ÖSTERGÖTLANDS LÄN</t>
        </is>
      </c>
      <c r="G400" t="inlineStr">
        <is>
          <t>YDRE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46229</v>
      </c>
      <c r="F401" t="inlineStr">
        <is>
          <t>ÖSTERGÖTLANDS LÄN</t>
        </is>
      </c>
      <c r="G401" t="inlineStr">
        <is>
          <t>YDRE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46229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46229</v>
      </c>
      <c r="F403" t="inlineStr">
        <is>
          <t>ÖSTERGÖTLANDS LÄN</t>
        </is>
      </c>
      <c r="G403" t="inlineStr">
        <is>
          <t>YDRE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46229</v>
      </c>
      <c r="F404" t="inlineStr">
        <is>
          <t>ÖSTERGÖTLANDS LÄN</t>
        </is>
      </c>
      <c r="G404" t="inlineStr">
        <is>
          <t>YDRE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46229</v>
      </c>
      <c r="F405" t="inlineStr">
        <is>
          <t>ÖSTERGÖTLANDS LÄN</t>
        </is>
      </c>
      <c r="G405" t="inlineStr">
        <is>
          <t>YDRE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46229</v>
      </c>
      <c r="F406" t="inlineStr">
        <is>
          <t>ÖSTERGÖTLANDS LÄN</t>
        </is>
      </c>
      <c r="G406" t="inlineStr">
        <is>
          <t>YDRE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46229</v>
      </c>
      <c r="F407" t="inlineStr">
        <is>
          <t>ÖSTERGÖTLANDS LÄN</t>
        </is>
      </c>
      <c r="G407" t="inlineStr">
        <is>
          <t>YDRE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46229</v>
      </c>
      <c r="F408" t="inlineStr">
        <is>
          <t>ÖSTERGÖTLANDS LÄN</t>
        </is>
      </c>
      <c r="G408" t="inlineStr">
        <is>
          <t>YDRE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32635-2025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45838</v>
      </c>
      <c r="E409" s="1" t="n">
        <v>46229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46229</v>
      </c>
      <c r="F410" t="inlineStr">
        <is>
          <t>ÖSTERGÖTLANDS LÄN</t>
        </is>
      </c>
      <c r="G410" t="inlineStr">
        <is>
          <t>YDRE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46229</v>
      </c>
      <c r="F411" t="inlineStr">
        <is>
          <t>ÖSTERGÖTLANDS LÄN</t>
        </is>
      </c>
      <c r="G411" t="inlineStr">
        <is>
          <t>YDRE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46229</v>
      </c>
      <c r="F412" t="inlineStr">
        <is>
          <t>ÖSTERGÖTLANDS LÄN</t>
        </is>
      </c>
      <c r="G412" t="inlineStr">
        <is>
          <t>YDRE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46229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46229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46229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46229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46229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46229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46229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2026-07-26T01:54:01Z</dcterms:created>
  <dcterms:modified xmlns:dcterms="http://purl.org/dc/terms/" xmlns:xsi="http://www.w3.org/2001/XMLSchema-instance" xsi:type="dcterms:W3CDTF">2026-07-26T01:54:02Z</dcterms:modified>
</cp:coreProperties>
</file>