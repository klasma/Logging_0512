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46279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46279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46279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46279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46279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46279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46279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46279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46279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46279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46279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46279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46279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46279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46279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46279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46279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46279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46279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46279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9051-2026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46279</v>
      </c>
      <c r="F27" t="inlineStr">
        <is>
          <t>ÖSTERGÖTLANDS LÄN</t>
        </is>
      </c>
      <c r="G27" t="inlineStr">
        <is>
          <t>YDRE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HYPERLINK("https://klasma.github.io/Logging_0512/artfynd/A 9051-2026 artfynd.xlsx", "A 9051-2026")</f>
        <v/>
      </c>
      <c r="X27">
        <f>HYPERLINK("https://klasma.github.io/Logging_0512/kartor/A 9051-2026 karta.png", "A 9051-2026")</f>
        <v/>
      </c>
      <c r="Y27">
        <f>HYPERLINK("https://klasma.github.io/Logging_0512/kartor_geotiff/A 9051-2026 georefererad karta.tif", "A 9051-2026")</f>
        <v/>
      </c>
      <c r="AA27">
        <f>HYPERLINK("https://klasma.github.io/Logging_0512/klagomål/A 9051-2026 FSC-klagomål.docx", "A 9051-2026")</f>
        <v/>
      </c>
      <c r="AB27">
        <f>HYPERLINK("https://klasma.github.io/Logging_0512/klagomålsmail/A 9051-2026 FSC-klagomål mail.docx", "A 9051-2026")</f>
        <v/>
      </c>
      <c r="AC27">
        <f>HYPERLINK("https://klasma.github.io/Logging_0512/tillsyn/A 9051-2026 tillsynsbegäran.docx", "A 9051-2026")</f>
        <v/>
      </c>
      <c r="AD27">
        <f>HYPERLINK("https://klasma.github.io/Logging_0512/tillsynsmail/A 9051-2026 tillsynsbegäran mail.docx", "A 9051-2026")</f>
        <v/>
      </c>
    </row>
    <row r="28" ht="15" customHeight="1">
      <c r="A28" t="inlineStr">
        <is>
          <t>A 8923-2026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46279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8923-2026 artfynd.xlsx", "A 8923-2026")</f>
        <v/>
      </c>
      <c r="X28">
        <f>HYPERLINK("https://klasma.github.io/Logging_0512/kartor/A 8923-2026 karta.png", "A 8923-2026")</f>
        <v/>
      </c>
      <c r="Y28">
        <f>HYPERLINK("https://klasma.github.io/Logging_0512/kartor_geotiff/A 8923-2026 georefererad karta.tif", "A 8923-2026")</f>
        <v/>
      </c>
      <c r="AA28">
        <f>HYPERLINK("https://klasma.github.io/Logging_0512/klagomål/A 8923-2026 FSC-klagomål.docx", "A 8923-2026")</f>
        <v/>
      </c>
      <c r="AB28">
        <f>HYPERLINK("https://klasma.github.io/Logging_0512/klagomålsmail/A 8923-2026 FSC-klagomål mail.docx", "A 8923-2026")</f>
        <v/>
      </c>
      <c r="AC28">
        <f>HYPERLINK("https://klasma.github.io/Logging_0512/tillsyn/A 8923-2026 tillsynsbegäran.docx", "A 8923-2026")</f>
        <v/>
      </c>
      <c r="AD28">
        <f>HYPERLINK("https://klasma.github.io/Logging_0512/tillsynsmail/A 8923-2026 tillsynsbegäran mail.docx", "A 8923-2026")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46279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46279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46279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46279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46279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46279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46279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46279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46279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46279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46279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46279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46279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46279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46279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46279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46279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46279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46279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46279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46279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46279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46279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46279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46279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46279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46279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44452</v>
      </c>
      <c r="E56" s="1" t="n">
        <v>46279</v>
      </c>
      <c r="F56" t="inlineStr">
        <is>
          <t>ÖSTERGÖTLANDS LÄN</t>
        </is>
      </c>
      <c r="G56" t="inlineStr">
        <is>
          <t>YDRE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46279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46279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46279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46279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46279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46279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46279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46279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46279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46279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46279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46279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46279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46279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46279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46279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46279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46279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46279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46279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46279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46279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46279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46279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46279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46279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46279</v>
      </c>
      <c r="F83" t="inlineStr">
        <is>
          <t>ÖSTERGÖTLANDS LÄN</t>
        </is>
      </c>
      <c r="G83" t="inlineStr">
        <is>
          <t>YDRE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46279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44796</v>
      </c>
      <c r="E85" s="1" t="n">
        <v>46279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46279</v>
      </c>
      <c r="F86" t="inlineStr">
        <is>
          <t>ÖSTERGÖTLANDS LÄN</t>
        </is>
      </c>
      <c r="G86" t="inlineStr">
        <is>
          <t>YDRE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46279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46279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46279</v>
      </c>
      <c r="F89" t="inlineStr">
        <is>
          <t>ÖSTERGÖTLANDS LÄN</t>
        </is>
      </c>
      <c r="G89" t="inlineStr">
        <is>
          <t>YDRE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46279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55844-2021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44476</v>
      </c>
      <c r="E91" s="1" t="n">
        <v>46279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46279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46279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45647</v>
      </c>
      <c r="E94" s="1" t="n">
        <v>46279</v>
      </c>
      <c r="F94" t="inlineStr">
        <is>
          <t>ÖSTERGÖTLANDS LÄN</t>
        </is>
      </c>
      <c r="G94" t="inlineStr">
        <is>
          <t>YDRE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46279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46279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45218</v>
      </c>
      <c r="E97" s="1" t="n">
        <v>46279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46279</v>
      </c>
      <c r="F98" t="inlineStr">
        <is>
          <t>ÖSTERGÖTLANDS LÄN</t>
        </is>
      </c>
      <c r="G98" t="inlineStr">
        <is>
          <t>YDRE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46279</v>
      </c>
      <c r="F99" t="inlineStr">
        <is>
          <t>ÖSTERGÖTLANDS LÄN</t>
        </is>
      </c>
      <c r="G99" t="inlineStr">
        <is>
          <t>YDRE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46279</v>
      </c>
      <c r="F100" t="inlineStr">
        <is>
          <t>ÖSTERGÖTLANDS LÄN</t>
        </is>
      </c>
      <c r="G100" t="inlineStr">
        <is>
          <t>YDRE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46279</v>
      </c>
      <c r="F101" t="inlineStr">
        <is>
          <t>ÖSTERGÖTLANDS LÄN</t>
        </is>
      </c>
      <c r="G101" t="inlineStr">
        <is>
          <t>YDRE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46279</v>
      </c>
      <c r="F102" t="inlineStr">
        <is>
          <t>ÖSTERGÖTLANDS LÄN</t>
        </is>
      </c>
      <c r="G102" t="inlineStr">
        <is>
          <t>YDRE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46279</v>
      </c>
      <c r="F103" t="inlineStr">
        <is>
          <t>ÖSTERGÖTLANDS LÄN</t>
        </is>
      </c>
      <c r="G103" t="inlineStr">
        <is>
          <t>YDRE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46279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46279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46279</v>
      </c>
      <c r="F106" t="inlineStr">
        <is>
          <t>ÖSTERGÖTLANDS LÄN</t>
        </is>
      </c>
      <c r="G106" t="inlineStr">
        <is>
          <t>YDRE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46279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46279</v>
      </c>
      <c r="F108" t="inlineStr">
        <is>
          <t>ÖSTERGÖTLANDS LÄN</t>
        </is>
      </c>
      <c r="G108" t="inlineStr">
        <is>
          <t>YDRE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46279</v>
      </c>
      <c r="F109" t="inlineStr">
        <is>
          <t>ÖSTERGÖTLANDS LÄN</t>
        </is>
      </c>
      <c r="G109" t="inlineStr">
        <is>
          <t>YDRE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46279</v>
      </c>
      <c r="F110" t="inlineStr">
        <is>
          <t>ÖSTERGÖTLANDS LÄN</t>
        </is>
      </c>
      <c r="G110" t="inlineStr">
        <is>
          <t>YDRE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46279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46279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46279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46279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46279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46279</v>
      </c>
      <c r="F116" t="inlineStr">
        <is>
          <t>ÖSTERGÖTLANDS LÄN</t>
        </is>
      </c>
      <c r="G116" t="inlineStr">
        <is>
          <t>YDRE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46279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46279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46279</v>
      </c>
      <c r="F119" t="inlineStr">
        <is>
          <t>ÖSTERGÖTLANDS LÄN</t>
        </is>
      </c>
      <c r="G119" t="inlineStr">
        <is>
          <t>YDRE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32635-2025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45838</v>
      </c>
      <c r="E120" s="1" t="n">
        <v>46279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46279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45000</v>
      </c>
      <c r="E122" s="1" t="n">
        <v>46279</v>
      </c>
      <c r="F122" t="inlineStr">
        <is>
          <t>ÖSTERGÖTLANDS LÄN</t>
        </is>
      </c>
      <c r="G122" t="inlineStr">
        <is>
          <t>YDRE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46279</v>
      </c>
      <c r="F123" t="inlineStr">
        <is>
          <t>ÖSTERGÖTLANDS LÄN</t>
        </is>
      </c>
      <c r="G123" t="inlineStr">
        <is>
          <t>YDRE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46279</v>
      </c>
      <c r="F124" t="inlineStr">
        <is>
          <t>ÖSTERGÖTLANDS LÄN</t>
        </is>
      </c>
      <c r="G124" t="inlineStr">
        <is>
          <t>YDRE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46279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44651</v>
      </c>
      <c r="E126" s="1" t="n">
        <v>46279</v>
      </c>
      <c r="F126" t="inlineStr">
        <is>
          <t>ÖSTERGÖTLANDS LÄN</t>
        </is>
      </c>
      <c r="G126" t="inlineStr">
        <is>
          <t>YDRE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46279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46279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46279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46279</v>
      </c>
      <c r="F130" t="inlineStr">
        <is>
          <t>ÖSTERGÖTLANDS LÄN</t>
        </is>
      </c>
      <c r="G130" t="inlineStr">
        <is>
          <t>YDRE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46279</v>
      </c>
      <c r="F131" t="inlineStr">
        <is>
          <t>ÖSTERGÖTLANDS LÄN</t>
        </is>
      </c>
      <c r="G131" t="inlineStr">
        <is>
          <t>YDRE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46279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46279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46279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46279</v>
      </c>
      <c r="F135" t="inlineStr">
        <is>
          <t>ÖSTERGÖTLANDS LÄN</t>
        </is>
      </c>
      <c r="G135" t="inlineStr">
        <is>
          <t>YDRE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46279</v>
      </c>
      <c r="F136" t="inlineStr">
        <is>
          <t>ÖSTERGÖTLANDS LÄN</t>
        </is>
      </c>
      <c r="G136" t="inlineStr">
        <is>
          <t>YDRE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46279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46279</v>
      </c>
      <c r="F138" t="inlineStr">
        <is>
          <t>ÖSTERGÖTLANDS LÄN</t>
        </is>
      </c>
      <c r="G138" t="inlineStr">
        <is>
          <t>YDRE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46077</v>
      </c>
      <c r="E139" s="1" t="n">
        <v>46279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46279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46279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46279</v>
      </c>
      <c r="F142" t="inlineStr">
        <is>
          <t>ÖSTERGÖTLANDS LÄN</t>
        </is>
      </c>
      <c r="G142" t="inlineStr">
        <is>
          <t>YDRE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46279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46279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46279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46279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46279</v>
      </c>
      <c r="F147" t="inlineStr">
        <is>
          <t>ÖSTERGÖTLANDS LÄN</t>
        </is>
      </c>
      <c r="G147" t="inlineStr">
        <is>
          <t>YDRE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45924</v>
      </c>
      <c r="E148" s="1" t="n">
        <v>46279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46279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45666</v>
      </c>
      <c r="E150" s="1" t="n">
        <v>46279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46279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46279</v>
      </c>
      <c r="F152" t="inlineStr">
        <is>
          <t>ÖSTERGÖTLANDS LÄN</t>
        </is>
      </c>
      <c r="G152" t="inlineStr">
        <is>
          <t>YDRE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46279</v>
      </c>
      <c r="F153" t="inlineStr">
        <is>
          <t>ÖSTERGÖTLANDS LÄN</t>
        </is>
      </c>
      <c r="G153" t="inlineStr">
        <is>
          <t>YDRE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46279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46279</v>
      </c>
      <c r="F155" t="inlineStr">
        <is>
          <t>ÖSTERGÖTLANDS LÄN</t>
        </is>
      </c>
      <c r="G155" t="inlineStr">
        <is>
          <t>YDRE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46279</v>
      </c>
      <c r="F156" t="inlineStr">
        <is>
          <t>ÖSTERGÖTLANDS LÄN</t>
        </is>
      </c>
      <c r="G156" t="inlineStr">
        <is>
          <t>YDRE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46279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46279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46279</v>
      </c>
      <c r="F159" t="inlineStr">
        <is>
          <t>ÖSTERGÖTLANDS LÄN</t>
        </is>
      </c>
      <c r="G159" t="inlineStr">
        <is>
          <t>YDRE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45575</v>
      </c>
      <c r="E160" s="1" t="n">
        <v>46279</v>
      </c>
      <c r="F160" t="inlineStr">
        <is>
          <t>ÖSTERGÖTLANDS LÄN</t>
        </is>
      </c>
      <c r="G160" t="inlineStr">
        <is>
          <t>YDRE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46279</v>
      </c>
      <c r="F161" t="inlineStr">
        <is>
          <t>ÖSTERGÖTLANDS LÄN</t>
        </is>
      </c>
      <c r="G161" t="inlineStr">
        <is>
          <t>YDRE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45943</v>
      </c>
      <c r="E162" s="1" t="n">
        <v>46279</v>
      </c>
      <c r="F162" t="inlineStr">
        <is>
          <t>ÖSTERGÖTLANDS LÄN</t>
        </is>
      </c>
      <c r="G162" t="inlineStr">
        <is>
          <t>YDRE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46279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46279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45634</v>
      </c>
      <c r="E165" s="1" t="n">
        <v>46279</v>
      </c>
      <c r="F165" t="inlineStr">
        <is>
          <t>ÖSTERGÖTLANDS LÄN</t>
        </is>
      </c>
      <c r="G165" t="inlineStr">
        <is>
          <t>YDRE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45649</v>
      </c>
      <c r="E166" s="1" t="n">
        <v>46279</v>
      </c>
      <c r="F166" t="inlineStr">
        <is>
          <t>ÖSTERGÖTLANDS LÄN</t>
        </is>
      </c>
      <c r="G166" t="inlineStr">
        <is>
          <t>YDRE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46279</v>
      </c>
      <c r="F167" t="inlineStr">
        <is>
          <t>ÖSTERGÖTLANDS LÄN</t>
        </is>
      </c>
      <c r="G167" t="inlineStr">
        <is>
          <t>YDRE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46279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46097</v>
      </c>
      <c r="E169" s="1" t="n">
        <v>46279</v>
      </c>
      <c r="F169" t="inlineStr">
        <is>
          <t>ÖSTERGÖTLANDS LÄN</t>
        </is>
      </c>
      <c r="G169" t="inlineStr">
        <is>
          <t>YDRE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46279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46279</v>
      </c>
      <c r="F171" t="inlineStr">
        <is>
          <t>ÖSTERGÖTLANDS LÄN</t>
        </is>
      </c>
      <c r="G171" t="inlineStr">
        <is>
          <t>YDRE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46279</v>
      </c>
      <c r="F172" t="inlineStr">
        <is>
          <t>ÖSTERGÖTLANDS LÄN</t>
        </is>
      </c>
      <c r="G172" t="inlineStr">
        <is>
          <t>YDRE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46279</v>
      </c>
      <c r="F173" t="inlineStr">
        <is>
          <t>ÖSTERGÖTLANDS LÄN</t>
        </is>
      </c>
      <c r="G173" t="inlineStr">
        <is>
          <t>YDRE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44816</v>
      </c>
      <c r="E174" s="1" t="n">
        <v>46279</v>
      </c>
      <c r="F174" t="inlineStr">
        <is>
          <t>ÖSTERGÖTLANDS LÄN</t>
        </is>
      </c>
      <c r="G174" t="inlineStr">
        <is>
          <t>YDRE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46279</v>
      </c>
      <c r="F175" t="inlineStr">
        <is>
          <t>ÖSTERGÖTLANDS LÄN</t>
        </is>
      </c>
      <c r="G175" t="inlineStr">
        <is>
          <t>YDRE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46279</v>
      </c>
      <c r="F176" t="inlineStr">
        <is>
          <t>ÖSTERGÖTLANDS LÄN</t>
        </is>
      </c>
      <c r="G176" t="inlineStr">
        <is>
          <t>YDRE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44562</v>
      </c>
      <c r="E177" s="1" t="n">
        <v>46279</v>
      </c>
      <c r="F177" t="inlineStr">
        <is>
          <t>ÖSTERGÖTLANDS LÄN</t>
        </is>
      </c>
      <c r="G177" t="inlineStr">
        <is>
          <t>YDRE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46279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46279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46279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61942-2021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46279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46279</v>
      </c>
      <c r="F182" t="inlineStr">
        <is>
          <t>ÖSTERGÖTLANDS LÄN</t>
        </is>
      </c>
      <c r="G182" t="inlineStr">
        <is>
          <t>YDRE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46279</v>
      </c>
      <c r="F183" t="inlineStr">
        <is>
          <t>ÖSTERGÖTLANDS LÄN</t>
        </is>
      </c>
      <c r="G183" t="inlineStr">
        <is>
          <t>YDRE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46279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46279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46279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46279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46279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46279</v>
      </c>
      <c r="F189" t="inlineStr">
        <is>
          <t>ÖSTERGÖTLANDS LÄN</t>
        </is>
      </c>
      <c r="G189" t="inlineStr">
        <is>
          <t>YDRE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46279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46279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46279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46279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46279</v>
      </c>
      <c r="F194" t="inlineStr">
        <is>
          <t>ÖSTERGÖTLANDS LÄN</t>
        </is>
      </c>
      <c r="G194" t="inlineStr">
        <is>
          <t>YDRE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46279</v>
      </c>
      <c r="F195" t="inlineStr">
        <is>
          <t>ÖSTERGÖTLANDS LÄN</t>
        </is>
      </c>
      <c r="G195" t="inlineStr">
        <is>
          <t>YDRE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46279</v>
      </c>
      <c r="F196" t="inlineStr">
        <is>
          <t>ÖSTERGÖTLANDS LÄN</t>
        </is>
      </c>
      <c r="G196" t="inlineStr">
        <is>
          <t>YDRE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46116</v>
      </c>
      <c r="E197" s="1" t="n">
        <v>46279</v>
      </c>
      <c r="F197" t="inlineStr">
        <is>
          <t>ÖSTERGÖTLANDS LÄN</t>
        </is>
      </c>
      <c r="G197" t="inlineStr">
        <is>
          <t>YDRE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45334</v>
      </c>
      <c r="E198" s="1" t="n">
        <v>46279</v>
      </c>
      <c r="F198" t="inlineStr">
        <is>
          <t>ÖSTERGÖTLANDS LÄN</t>
        </is>
      </c>
      <c r="G198" t="inlineStr">
        <is>
          <t>YDRE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46279</v>
      </c>
      <c r="F199" t="inlineStr">
        <is>
          <t>ÖSTERGÖTLANDS LÄN</t>
        </is>
      </c>
      <c r="G199" t="inlineStr">
        <is>
          <t>YDRE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46279</v>
      </c>
      <c r="F200" t="inlineStr">
        <is>
          <t>ÖSTERGÖTLANDS LÄN</t>
        </is>
      </c>
      <c r="G200" t="inlineStr">
        <is>
          <t>YDRE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46279</v>
      </c>
      <c r="F201" t="inlineStr">
        <is>
          <t>ÖSTERGÖTLANDS LÄN</t>
        </is>
      </c>
      <c r="G201" t="inlineStr">
        <is>
          <t>YDRE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46279</v>
      </c>
      <c r="F202" t="inlineStr">
        <is>
          <t>ÖSTERGÖTLANDS LÄN</t>
        </is>
      </c>
      <c r="G202" t="inlineStr">
        <is>
          <t>YDRE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46125</v>
      </c>
      <c r="E203" s="1" t="n">
        <v>46279</v>
      </c>
      <c r="F203" t="inlineStr">
        <is>
          <t>ÖSTERGÖTLANDS LÄN</t>
        </is>
      </c>
      <c r="G203" t="inlineStr">
        <is>
          <t>YDRE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46279</v>
      </c>
      <c r="F204" t="inlineStr">
        <is>
          <t>ÖSTERGÖTLANDS LÄN</t>
        </is>
      </c>
      <c r="G204" t="inlineStr">
        <is>
          <t>YDRE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46279</v>
      </c>
      <c r="F205" t="inlineStr">
        <is>
          <t>ÖSTERGÖTLANDS LÄN</t>
        </is>
      </c>
      <c r="G205" t="inlineStr">
        <is>
          <t>YDRE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46279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46279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46279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45994</v>
      </c>
      <c r="E209" s="1" t="n">
        <v>46279</v>
      </c>
      <c r="F209" t="inlineStr">
        <is>
          <t>ÖSTERGÖTLANDS LÄN</t>
        </is>
      </c>
      <c r="G209" t="inlineStr">
        <is>
          <t>YDRE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61205-2023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45264</v>
      </c>
      <c r="E210" s="1" t="n">
        <v>46279</v>
      </c>
      <c r="F210" t="inlineStr">
        <is>
          <t>ÖSTERGÖTLANDS LÄN</t>
        </is>
      </c>
      <c r="G210" t="inlineStr">
        <is>
          <t>YDRE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46279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46279</v>
      </c>
      <c r="F212" t="inlineStr">
        <is>
          <t>ÖSTERGÖTLANDS LÄN</t>
        </is>
      </c>
      <c r="G212" t="inlineStr">
        <is>
          <t>YDRE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46279</v>
      </c>
      <c r="F213" t="inlineStr">
        <is>
          <t>ÖSTERGÖTLANDS LÄN</t>
        </is>
      </c>
      <c r="G213" t="inlineStr">
        <is>
          <t>YDRE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46279</v>
      </c>
      <c r="F214" t="inlineStr">
        <is>
          <t>ÖSTERGÖTLANDS LÄN</t>
        </is>
      </c>
      <c r="G214" t="inlineStr">
        <is>
          <t>YDRE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46279</v>
      </c>
      <c r="F215" t="inlineStr">
        <is>
          <t>ÖSTERGÖTLANDS LÄN</t>
        </is>
      </c>
      <c r="G215" t="inlineStr">
        <is>
          <t>YDRE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46279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46279</v>
      </c>
      <c r="F217" t="inlineStr">
        <is>
          <t>ÖSTERGÖTLANDS LÄN</t>
        </is>
      </c>
      <c r="G217" t="inlineStr">
        <is>
          <t>YDRE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46279</v>
      </c>
      <c r="F218" t="inlineStr">
        <is>
          <t>ÖSTERGÖTLANDS LÄN</t>
        </is>
      </c>
      <c r="G218" t="inlineStr">
        <is>
          <t>YDRE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46279</v>
      </c>
      <c r="F219" t="inlineStr">
        <is>
          <t>ÖSTERGÖTLANDS LÄN</t>
        </is>
      </c>
      <c r="G219" t="inlineStr">
        <is>
          <t>YDRE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46279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46279</v>
      </c>
      <c r="F221" t="inlineStr">
        <is>
          <t>ÖSTERGÖTLANDS LÄN</t>
        </is>
      </c>
      <c r="G221" t="inlineStr">
        <is>
          <t>YDRE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46279</v>
      </c>
      <c r="F222" t="inlineStr">
        <is>
          <t>ÖSTERGÖTLANDS LÄN</t>
        </is>
      </c>
      <c r="G222" t="inlineStr">
        <is>
          <t>YDRE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46279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46279</v>
      </c>
      <c r="F224" t="inlineStr">
        <is>
          <t>ÖSTERGÖTLANDS LÄN</t>
        </is>
      </c>
      <c r="G224" t="inlineStr">
        <is>
          <t>YDRE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46279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46279</v>
      </c>
      <c r="F226" t="inlineStr">
        <is>
          <t>ÖSTERGÖTLANDS LÄN</t>
        </is>
      </c>
      <c r="G226" t="inlineStr">
        <is>
          <t>YDRE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46279</v>
      </c>
      <c r="F227" t="inlineStr">
        <is>
          <t>ÖSTERGÖTLANDS LÄN</t>
        </is>
      </c>
      <c r="G227" t="inlineStr">
        <is>
          <t>YDRE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46279</v>
      </c>
      <c r="F228" t="inlineStr">
        <is>
          <t>ÖSTERGÖTLANDS LÄN</t>
        </is>
      </c>
      <c r="G228" t="inlineStr">
        <is>
          <t>YDRE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46279</v>
      </c>
      <c r="F229" t="inlineStr">
        <is>
          <t>ÖSTERGÖTLANDS LÄN</t>
        </is>
      </c>
      <c r="G229" t="inlineStr">
        <is>
          <t>YDRE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46010</v>
      </c>
      <c r="E230" s="1" t="n">
        <v>46279</v>
      </c>
      <c r="F230" t="inlineStr">
        <is>
          <t>ÖSTERGÖTLANDS LÄN</t>
        </is>
      </c>
      <c r="G230" t="inlineStr">
        <is>
          <t>YDRE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46279</v>
      </c>
      <c r="F231" t="inlineStr">
        <is>
          <t>ÖSTERGÖTLANDS LÄN</t>
        </is>
      </c>
      <c r="G231" t="inlineStr">
        <is>
          <t>YDRE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46279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46279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45871</v>
      </c>
      <c r="E234" s="1" t="n">
        <v>46279</v>
      </c>
      <c r="F234" t="inlineStr">
        <is>
          <t>ÖSTERGÖTLANDS LÄN</t>
        </is>
      </c>
      <c r="G234" t="inlineStr">
        <is>
          <t>YDRE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46279</v>
      </c>
      <c r="F235" t="inlineStr">
        <is>
          <t>ÖSTERGÖTLANDS LÄN</t>
        </is>
      </c>
      <c r="G235" t="inlineStr">
        <is>
          <t>YDRE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46279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45793</v>
      </c>
      <c r="E237" s="1" t="n">
        <v>46279</v>
      </c>
      <c r="F237" t="inlineStr">
        <is>
          <t>ÖSTERGÖTLANDS LÄN</t>
        </is>
      </c>
      <c r="G237" t="inlineStr">
        <is>
          <t>YDRE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46279</v>
      </c>
      <c r="F238" t="inlineStr">
        <is>
          <t>ÖSTERGÖTLANDS LÄN</t>
        </is>
      </c>
      <c r="G238" t="inlineStr">
        <is>
          <t>YDRE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46279</v>
      </c>
      <c r="F239" t="inlineStr">
        <is>
          <t>ÖSTERGÖTLANDS LÄN</t>
        </is>
      </c>
      <c r="G239" t="inlineStr">
        <is>
          <t>YDRE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46279</v>
      </c>
      <c r="F240" t="inlineStr">
        <is>
          <t>ÖSTERGÖTLANDS LÄN</t>
        </is>
      </c>
      <c r="G240" t="inlineStr">
        <is>
          <t>YDRE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46279</v>
      </c>
      <c r="F241" t="inlineStr">
        <is>
          <t>ÖSTERGÖTLANDS LÄN</t>
        </is>
      </c>
      <c r="G241" t="inlineStr">
        <is>
          <t>YDRE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46279</v>
      </c>
      <c r="F242" t="inlineStr">
        <is>
          <t>ÖSTERGÖTLANDS LÄN</t>
        </is>
      </c>
      <c r="G242" t="inlineStr">
        <is>
          <t>YDRE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46279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46279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57290-2021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44483</v>
      </c>
      <c r="E245" s="1" t="n">
        <v>46279</v>
      </c>
      <c r="F245" t="inlineStr">
        <is>
          <t>ÖSTERGÖTLANDS LÄN</t>
        </is>
      </c>
      <c r="G245" t="inlineStr">
        <is>
          <t>YDRE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45701</v>
      </c>
      <c r="E246" s="1" t="n">
        <v>46279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46279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46279</v>
      </c>
      <c r="F248" t="inlineStr">
        <is>
          <t>ÖSTERGÖTLANDS LÄN</t>
        </is>
      </c>
      <c r="G248" t="inlineStr">
        <is>
          <t>YDRE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46279</v>
      </c>
      <c r="F249" t="inlineStr">
        <is>
          <t>ÖSTERGÖTLANDS LÄN</t>
        </is>
      </c>
      <c r="G249" t="inlineStr">
        <is>
          <t>YDRE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46279</v>
      </c>
      <c r="F250" t="inlineStr">
        <is>
          <t>ÖSTERGÖTLANDS LÄN</t>
        </is>
      </c>
      <c r="G250" t="inlineStr">
        <is>
          <t>YDRE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46279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46279</v>
      </c>
      <c r="F252" t="inlineStr">
        <is>
          <t>ÖSTERGÖTLANDS LÄN</t>
        </is>
      </c>
      <c r="G252" t="inlineStr">
        <is>
          <t>YDRE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68983-2021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44530</v>
      </c>
      <c r="E253" s="1" t="n">
        <v>46279</v>
      </c>
      <c r="F253" t="inlineStr">
        <is>
          <t>ÖSTERGÖTLANDS LÄN</t>
        </is>
      </c>
      <c r="G253" t="inlineStr">
        <is>
          <t>YDRE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46279</v>
      </c>
      <c r="F254" t="inlineStr">
        <is>
          <t>ÖSTERGÖTLANDS LÄN</t>
        </is>
      </c>
      <c r="G254" t="inlineStr">
        <is>
          <t>YDRE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46279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46279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46279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46279</v>
      </c>
      <c r="F258" t="inlineStr">
        <is>
          <t>ÖSTERGÖTLANDS LÄN</t>
        </is>
      </c>
      <c r="G258" t="inlineStr">
        <is>
          <t>YDRE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6293-2026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46055</v>
      </c>
      <c r="E259" s="1" t="n">
        <v>46279</v>
      </c>
      <c r="F259" t="inlineStr">
        <is>
          <t>ÖSTERGÖTLANDS LÄN</t>
        </is>
      </c>
      <c r="G259" t="inlineStr">
        <is>
          <t>YDRE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46279</v>
      </c>
      <c r="F260" t="inlineStr">
        <is>
          <t>ÖSTERGÖTLANDS LÄN</t>
        </is>
      </c>
      <c r="G260" t="inlineStr">
        <is>
          <t>YDRE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46279</v>
      </c>
      <c r="F261" t="inlineStr">
        <is>
          <t>ÖSTERGÖTLANDS LÄN</t>
        </is>
      </c>
      <c r="G261" t="inlineStr">
        <is>
          <t>YDRE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46279</v>
      </c>
      <c r="F262" t="inlineStr">
        <is>
          <t>ÖSTERGÖTLANDS LÄN</t>
        </is>
      </c>
      <c r="G262" t="inlineStr">
        <is>
          <t>YDRE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46279</v>
      </c>
      <c r="F263" t="inlineStr">
        <is>
          <t>ÖSTERGÖTLANDS LÄN</t>
        </is>
      </c>
      <c r="G263" t="inlineStr">
        <is>
          <t>YDRE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46279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46279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46279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46279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44504</v>
      </c>
      <c r="E268" s="1" t="n">
        <v>46279</v>
      </c>
      <c r="F268" t="inlineStr">
        <is>
          <t>ÖSTERGÖTLANDS LÄN</t>
        </is>
      </c>
      <c r="G268" t="inlineStr">
        <is>
          <t>YDRE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46279</v>
      </c>
      <c r="F269" t="inlineStr">
        <is>
          <t>ÖSTERGÖTLANDS LÄN</t>
        </is>
      </c>
      <c r="G269" t="inlineStr">
        <is>
          <t>YDRE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14184-2022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44651</v>
      </c>
      <c r="E270" s="1" t="n">
        <v>46279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46279</v>
      </c>
      <c r="F271" t="inlineStr">
        <is>
          <t>ÖSTERGÖTLANDS LÄN</t>
        </is>
      </c>
      <c r="G271" t="inlineStr">
        <is>
          <t>YDRE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44503</v>
      </c>
      <c r="E272" s="1" t="n">
        <v>46279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46279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46279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46279</v>
      </c>
      <c r="F275" t="inlineStr">
        <is>
          <t>ÖSTERGÖTLANDS LÄN</t>
        </is>
      </c>
      <c r="G275" t="inlineStr">
        <is>
          <t>YDRE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46279</v>
      </c>
      <c r="F276" t="inlineStr">
        <is>
          <t>ÖSTERGÖTLANDS LÄN</t>
        </is>
      </c>
      <c r="G276" t="inlineStr">
        <is>
          <t>YDRE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46279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45436</v>
      </c>
      <c r="E278" s="1" t="n">
        <v>46279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46279</v>
      </c>
      <c r="F279" t="inlineStr">
        <is>
          <t>ÖSTERGÖTLANDS LÄN</t>
        </is>
      </c>
      <c r="G279" t="inlineStr">
        <is>
          <t>YDRE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46279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44606</v>
      </c>
      <c r="E281" s="1" t="n">
        <v>46279</v>
      </c>
      <c r="F281" t="inlineStr">
        <is>
          <t>ÖSTERGÖTLANDS LÄN</t>
        </is>
      </c>
      <c r="G281" t="inlineStr">
        <is>
          <t>YDRE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46279</v>
      </c>
      <c r="F282" t="inlineStr">
        <is>
          <t>ÖSTERGÖTLANDS LÄN</t>
        </is>
      </c>
      <c r="G282" t="inlineStr">
        <is>
          <t>YDRE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46279</v>
      </c>
      <c r="F283" t="inlineStr">
        <is>
          <t>ÖSTERGÖTLANDS LÄN</t>
        </is>
      </c>
      <c r="G283" t="inlineStr">
        <is>
          <t>YDRE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22312-2026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46154</v>
      </c>
      <c r="E284" s="1" t="n">
        <v>46279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45054</v>
      </c>
      <c r="E285" s="1" t="n">
        <v>46279</v>
      </c>
      <c r="F285" t="inlineStr">
        <is>
          <t>ÖSTERGÖTLANDS LÄN</t>
        </is>
      </c>
      <c r="G285" t="inlineStr">
        <is>
          <t>YDRE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46279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29127-2023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45105</v>
      </c>
      <c r="E287" s="1" t="n">
        <v>46279</v>
      </c>
      <c r="F287" t="inlineStr">
        <is>
          <t>ÖSTERGÖTLANDS LÄN</t>
        </is>
      </c>
      <c r="G287" t="inlineStr">
        <is>
          <t>YDRE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45449-2023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45194</v>
      </c>
      <c r="E288" s="1" t="n">
        <v>46279</v>
      </c>
      <c r="F288" t="inlineStr">
        <is>
          <t>ÖSTERGÖTLANDS LÄN</t>
        </is>
      </c>
      <c r="G288" t="inlineStr">
        <is>
          <t>YDRE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44655</v>
      </c>
      <c r="E289" s="1" t="n">
        <v>46279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46279</v>
      </c>
      <c r="F290" t="inlineStr">
        <is>
          <t>ÖSTERGÖTLANDS LÄN</t>
        </is>
      </c>
      <c r="G290" t="inlineStr">
        <is>
          <t>YDRE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44789</v>
      </c>
      <c r="E291" s="1" t="n">
        <v>46279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44576</v>
      </c>
      <c r="E292" s="1" t="n">
        <v>46279</v>
      </c>
      <c r="F292" t="inlineStr">
        <is>
          <t>ÖSTERGÖTLANDS LÄN</t>
        </is>
      </c>
      <c r="G292" t="inlineStr">
        <is>
          <t>YDRE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46279</v>
      </c>
      <c r="F293" t="inlineStr">
        <is>
          <t>ÖSTERGÖTLANDS LÄN</t>
        </is>
      </c>
      <c r="G293" t="inlineStr">
        <is>
          <t>YDRE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46279</v>
      </c>
      <c r="F294" t="inlineStr">
        <is>
          <t>ÖSTERGÖTLANDS LÄN</t>
        </is>
      </c>
      <c r="G294" t="inlineStr">
        <is>
          <t>YDRE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2745-2026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46038</v>
      </c>
      <c r="E295" s="1" t="n">
        <v>46279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45701</v>
      </c>
      <c r="E296" s="1" t="n">
        <v>46279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46279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44743</v>
      </c>
      <c r="E298" s="1" t="n">
        <v>46279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46279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24780-2026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46171</v>
      </c>
      <c r="E300" s="1" t="n">
        <v>46279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46279</v>
      </c>
      <c r="F301" t="inlineStr">
        <is>
          <t>ÖSTERGÖTLANDS LÄN</t>
        </is>
      </c>
      <c r="G301" t="inlineStr">
        <is>
          <t>YDRE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46279</v>
      </c>
      <c r="F302" t="inlineStr">
        <is>
          <t>ÖSTERGÖTLANDS LÄN</t>
        </is>
      </c>
      <c r="G302" t="inlineStr">
        <is>
          <t>YDRE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17309-2024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45414</v>
      </c>
      <c r="E303" s="1" t="n">
        <v>46279</v>
      </c>
      <c r="F303" t="inlineStr">
        <is>
          <t>ÖSTERGÖTLANDS LÄN</t>
        </is>
      </c>
      <c r="G303" t="inlineStr">
        <is>
          <t>YDRE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46279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46279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46279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46279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21982-2022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46279</v>
      </c>
      <c r="F308" t="inlineStr">
        <is>
          <t>ÖSTERGÖTLANDS LÄN</t>
        </is>
      </c>
      <c r="G308" t="inlineStr">
        <is>
          <t>YDRE</t>
        </is>
      </c>
      <c r="H308" t="inlineStr">
        <is>
          <t>Övriga Aktiebolag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16289-2022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44670</v>
      </c>
      <c r="E309" s="1" t="n">
        <v>46279</v>
      </c>
      <c r="F309" t="inlineStr">
        <is>
          <t>ÖSTERGÖTLANDS LÄN</t>
        </is>
      </c>
      <c r="G309" t="inlineStr">
        <is>
          <t>YDRE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46279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45310</v>
      </c>
      <c r="E311" s="1" t="n">
        <v>46279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46279</v>
      </c>
      <c r="F312" t="inlineStr">
        <is>
          <t>ÖSTERGÖTLANDS LÄN</t>
        </is>
      </c>
      <c r="G312" t="inlineStr">
        <is>
          <t>YDRE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46279</v>
      </c>
      <c r="F313" t="inlineStr">
        <is>
          <t>ÖSTERGÖTLANDS LÄN</t>
        </is>
      </c>
      <c r="G313" t="inlineStr">
        <is>
          <t>YDRE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46279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46279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46279</v>
      </c>
      <c r="F316" t="inlineStr">
        <is>
          <t>ÖSTERGÖTLANDS LÄN</t>
        </is>
      </c>
      <c r="G316" t="inlineStr">
        <is>
          <t>YDRE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27700-2026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46190</v>
      </c>
      <c r="E317" s="1" t="n">
        <v>46279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46279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46279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71524-2021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44538</v>
      </c>
      <c r="E320" s="1" t="n">
        <v>46279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46279</v>
      </c>
      <c r="F321" t="inlineStr">
        <is>
          <t>ÖSTERGÖTLANDS LÄN</t>
        </is>
      </c>
      <c r="G321" t="inlineStr">
        <is>
          <t>YDRE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45634</v>
      </c>
      <c r="E322" s="1" t="n">
        <v>46279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46279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46279</v>
      </c>
      <c r="F324" t="inlineStr">
        <is>
          <t>ÖSTERGÖTLANDS LÄN</t>
        </is>
      </c>
      <c r="G324" t="inlineStr">
        <is>
          <t>YDRE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45406</v>
      </c>
      <c r="E325" s="1" t="n">
        <v>46279</v>
      </c>
      <c r="F325" t="inlineStr">
        <is>
          <t>ÖSTERGÖTLANDS LÄN</t>
        </is>
      </c>
      <c r="G325" t="inlineStr">
        <is>
          <t>YDRE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46279</v>
      </c>
      <c r="F326" t="inlineStr">
        <is>
          <t>ÖSTERGÖTLANDS LÄN</t>
        </is>
      </c>
      <c r="G326" t="inlineStr">
        <is>
          <t>YDRE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46279</v>
      </c>
      <c r="F327" t="inlineStr">
        <is>
          <t>ÖSTERGÖTLANDS LÄN</t>
        </is>
      </c>
      <c r="G327" t="inlineStr">
        <is>
          <t>YDRE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46240</v>
      </c>
      <c r="E328" s="1" t="n">
        <v>46279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44908</v>
      </c>
      <c r="E329" s="1" t="n">
        <v>46279</v>
      </c>
      <c r="F329" t="inlineStr">
        <is>
          <t>ÖSTERGÖTLANDS LÄN</t>
        </is>
      </c>
      <c r="G329" t="inlineStr">
        <is>
          <t>YDRE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46279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45335</v>
      </c>
      <c r="E331" s="1" t="n">
        <v>46279</v>
      </c>
      <c r="F331" t="inlineStr">
        <is>
          <t>ÖSTERGÖTLANDS LÄN</t>
        </is>
      </c>
      <c r="G331" t="inlineStr">
        <is>
          <t>YDRE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46279</v>
      </c>
      <c r="F332" t="inlineStr">
        <is>
          <t>ÖSTERGÖTLANDS LÄN</t>
        </is>
      </c>
      <c r="G332" t="inlineStr">
        <is>
          <t>YDRE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46279</v>
      </c>
      <c r="F333" t="inlineStr">
        <is>
          <t>ÖSTERGÖTLANDS LÄN</t>
        </is>
      </c>
      <c r="G333" t="inlineStr">
        <is>
          <t>YDRE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44592</v>
      </c>
      <c r="E334" s="1" t="n">
        <v>46279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46279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46279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44903</v>
      </c>
      <c r="E337" s="1" t="n">
        <v>46279</v>
      </c>
      <c r="F337" t="inlineStr">
        <is>
          <t>ÖSTERGÖTLANDS LÄN</t>
        </is>
      </c>
      <c r="G337" t="inlineStr">
        <is>
          <t>YDRE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46279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46279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46279</v>
      </c>
      <c r="F340" t="inlineStr">
        <is>
          <t>ÖSTERGÖTLANDS LÄN</t>
        </is>
      </c>
      <c r="G340" t="inlineStr">
        <is>
          <t>YDRE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45348</v>
      </c>
      <c r="E341" s="1" t="n">
        <v>46279</v>
      </c>
      <c r="F341" t="inlineStr">
        <is>
          <t>ÖSTERGÖTLANDS LÄN</t>
        </is>
      </c>
      <c r="G341" t="inlineStr">
        <is>
          <t>YDRE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44600</v>
      </c>
      <c r="E342" s="1" t="n">
        <v>46279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46279</v>
      </c>
      <c r="F343" t="inlineStr">
        <is>
          <t>ÖSTERGÖTLANDS LÄN</t>
        </is>
      </c>
      <c r="G343" t="inlineStr">
        <is>
          <t>YDRE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46279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56323-2021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46279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HYPERLINK("https://klasma.github.io/Logging_0512/knärot/A 56323-2021 karta knärot.png", "A 56323-2021")</f>
        <v/>
      </c>
      <c r="AA345">
        <f>HYPERLINK("https://klasma.github.io/Logging_0512/klagomål/A 56323-2021 FSC-klagomål.docx", "A 56323-2021")</f>
        <v/>
      </c>
      <c r="AB345">
        <f>HYPERLINK("https://klasma.github.io/Logging_0512/klagomålsmail/A 56323-2021 FSC-klagomål mail.docx", "A 56323-2021")</f>
        <v/>
      </c>
      <c r="AC345">
        <f>HYPERLINK("https://klasma.github.io/Logging_0512/tillsyn/A 56323-2021 tillsynsbegäran.docx", "A 56323-2021")</f>
        <v/>
      </c>
      <c r="AD345">
        <f>HYPERLINK("https://klasma.github.io/Logging_0512/tillsynsmail/A 56323-2021 tillsynsbegäran mail.docx", "A 56323-2021")</f>
        <v/>
      </c>
    </row>
    <row r="346" ht="15" customHeight="1">
      <c r="A346" t="inlineStr">
        <is>
          <t>A 61636-2021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46279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70448-2021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46279</v>
      </c>
      <c r="F347" t="inlineStr">
        <is>
          <t>ÖSTERGÖTLANDS LÄN</t>
        </is>
      </c>
      <c r="G347" t="inlineStr">
        <is>
          <t>YDRE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45096</v>
      </c>
      <c r="E348" s="1" t="n">
        <v>46279</v>
      </c>
      <c r="F348" t="inlineStr">
        <is>
          <t>ÖSTERGÖTLANDS LÄN</t>
        </is>
      </c>
      <c r="G348" t="inlineStr">
        <is>
          <t>YDRE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44953</v>
      </c>
      <c r="E349" s="1" t="n">
        <v>46279</v>
      </c>
      <c r="F349" t="inlineStr">
        <is>
          <t>ÖSTERGÖTLANDS LÄN</t>
        </is>
      </c>
      <c r="G349" t="inlineStr">
        <is>
          <t>YDRE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46279</v>
      </c>
      <c r="F350" t="inlineStr">
        <is>
          <t>ÖSTERGÖTLANDS LÄN</t>
        </is>
      </c>
      <c r="G350" t="inlineStr">
        <is>
          <t>YDRE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46279</v>
      </c>
      <c r="F351" t="inlineStr">
        <is>
          <t>ÖSTERGÖTLANDS LÄN</t>
        </is>
      </c>
      <c r="G351" t="inlineStr">
        <is>
          <t>YDRE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45145</v>
      </c>
      <c r="E352" s="1" t="n">
        <v>46279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46279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46279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45365</v>
      </c>
      <c r="E355" s="1" t="n">
        <v>46279</v>
      </c>
      <c r="F355" t="inlineStr">
        <is>
          <t>ÖSTERGÖTLANDS LÄN</t>
        </is>
      </c>
      <c r="G355" t="inlineStr">
        <is>
          <t>YDRE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46279</v>
      </c>
      <c r="F356" t="inlineStr">
        <is>
          <t>ÖSTERGÖTLANDS LÄN</t>
        </is>
      </c>
      <c r="G356" t="inlineStr">
        <is>
          <t>YDRE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45208</v>
      </c>
      <c r="E357" s="1" t="n">
        <v>46279</v>
      </c>
      <c r="F357" t="inlineStr">
        <is>
          <t>ÖSTERGÖTLANDS LÄN</t>
        </is>
      </c>
      <c r="G357" t="inlineStr">
        <is>
          <t>YDRE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45595</v>
      </c>
      <c r="E358" s="1" t="n">
        <v>46279</v>
      </c>
      <c r="F358" t="inlineStr">
        <is>
          <t>ÖSTERGÖTLANDS LÄN</t>
        </is>
      </c>
      <c r="G358" t="inlineStr">
        <is>
          <t>YDRE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46279</v>
      </c>
      <c r="F359" t="inlineStr">
        <is>
          <t>ÖSTERGÖTLANDS LÄN</t>
        </is>
      </c>
      <c r="G359" t="inlineStr">
        <is>
          <t>YDRE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46279</v>
      </c>
      <c r="F360" t="inlineStr">
        <is>
          <t>ÖSTERGÖTLANDS LÄN</t>
        </is>
      </c>
      <c r="G360" t="inlineStr">
        <is>
          <t>YDRE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44480</v>
      </c>
      <c r="E361" s="1" t="n">
        <v>46279</v>
      </c>
      <c r="F361" t="inlineStr">
        <is>
          <t>ÖSTERGÖTLANDS LÄN</t>
        </is>
      </c>
      <c r="G361" t="inlineStr">
        <is>
          <t>YDRE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46279</v>
      </c>
      <c r="F362" t="inlineStr">
        <is>
          <t>ÖSTERGÖTLANDS LÄN</t>
        </is>
      </c>
      <c r="G362" t="inlineStr">
        <is>
          <t>YDRE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49698-2024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45596</v>
      </c>
      <c r="E363" s="1" t="n">
        <v>46279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46279</v>
      </c>
      <c r="F364" t="inlineStr">
        <is>
          <t>ÖSTERGÖTLANDS LÄN</t>
        </is>
      </c>
      <c r="G364" t="inlineStr">
        <is>
          <t>YDRE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46269</v>
      </c>
      <c r="E365" s="1" t="n">
        <v>46279</v>
      </c>
      <c r="F365" t="inlineStr">
        <is>
          <t>ÖSTERGÖTLANDS LÄN</t>
        </is>
      </c>
      <c r="G365" t="inlineStr">
        <is>
          <t>YDRE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46279</v>
      </c>
      <c r="F366" t="inlineStr">
        <is>
          <t>ÖSTERGÖTLANDS LÄN</t>
        </is>
      </c>
      <c r="G366" t="inlineStr">
        <is>
          <t>YDRE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46279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46279</v>
      </c>
      <c r="F368" t="inlineStr">
        <is>
          <t>ÖSTERGÖTLANDS LÄN</t>
        </is>
      </c>
      <c r="G368" t="inlineStr">
        <is>
          <t>YDRE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45666</v>
      </c>
      <c r="E369" s="1" t="n">
        <v>46279</v>
      </c>
      <c r="F369" t="inlineStr">
        <is>
          <t>ÖSTERGÖTLANDS LÄN</t>
        </is>
      </c>
      <c r="G369" t="inlineStr">
        <is>
          <t>YDRE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46279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44635</v>
      </c>
      <c r="E371" s="1" t="n">
        <v>46279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46279</v>
      </c>
      <c r="F372" t="inlineStr">
        <is>
          <t>ÖSTERGÖTLANDS LÄN</t>
        </is>
      </c>
      <c r="G372" t="inlineStr">
        <is>
          <t>YDRE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46279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46279</v>
      </c>
      <c r="F374" t="inlineStr">
        <is>
          <t>ÖSTERGÖTLANDS LÄN</t>
        </is>
      </c>
      <c r="G374" t="inlineStr">
        <is>
          <t>YDRE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46279</v>
      </c>
      <c r="F375" t="inlineStr">
        <is>
          <t>ÖSTERGÖTLANDS LÄN</t>
        </is>
      </c>
      <c r="G375" t="inlineStr">
        <is>
          <t>YDRE</t>
        </is>
      </c>
      <c r="I375" t="n">
        <v>15.6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46279</v>
      </c>
      <c r="F376" t="inlineStr">
        <is>
          <t>ÖSTERGÖTLANDS LÄN</t>
        </is>
      </c>
      <c r="G376" t="inlineStr">
        <is>
          <t>YDRE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46279</v>
      </c>
      <c r="F377" t="inlineStr">
        <is>
          <t>ÖSTERGÖTLANDS LÄN</t>
        </is>
      </c>
      <c r="G377" t="inlineStr">
        <is>
          <t>YDRE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46279</v>
      </c>
      <c r="F378" t="inlineStr">
        <is>
          <t>ÖSTERGÖTLANDS LÄN</t>
        </is>
      </c>
      <c r="G378" t="inlineStr">
        <is>
          <t>YDRE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46279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49967-2024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46279</v>
      </c>
      <c r="F380" t="inlineStr">
        <is>
          <t>ÖSTERGÖTLANDS LÄN</t>
        </is>
      </c>
      <c r="G380" t="inlineStr">
        <is>
          <t>YDRE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46279</v>
      </c>
      <c r="F381" t="inlineStr">
        <is>
          <t>ÖSTERGÖTLANDS LÄN</t>
        </is>
      </c>
      <c r="G381" t="inlineStr">
        <is>
          <t>YDRE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46279</v>
      </c>
      <c r="F382" t="inlineStr">
        <is>
          <t>ÖSTERGÖTLANDS LÄN</t>
        </is>
      </c>
      <c r="G382" t="inlineStr">
        <is>
          <t>YDRE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46279</v>
      </c>
      <c r="F383" t="inlineStr">
        <is>
          <t>ÖSTERGÖTLANDS LÄN</t>
        </is>
      </c>
      <c r="G383" t="inlineStr">
        <is>
          <t>YDRE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45677</v>
      </c>
      <c r="E384" s="1" t="n">
        <v>46279</v>
      </c>
      <c r="F384" t="inlineStr">
        <is>
          <t>ÖSTERGÖTLANDS LÄN</t>
        </is>
      </c>
      <c r="G384" t="inlineStr">
        <is>
          <t>YDRE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46279</v>
      </c>
      <c r="F385" t="inlineStr">
        <is>
          <t>ÖSTERGÖTLANDS LÄN</t>
        </is>
      </c>
      <c r="G385" t="inlineStr">
        <is>
          <t>YDRE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46279</v>
      </c>
      <c r="F386" t="inlineStr">
        <is>
          <t>ÖSTERGÖTLANDS LÄN</t>
        </is>
      </c>
      <c r="G386" t="inlineStr">
        <is>
          <t>YDRE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46279</v>
      </c>
      <c r="F387" t="inlineStr">
        <is>
          <t>ÖSTERGÖTLANDS LÄN</t>
        </is>
      </c>
      <c r="G387" t="inlineStr">
        <is>
          <t>YDRE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45414</v>
      </c>
      <c r="E388" s="1" t="n">
        <v>46279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46279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46279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46279</v>
      </c>
      <c r="F391" t="inlineStr">
        <is>
          <t>ÖSTERGÖTLANDS LÄN</t>
        </is>
      </c>
      <c r="G391" t="inlineStr">
        <is>
          <t>YDRE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45492</v>
      </c>
      <c r="E392" s="1" t="n">
        <v>46279</v>
      </c>
      <c r="F392" t="inlineStr">
        <is>
          <t>ÖSTERGÖTLANDS LÄN</t>
        </is>
      </c>
      <c r="G392" t="inlineStr">
        <is>
          <t>YDRE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46279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46279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46279</v>
      </c>
      <c r="F395" t="inlineStr">
        <is>
          <t>ÖSTERGÖTLANDS LÄN</t>
        </is>
      </c>
      <c r="G395" t="inlineStr">
        <is>
          <t>YDRE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46279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46279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18.2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45365</v>
      </c>
      <c r="E398" s="1" t="n">
        <v>46279</v>
      </c>
      <c r="F398" t="inlineStr">
        <is>
          <t>ÖSTERGÖTLANDS LÄN</t>
        </is>
      </c>
      <c r="G398" t="inlineStr">
        <is>
          <t>YDRE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46279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46279</v>
      </c>
      <c r="F400" t="inlineStr">
        <is>
          <t>ÖSTERGÖTLANDS LÄN</t>
        </is>
      </c>
      <c r="G400" t="inlineStr">
        <is>
          <t>YDRE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46279</v>
      </c>
      <c r="F401" t="inlineStr">
        <is>
          <t>ÖSTERGÖTLANDS LÄN</t>
        </is>
      </c>
      <c r="G401" t="inlineStr">
        <is>
          <t>YDRE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46279</v>
      </c>
      <c r="F402" t="inlineStr">
        <is>
          <t>ÖSTERGÖTLANDS LÄN</t>
        </is>
      </c>
      <c r="G402" t="inlineStr">
        <is>
          <t>YDRE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46279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46279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46279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46279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46279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2026-09-14T02:15:23Z</dcterms:created>
  <dcterms:modified xmlns:dcterms="http://purl.org/dc/terms/" xmlns:xsi="http://www.w3.org/2001/XMLSchema-instance" xsi:type="dcterms:W3CDTF">2026-09-14T02:15:23Z</dcterms:modified>
</cp:coreProperties>
</file>