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45345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45345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45345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45345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45345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45345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45345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45345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45345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12639-2019</t>
        </is>
      </c>
      <c r="B11" s="1" t="n">
        <v>43524</v>
      </c>
      <c r="C11" s="1" t="n">
        <v>45345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Lake</t>
        </is>
      </c>
      <c r="S11">
        <f>HYPERLINK("https://klasma.github.io/Logging_0512/artfynd/A 12639-2019 artfynd.xlsx", "A 12639-2019")</f>
        <v/>
      </c>
      <c r="T11">
        <f>HYPERLINK("https://klasma.github.io/Logging_0512/kartor/A 12639-2019 karta.png", "A 12639-2019")</f>
        <v/>
      </c>
      <c r="V11">
        <f>HYPERLINK("https://klasma.github.io/Logging_0512/klagomål/A 12639-2019 FSC-klagomål.docx", "A 12639-2019")</f>
        <v/>
      </c>
      <c r="W11">
        <f>HYPERLINK("https://klasma.github.io/Logging_0512/klagomålsmail/A 12639-2019 FSC-klagomål mail.docx", "A 12639-2019")</f>
        <v/>
      </c>
      <c r="X11">
        <f>HYPERLINK("https://klasma.github.io/Logging_0512/tillsyn/A 12639-2019 tillsynsbegäran.docx", "A 12639-2019")</f>
        <v/>
      </c>
      <c r="Y11">
        <f>HYPERLINK("https://klasma.github.io/Logging_0512/tillsynsmail/A 12639-2019 tillsynsbegäran mail.docx", "A 12639-2019")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45345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45345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45345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45345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45345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45345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45345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45345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45345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45345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45345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45345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46582-2023</t>
        </is>
      </c>
      <c r="B24" s="1" t="n">
        <v>45198</v>
      </c>
      <c r="C24" s="1" t="n">
        <v>45345</v>
      </c>
      <c r="D24" t="inlineStr">
        <is>
          <t>ÖSTERGÖTLANDS LÄN</t>
        </is>
      </c>
      <c r="E24" t="inlineStr">
        <is>
          <t>YDRE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HYPERLINK("https://klasma.github.io/Logging_0512/artfynd/A 46582-2023 artfynd.xlsx", "A 46582-2023")</f>
        <v/>
      </c>
      <c r="T24">
        <f>HYPERLINK("https://klasma.github.io/Logging_0512/kartor/A 46582-2023 karta.png", "A 46582-2023")</f>
        <v/>
      </c>
      <c r="U24">
        <f>HYPERLINK("https://klasma.github.io/Logging_0512/knärot/A 46582-2023 karta knärot.png", "A 46582-2023")</f>
        <v/>
      </c>
      <c r="V24">
        <f>HYPERLINK("https://klasma.github.io/Logging_0512/klagomål/A 46582-2023 FSC-klagomål.docx", "A 46582-2023")</f>
        <v/>
      </c>
      <c r="W24">
        <f>HYPERLINK("https://klasma.github.io/Logging_0512/klagomålsmail/A 46582-2023 FSC-klagomål mail.docx", "A 46582-2023")</f>
        <v/>
      </c>
      <c r="X24">
        <f>HYPERLINK("https://klasma.github.io/Logging_0512/tillsyn/A 46582-2023 tillsynsbegäran.docx", "A 46582-2023")</f>
        <v/>
      </c>
      <c r="Y24">
        <f>HYPERLINK("https://klasma.github.io/Logging_0512/tillsynsmail/A 46582-2023 tillsynsbegäran mail.docx", "A 46582-2023")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45345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45345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38097-2018</t>
        </is>
      </c>
      <c r="B27" s="1" t="n">
        <v>43336</v>
      </c>
      <c r="C27" s="1" t="n">
        <v>45345</v>
      </c>
      <c r="D27" t="inlineStr">
        <is>
          <t>ÖSTERGÖTLANDS LÄN</t>
        </is>
      </c>
      <c r="E27" t="inlineStr">
        <is>
          <t>YDRE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38301-2018</t>
        </is>
      </c>
      <c r="B28" s="1" t="n">
        <v>43339</v>
      </c>
      <c r="C28" s="1" t="n">
        <v>45345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43595-2018</t>
        </is>
      </c>
      <c r="B29" s="1" t="n">
        <v>43354</v>
      </c>
      <c r="C29" s="1" t="n">
        <v>45345</v>
      </c>
      <c r="D29" t="inlineStr">
        <is>
          <t>ÖSTERGÖTLANDS LÄN</t>
        </is>
      </c>
      <c r="E29" t="inlineStr">
        <is>
          <t>YDRE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42970-2018</t>
        </is>
      </c>
      <c r="B30" s="1" t="n">
        <v>43355</v>
      </c>
      <c r="C30" s="1" t="n">
        <v>45345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42882-2018</t>
        </is>
      </c>
      <c r="B31" s="1" t="n">
        <v>43355</v>
      </c>
      <c r="C31" s="1" t="n">
        <v>45345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44439-2018</t>
        </is>
      </c>
      <c r="B32" s="1" t="n">
        <v>43356</v>
      </c>
      <c r="C32" s="1" t="n">
        <v>45345</v>
      </c>
      <c r="D32" t="inlineStr">
        <is>
          <t>ÖSTERGÖTLANDS LÄN</t>
        </is>
      </c>
      <c r="E32" t="inlineStr">
        <is>
          <t>YDRE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45174-2018</t>
        </is>
      </c>
      <c r="B33" s="1" t="n">
        <v>43362</v>
      </c>
      <c r="C33" s="1" t="n">
        <v>45345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48999-2018</t>
        </is>
      </c>
      <c r="B34" s="1" t="n">
        <v>43375</v>
      </c>
      <c r="C34" s="1" t="n">
        <v>45345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49000-2018</t>
        </is>
      </c>
      <c r="B35" s="1" t="n">
        <v>43375</v>
      </c>
      <c r="C35" s="1" t="n">
        <v>45345</v>
      </c>
      <c r="D35" t="inlineStr">
        <is>
          <t>ÖSTERGÖTLANDS LÄN</t>
        </is>
      </c>
      <c r="E35" t="inlineStr">
        <is>
          <t>YDRE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50589-2018</t>
        </is>
      </c>
      <c r="B36" s="1" t="n">
        <v>43381</v>
      </c>
      <c r="C36" s="1" t="n">
        <v>45345</v>
      </c>
      <c r="D36" t="inlineStr">
        <is>
          <t>ÖSTERGÖTLANDS LÄN</t>
        </is>
      </c>
      <c r="E36" t="inlineStr">
        <is>
          <t>YDRE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51892-2018</t>
        </is>
      </c>
      <c r="B37" s="1" t="n">
        <v>43385</v>
      </c>
      <c r="C37" s="1" t="n">
        <v>45345</v>
      </c>
      <c r="D37" t="inlineStr">
        <is>
          <t>ÖSTERGÖTLANDS LÄN</t>
        </is>
      </c>
      <c r="E37" t="inlineStr">
        <is>
          <t>YDRE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51891-2018</t>
        </is>
      </c>
      <c r="B38" s="1" t="n">
        <v>43385</v>
      </c>
      <c r="C38" s="1" t="n">
        <v>45345</v>
      </c>
      <c r="D38" t="inlineStr">
        <is>
          <t>ÖSTERGÖTLANDS LÄN</t>
        </is>
      </c>
      <c r="E38" t="inlineStr">
        <is>
          <t>YDRE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53999-2018</t>
        </is>
      </c>
      <c r="B39" s="1" t="n">
        <v>43389</v>
      </c>
      <c r="C39" s="1" t="n">
        <v>45345</v>
      </c>
      <c r="D39" t="inlineStr">
        <is>
          <t>ÖSTERGÖTLANDS LÄN</t>
        </is>
      </c>
      <c r="E39" t="inlineStr">
        <is>
          <t>YDRE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54376-2018</t>
        </is>
      </c>
      <c r="B40" s="1" t="n">
        <v>43390</v>
      </c>
      <c r="C40" s="1" t="n">
        <v>45345</v>
      </c>
      <c r="D40" t="inlineStr">
        <is>
          <t>ÖSTERGÖTLANDS LÄN</t>
        </is>
      </c>
      <c r="E40" t="inlineStr">
        <is>
          <t>YDRE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54418-2018</t>
        </is>
      </c>
      <c r="B41" s="1" t="n">
        <v>43390</v>
      </c>
      <c r="C41" s="1" t="n">
        <v>45345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53960-2018</t>
        </is>
      </c>
      <c r="B42" s="1" t="n">
        <v>43392</v>
      </c>
      <c r="C42" s="1" t="n">
        <v>45345</v>
      </c>
      <c r="D42" t="inlineStr">
        <is>
          <t>ÖSTERGÖTLANDS LÄN</t>
        </is>
      </c>
      <c r="E42" t="inlineStr">
        <is>
          <t>YDRE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56188-2018</t>
        </is>
      </c>
      <c r="B43" s="1" t="n">
        <v>43399</v>
      </c>
      <c r="C43" s="1" t="n">
        <v>45345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59568-2018</t>
        </is>
      </c>
      <c r="B44" s="1" t="n">
        <v>43403</v>
      </c>
      <c r="C44" s="1" t="n">
        <v>45345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60461-2018</t>
        </is>
      </c>
      <c r="B45" s="1" t="n">
        <v>43403</v>
      </c>
      <c r="C45" s="1" t="n">
        <v>45345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60927-2018</t>
        </is>
      </c>
      <c r="B46" s="1" t="n">
        <v>43411</v>
      </c>
      <c r="C46" s="1" t="n">
        <v>45345</v>
      </c>
      <c r="D46" t="inlineStr">
        <is>
          <t>ÖSTERGÖTLANDS LÄN</t>
        </is>
      </c>
      <c r="E46" t="inlineStr">
        <is>
          <t>YDRE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60972-2018</t>
        </is>
      </c>
      <c r="B47" s="1" t="n">
        <v>43411</v>
      </c>
      <c r="C47" s="1" t="n">
        <v>45345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60962-2018</t>
        </is>
      </c>
      <c r="B48" s="1" t="n">
        <v>43411</v>
      </c>
      <c r="C48" s="1" t="n">
        <v>45345</v>
      </c>
      <c r="D48" t="inlineStr">
        <is>
          <t>ÖSTERGÖTLANDS LÄN</t>
        </is>
      </c>
      <c r="E48" t="inlineStr">
        <is>
          <t>YDRE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60123-2018</t>
        </is>
      </c>
      <c r="B49" s="1" t="n">
        <v>43412</v>
      </c>
      <c r="C49" s="1" t="n">
        <v>45345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62022-2018</t>
        </is>
      </c>
      <c r="B50" s="1" t="n">
        <v>43416</v>
      </c>
      <c r="C50" s="1" t="n">
        <v>45345</v>
      </c>
      <c r="D50" t="inlineStr">
        <is>
          <t>ÖSTERGÖTLANDS LÄN</t>
        </is>
      </c>
      <c r="E50" t="inlineStr">
        <is>
          <t>YDRE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60957-2018</t>
        </is>
      </c>
      <c r="B51" s="1" t="n">
        <v>43423</v>
      </c>
      <c r="C51" s="1" t="n">
        <v>45345</v>
      </c>
      <c r="D51" t="inlineStr">
        <is>
          <t>ÖSTERGÖTLANDS LÄN</t>
        </is>
      </c>
      <c r="E51" t="inlineStr">
        <is>
          <t>YDRE</t>
        </is>
      </c>
      <c r="F51" t="inlineStr">
        <is>
          <t>Kyrkan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61545-2018</t>
        </is>
      </c>
      <c r="B52" s="1" t="n">
        <v>43424</v>
      </c>
      <c r="C52" s="1" t="n">
        <v>45345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65611-2018</t>
        </is>
      </c>
      <c r="B53" s="1" t="n">
        <v>43425</v>
      </c>
      <c r="C53" s="1" t="n">
        <v>45345</v>
      </c>
      <c r="D53" t="inlineStr">
        <is>
          <t>ÖSTERGÖTLANDS LÄN</t>
        </is>
      </c>
      <c r="E53" t="inlineStr">
        <is>
          <t>YDRE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62214-2018</t>
        </is>
      </c>
      <c r="B54" s="1" t="n">
        <v>43425</v>
      </c>
      <c r="C54" s="1" t="n">
        <v>45345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65448-2018</t>
        </is>
      </c>
      <c r="B55" s="1" t="n">
        <v>43433</v>
      </c>
      <c r="C55" s="1" t="n">
        <v>45345</v>
      </c>
      <c r="D55" t="inlineStr">
        <is>
          <t>ÖSTERGÖTLANDS LÄN</t>
        </is>
      </c>
      <c r="E55" t="inlineStr">
        <is>
          <t>YDRE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65443-2018</t>
        </is>
      </c>
      <c r="B56" s="1" t="n">
        <v>43433</v>
      </c>
      <c r="C56" s="1" t="n">
        <v>45345</v>
      </c>
      <c r="D56" t="inlineStr">
        <is>
          <t>ÖSTERGÖTLANDS LÄN</t>
        </is>
      </c>
      <c r="E56" t="inlineStr">
        <is>
          <t>YDRE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65531-2018</t>
        </is>
      </c>
      <c r="B57" s="1" t="n">
        <v>43433</v>
      </c>
      <c r="C57" s="1" t="n">
        <v>45345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65407-2018</t>
        </is>
      </c>
      <c r="B58" s="1" t="n">
        <v>43433</v>
      </c>
      <c r="C58" s="1" t="n">
        <v>45345</v>
      </c>
      <c r="D58" t="inlineStr">
        <is>
          <t>ÖSTERGÖTLANDS LÄN</t>
        </is>
      </c>
      <c r="E58" t="inlineStr">
        <is>
          <t>YDRE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65446-2018</t>
        </is>
      </c>
      <c r="B59" s="1" t="n">
        <v>43433</v>
      </c>
      <c r="C59" s="1" t="n">
        <v>45345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66037-2018</t>
        </is>
      </c>
      <c r="B60" s="1" t="n">
        <v>43434</v>
      </c>
      <c r="C60" s="1" t="n">
        <v>45345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67459-2018</t>
        </is>
      </c>
      <c r="B61" s="1" t="n">
        <v>43439</v>
      </c>
      <c r="C61" s="1" t="n">
        <v>45345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67455-2018</t>
        </is>
      </c>
      <c r="B62" s="1" t="n">
        <v>43439</v>
      </c>
      <c r="C62" s="1" t="n">
        <v>45345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67891-2018</t>
        </is>
      </c>
      <c r="B63" s="1" t="n">
        <v>43440</v>
      </c>
      <c r="C63" s="1" t="n">
        <v>45345</v>
      </c>
      <c r="D63" t="inlineStr">
        <is>
          <t>ÖSTERGÖTLANDS LÄN</t>
        </is>
      </c>
      <c r="E63" t="inlineStr">
        <is>
          <t>YDRE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67899-2018</t>
        </is>
      </c>
      <c r="B64" s="1" t="n">
        <v>43440</v>
      </c>
      <c r="C64" s="1" t="n">
        <v>45345</v>
      </c>
      <c r="D64" t="inlineStr">
        <is>
          <t>ÖSTERGÖTLANDS LÄN</t>
        </is>
      </c>
      <c r="E64" t="inlineStr">
        <is>
          <t>YDRE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70312-2018</t>
        </is>
      </c>
      <c r="B65" s="1" t="n">
        <v>43445</v>
      </c>
      <c r="C65" s="1" t="n">
        <v>45345</v>
      </c>
      <c r="D65" t="inlineStr">
        <is>
          <t>ÖSTERGÖTLANDS LÄN</t>
        </is>
      </c>
      <c r="E65" t="inlineStr">
        <is>
          <t>YDRE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69058-2018</t>
        </is>
      </c>
      <c r="B66" s="1" t="n">
        <v>43445</v>
      </c>
      <c r="C66" s="1" t="n">
        <v>45345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70614-2018</t>
        </is>
      </c>
      <c r="B67" s="1" t="n">
        <v>43451</v>
      </c>
      <c r="C67" s="1" t="n">
        <v>45345</v>
      </c>
      <c r="D67" t="inlineStr">
        <is>
          <t>ÖSTERGÖTLANDS LÄN</t>
        </is>
      </c>
      <c r="E67" t="inlineStr">
        <is>
          <t>YDRE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71300-2018</t>
        </is>
      </c>
      <c r="B68" s="1" t="n">
        <v>43451</v>
      </c>
      <c r="C68" s="1" t="n">
        <v>45345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71050-2018</t>
        </is>
      </c>
      <c r="B69" s="1" t="n">
        <v>43452</v>
      </c>
      <c r="C69" s="1" t="n">
        <v>45345</v>
      </c>
      <c r="D69" t="inlineStr">
        <is>
          <t>ÖSTERGÖTLANDS LÄN</t>
        </is>
      </c>
      <c r="E69" t="inlineStr">
        <is>
          <t>YDRE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648-2019</t>
        </is>
      </c>
      <c r="B70" s="1" t="n">
        <v>43455</v>
      </c>
      <c r="C70" s="1" t="n">
        <v>45345</v>
      </c>
      <c r="D70" t="inlineStr">
        <is>
          <t>ÖSTERGÖTLANDS LÄN</t>
        </is>
      </c>
      <c r="E70" t="inlineStr">
        <is>
          <t>YDRE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71903-2018</t>
        </is>
      </c>
      <c r="B71" s="1" t="n">
        <v>43455</v>
      </c>
      <c r="C71" s="1" t="n">
        <v>45345</v>
      </c>
      <c r="D71" t="inlineStr">
        <is>
          <t>ÖSTERGÖTLANDS LÄN</t>
        </is>
      </c>
      <c r="E71" t="inlineStr">
        <is>
          <t>YDRE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2188-2019</t>
        </is>
      </c>
      <c r="B72" s="1" t="n">
        <v>43468</v>
      </c>
      <c r="C72" s="1" t="n">
        <v>45345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2197-2019</t>
        </is>
      </c>
      <c r="B73" s="1" t="n">
        <v>43468</v>
      </c>
      <c r="C73" s="1" t="n">
        <v>45345</v>
      </c>
      <c r="D73" t="inlineStr">
        <is>
          <t>ÖSTERGÖTLANDS LÄN</t>
        </is>
      </c>
      <c r="E73" t="inlineStr">
        <is>
          <t>YDRE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2222-2019</t>
        </is>
      </c>
      <c r="B74" s="1" t="n">
        <v>43475</v>
      </c>
      <c r="C74" s="1" t="n">
        <v>45345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2226-2019</t>
        </is>
      </c>
      <c r="B75" s="1" t="n">
        <v>43475</v>
      </c>
      <c r="C75" s="1" t="n">
        <v>45345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4870-2019</t>
        </is>
      </c>
      <c r="B76" s="1" t="n">
        <v>43479</v>
      </c>
      <c r="C76" s="1" t="n">
        <v>45345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4868-2019</t>
        </is>
      </c>
      <c r="B77" s="1" t="n">
        <v>43479</v>
      </c>
      <c r="C77" s="1" t="n">
        <v>45345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3260-2019</t>
        </is>
      </c>
      <c r="B78" s="1" t="n">
        <v>43480</v>
      </c>
      <c r="C78" s="1" t="n">
        <v>45345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4650-2019</t>
        </is>
      </c>
      <c r="B79" s="1" t="n">
        <v>43486</v>
      </c>
      <c r="C79" s="1" t="n">
        <v>45345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4968-2019</t>
        </is>
      </c>
      <c r="B80" s="1" t="n">
        <v>43487</v>
      </c>
      <c r="C80" s="1" t="n">
        <v>45345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7155-2019</t>
        </is>
      </c>
      <c r="B81" s="1" t="n">
        <v>43489</v>
      </c>
      <c r="C81" s="1" t="n">
        <v>45345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6593-2019</t>
        </is>
      </c>
      <c r="B82" s="1" t="n">
        <v>43494</v>
      </c>
      <c r="C82" s="1" t="n">
        <v>45345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6604-2019</t>
        </is>
      </c>
      <c r="B83" s="1" t="n">
        <v>43494</v>
      </c>
      <c r="C83" s="1" t="n">
        <v>45345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7024-2019</t>
        </is>
      </c>
      <c r="B84" s="1" t="n">
        <v>43495</v>
      </c>
      <c r="C84" s="1" t="n">
        <v>45345</v>
      </c>
      <c r="D84" t="inlineStr">
        <is>
          <t>ÖSTERGÖTLANDS LÄN</t>
        </is>
      </c>
      <c r="E84" t="inlineStr">
        <is>
          <t>YDRE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7341-2019</t>
        </is>
      </c>
      <c r="B85" s="1" t="n">
        <v>43496</v>
      </c>
      <c r="C85" s="1" t="n">
        <v>45345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7257-2019</t>
        </is>
      </c>
      <c r="B86" s="1" t="n">
        <v>43496</v>
      </c>
      <c r="C86" s="1" t="n">
        <v>45345</v>
      </c>
      <c r="D86" t="inlineStr">
        <is>
          <t>ÖSTERGÖTLANDS LÄN</t>
        </is>
      </c>
      <c r="E86" t="inlineStr">
        <is>
          <t>YDRE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8410-2019</t>
        </is>
      </c>
      <c r="B87" s="1" t="n">
        <v>43502</v>
      </c>
      <c r="C87" s="1" t="n">
        <v>45345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8905-2019</t>
        </is>
      </c>
      <c r="B88" s="1" t="n">
        <v>43503</v>
      </c>
      <c r="C88" s="1" t="n">
        <v>45345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9840-2019</t>
        </is>
      </c>
      <c r="B89" s="1" t="n">
        <v>43509</v>
      </c>
      <c r="C89" s="1" t="n">
        <v>45345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10522-2019</t>
        </is>
      </c>
      <c r="B90" s="1" t="n">
        <v>43514</v>
      </c>
      <c r="C90" s="1" t="n">
        <v>45345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10523-2019</t>
        </is>
      </c>
      <c r="B91" s="1" t="n">
        <v>43514</v>
      </c>
      <c r="C91" s="1" t="n">
        <v>45345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11411-2019</t>
        </is>
      </c>
      <c r="B92" s="1" t="n">
        <v>43517</v>
      </c>
      <c r="C92" s="1" t="n">
        <v>45345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11970-2019</t>
        </is>
      </c>
      <c r="B93" s="1" t="n">
        <v>43521</v>
      </c>
      <c r="C93" s="1" t="n">
        <v>45345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11971-2019</t>
        </is>
      </c>
      <c r="B94" s="1" t="n">
        <v>43521</v>
      </c>
      <c r="C94" s="1" t="n">
        <v>45345</v>
      </c>
      <c r="D94" t="inlineStr">
        <is>
          <t>ÖSTERGÖTLANDS LÄN</t>
        </is>
      </c>
      <c r="E94" t="inlineStr">
        <is>
          <t>YDRE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12647-2019</t>
        </is>
      </c>
      <c r="B95" s="1" t="n">
        <v>43524</v>
      </c>
      <c r="C95" s="1" t="n">
        <v>45345</v>
      </c>
      <c r="D95" t="inlineStr">
        <is>
          <t>ÖSTERGÖTLANDS LÄN</t>
        </is>
      </c>
      <c r="E95" t="inlineStr">
        <is>
          <t>YDRE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12653-2019</t>
        </is>
      </c>
      <c r="B96" s="1" t="n">
        <v>43524</v>
      </c>
      <c r="C96" s="1" t="n">
        <v>45345</v>
      </c>
      <c r="D96" t="inlineStr">
        <is>
          <t>ÖSTERGÖTLANDS LÄN</t>
        </is>
      </c>
      <c r="E96" t="inlineStr">
        <is>
          <t>YDRE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12654-2019</t>
        </is>
      </c>
      <c r="B97" s="1" t="n">
        <v>43524</v>
      </c>
      <c r="C97" s="1" t="n">
        <v>45345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12658-2019</t>
        </is>
      </c>
      <c r="B98" s="1" t="n">
        <v>43524</v>
      </c>
      <c r="C98" s="1" t="n">
        <v>45345</v>
      </c>
      <c r="D98" t="inlineStr">
        <is>
          <t>ÖSTERGÖTLANDS LÄN</t>
        </is>
      </c>
      <c r="E98" t="inlineStr">
        <is>
          <t>YDRE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12635-2019</t>
        </is>
      </c>
      <c r="B99" s="1" t="n">
        <v>43524</v>
      </c>
      <c r="C99" s="1" t="n">
        <v>45345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12623-2019</t>
        </is>
      </c>
      <c r="B100" s="1" t="n">
        <v>43524</v>
      </c>
      <c r="C100" s="1" t="n">
        <v>45345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13054-2019</t>
        </is>
      </c>
      <c r="B101" s="1" t="n">
        <v>43528</v>
      </c>
      <c r="C101" s="1" t="n">
        <v>45345</v>
      </c>
      <c r="D101" t="inlineStr">
        <is>
          <t>ÖSTERGÖTLANDS LÄN</t>
        </is>
      </c>
      <c r="E101" t="inlineStr">
        <is>
          <t>YDRE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13147-2019</t>
        </is>
      </c>
      <c r="B102" s="1" t="n">
        <v>43528</v>
      </c>
      <c r="C102" s="1" t="n">
        <v>45345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14090-2019</t>
        </is>
      </c>
      <c r="B103" s="1" t="n">
        <v>43532</v>
      </c>
      <c r="C103" s="1" t="n">
        <v>45345</v>
      </c>
      <c r="D103" t="inlineStr">
        <is>
          <t>ÖSTERGÖTLANDS LÄN</t>
        </is>
      </c>
      <c r="E103" t="inlineStr">
        <is>
          <t>YDRE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15953-2019</t>
        </is>
      </c>
      <c r="B104" s="1" t="n">
        <v>43544</v>
      </c>
      <c r="C104" s="1" t="n">
        <v>45345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16493-2019</t>
        </is>
      </c>
      <c r="B105" s="1" t="n">
        <v>43546</v>
      </c>
      <c r="C105" s="1" t="n">
        <v>45345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17493-2019</t>
        </is>
      </c>
      <c r="B106" s="1" t="n">
        <v>43553</v>
      </c>
      <c r="C106" s="1" t="n">
        <v>45345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17492-2019</t>
        </is>
      </c>
      <c r="B107" s="1" t="n">
        <v>43553</v>
      </c>
      <c r="C107" s="1" t="n">
        <v>45345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18097-2019</t>
        </is>
      </c>
      <c r="B108" s="1" t="n">
        <v>43558</v>
      </c>
      <c r="C108" s="1" t="n">
        <v>45345</v>
      </c>
      <c r="D108" t="inlineStr">
        <is>
          <t>ÖSTERGÖTLANDS LÄN</t>
        </is>
      </c>
      <c r="E108" t="inlineStr">
        <is>
          <t>YDRE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18663-2019</t>
        </is>
      </c>
      <c r="B109" s="1" t="n">
        <v>43560</v>
      </c>
      <c r="C109" s="1" t="n">
        <v>45345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19185-2019</t>
        </is>
      </c>
      <c r="B110" s="1" t="n">
        <v>43564</v>
      </c>
      <c r="C110" s="1" t="n">
        <v>45345</v>
      </c>
      <c r="D110" t="inlineStr">
        <is>
          <t>ÖSTERGÖTLANDS LÄN</t>
        </is>
      </c>
      <c r="E110" t="inlineStr">
        <is>
          <t>YDRE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22205-2019</t>
        </is>
      </c>
      <c r="B111" s="1" t="n">
        <v>43585</v>
      </c>
      <c r="C111" s="1" t="n">
        <v>45345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22578-2019</t>
        </is>
      </c>
      <c r="B112" s="1" t="n">
        <v>43587</v>
      </c>
      <c r="C112" s="1" t="n">
        <v>45345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23394-2019</t>
        </is>
      </c>
      <c r="B113" s="1" t="n">
        <v>43593</v>
      </c>
      <c r="C113" s="1" t="n">
        <v>45345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23690-2019</t>
        </is>
      </c>
      <c r="B114" s="1" t="n">
        <v>43594</v>
      </c>
      <c r="C114" s="1" t="n">
        <v>45345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23692-2019</t>
        </is>
      </c>
      <c r="B115" s="1" t="n">
        <v>43594</v>
      </c>
      <c r="C115" s="1" t="n">
        <v>45345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23872-2019</t>
        </is>
      </c>
      <c r="B116" s="1" t="n">
        <v>43595</v>
      </c>
      <c r="C116" s="1" t="n">
        <v>45345</v>
      </c>
      <c r="D116" t="inlineStr">
        <is>
          <t>ÖSTERGÖTLANDS LÄN</t>
        </is>
      </c>
      <c r="E116" t="inlineStr">
        <is>
          <t>YDRE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24742-2019</t>
        </is>
      </c>
      <c r="B117" s="1" t="n">
        <v>43601</v>
      </c>
      <c r="C117" s="1" t="n">
        <v>45345</v>
      </c>
      <c r="D117" t="inlineStr">
        <is>
          <t>ÖSTERGÖTLANDS LÄN</t>
        </is>
      </c>
      <c r="E117" t="inlineStr">
        <is>
          <t>YDRE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25079-2019</t>
        </is>
      </c>
      <c r="B118" s="1" t="n">
        <v>43605</v>
      </c>
      <c r="C118" s="1" t="n">
        <v>45345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25853-2019</t>
        </is>
      </c>
      <c r="B119" s="1" t="n">
        <v>43608</v>
      </c>
      <c r="C119" s="1" t="n">
        <v>45345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28491-2019</t>
        </is>
      </c>
      <c r="B120" s="1" t="n">
        <v>43626</v>
      </c>
      <c r="C120" s="1" t="n">
        <v>45345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29086-2019</t>
        </is>
      </c>
      <c r="B121" s="1" t="n">
        <v>43628</v>
      </c>
      <c r="C121" s="1" t="n">
        <v>45345</v>
      </c>
      <c r="D121" t="inlineStr">
        <is>
          <t>ÖSTERGÖTLANDS LÄN</t>
        </is>
      </c>
      <c r="E121" t="inlineStr">
        <is>
          <t>YDRE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30134-2019</t>
        </is>
      </c>
      <c r="B122" s="1" t="n">
        <v>43630</v>
      </c>
      <c r="C122" s="1" t="n">
        <v>45345</v>
      </c>
      <c r="D122" t="inlineStr">
        <is>
          <t>ÖSTERGÖTLANDS LÄN</t>
        </is>
      </c>
      <c r="E122" t="inlineStr">
        <is>
          <t>YDRE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30179-2019</t>
        </is>
      </c>
      <c r="B123" s="1" t="n">
        <v>43634</v>
      </c>
      <c r="C123" s="1" t="n">
        <v>45345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32656-2019</t>
        </is>
      </c>
      <c r="B124" s="1" t="n">
        <v>43647</v>
      </c>
      <c r="C124" s="1" t="n">
        <v>45345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35130-2019</t>
        </is>
      </c>
      <c r="B125" s="1" t="n">
        <v>43661</v>
      </c>
      <c r="C125" s="1" t="n">
        <v>45345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37454-2019</t>
        </is>
      </c>
      <c r="B126" s="1" t="n">
        <v>43679</v>
      </c>
      <c r="C126" s="1" t="n">
        <v>45345</v>
      </c>
      <c r="D126" t="inlineStr">
        <is>
          <t>ÖSTERGÖTLANDS LÄN</t>
        </is>
      </c>
      <c r="E126" t="inlineStr">
        <is>
          <t>YDRE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38095-2019</t>
        </is>
      </c>
      <c r="B127" s="1" t="n">
        <v>43682</v>
      </c>
      <c r="C127" s="1" t="n">
        <v>45345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37906-2019</t>
        </is>
      </c>
      <c r="B128" s="1" t="n">
        <v>43683</v>
      </c>
      <c r="C128" s="1" t="n">
        <v>45345</v>
      </c>
      <c r="D128" t="inlineStr">
        <is>
          <t>ÖSTERGÖTLANDS LÄN</t>
        </is>
      </c>
      <c r="E128" t="inlineStr">
        <is>
          <t>YDRE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39667-2019</t>
        </is>
      </c>
      <c r="B129" s="1" t="n">
        <v>43689</v>
      </c>
      <c r="C129" s="1" t="n">
        <v>45345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39876-2019</t>
        </is>
      </c>
      <c r="B130" s="1" t="n">
        <v>43692</v>
      </c>
      <c r="C130" s="1" t="n">
        <v>45345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39878-2019</t>
        </is>
      </c>
      <c r="B131" s="1" t="n">
        <v>43692</v>
      </c>
      <c r="C131" s="1" t="n">
        <v>45345</v>
      </c>
      <c r="D131" t="inlineStr">
        <is>
          <t>ÖSTERGÖTLANDS LÄN</t>
        </is>
      </c>
      <c r="E131" t="inlineStr">
        <is>
          <t>YDRE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42495-2019</t>
        </is>
      </c>
      <c r="B132" s="1" t="n">
        <v>43699</v>
      </c>
      <c r="C132" s="1" t="n">
        <v>45345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43162-2019</t>
        </is>
      </c>
      <c r="B133" s="1" t="n">
        <v>43705</v>
      </c>
      <c r="C133" s="1" t="n">
        <v>45345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44331-2019</t>
        </is>
      </c>
      <c r="B134" s="1" t="n">
        <v>43711</v>
      </c>
      <c r="C134" s="1" t="n">
        <v>45345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44656-2019</t>
        </is>
      </c>
      <c r="B135" s="1" t="n">
        <v>43712</v>
      </c>
      <c r="C135" s="1" t="n">
        <v>45345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44738-2019</t>
        </is>
      </c>
      <c r="B136" s="1" t="n">
        <v>43712</v>
      </c>
      <c r="C136" s="1" t="n">
        <v>45345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45247-2019</t>
        </is>
      </c>
      <c r="B137" s="1" t="n">
        <v>43713</v>
      </c>
      <c r="C137" s="1" t="n">
        <v>45345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45245-2019</t>
        </is>
      </c>
      <c r="B138" s="1" t="n">
        <v>43713</v>
      </c>
      <c r="C138" s="1" t="n">
        <v>45345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45874-2019</t>
        </is>
      </c>
      <c r="B139" s="1" t="n">
        <v>43717</v>
      </c>
      <c r="C139" s="1" t="n">
        <v>45345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47284-2019</t>
        </is>
      </c>
      <c r="B140" s="1" t="n">
        <v>43721</v>
      </c>
      <c r="C140" s="1" t="n">
        <v>45345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48446-2019</t>
        </is>
      </c>
      <c r="B141" s="1" t="n">
        <v>43727</v>
      </c>
      <c r="C141" s="1" t="n">
        <v>45345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49113-2019</t>
        </is>
      </c>
      <c r="B142" s="1" t="n">
        <v>43731</v>
      </c>
      <c r="C142" s="1" t="n">
        <v>45345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50563-2019</t>
        </is>
      </c>
      <c r="B143" s="1" t="n">
        <v>43735</v>
      </c>
      <c r="C143" s="1" t="n">
        <v>45345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50812-2019</t>
        </is>
      </c>
      <c r="B144" s="1" t="n">
        <v>43738</v>
      </c>
      <c r="C144" s="1" t="n">
        <v>45345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50813-2019</t>
        </is>
      </c>
      <c r="B145" s="1" t="n">
        <v>43738</v>
      </c>
      <c r="C145" s="1" t="n">
        <v>45345</v>
      </c>
      <c r="D145" t="inlineStr">
        <is>
          <t>ÖSTERGÖTLANDS LÄN</t>
        </is>
      </c>
      <c r="E145" t="inlineStr">
        <is>
          <t>YDRE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53238-2019</t>
        </is>
      </c>
      <c r="B146" s="1" t="n">
        <v>43748</v>
      </c>
      <c r="C146" s="1" t="n">
        <v>45345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54228-2019</t>
        </is>
      </c>
      <c r="B147" s="1" t="n">
        <v>43753</v>
      </c>
      <c r="C147" s="1" t="n">
        <v>45345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56089-2019</t>
        </is>
      </c>
      <c r="B148" s="1" t="n">
        <v>43761</v>
      </c>
      <c r="C148" s="1" t="n">
        <v>45345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57636-2019</t>
        </is>
      </c>
      <c r="B149" s="1" t="n">
        <v>43768</v>
      </c>
      <c r="C149" s="1" t="n">
        <v>45345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58077-2019</t>
        </is>
      </c>
      <c r="B150" s="1" t="n">
        <v>43769</v>
      </c>
      <c r="C150" s="1" t="n">
        <v>45345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58505-2019</t>
        </is>
      </c>
      <c r="B151" s="1" t="n">
        <v>43773</v>
      </c>
      <c r="C151" s="1" t="n">
        <v>45345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58687-2019</t>
        </is>
      </c>
      <c r="B152" s="1" t="n">
        <v>43773</v>
      </c>
      <c r="C152" s="1" t="n">
        <v>45345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58694-2019</t>
        </is>
      </c>
      <c r="B153" s="1" t="n">
        <v>43773</v>
      </c>
      <c r="C153" s="1" t="n">
        <v>45345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58672-2019</t>
        </is>
      </c>
      <c r="B154" s="1" t="n">
        <v>43773</v>
      </c>
      <c r="C154" s="1" t="n">
        <v>45345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60782-2019</t>
        </is>
      </c>
      <c r="B155" s="1" t="n">
        <v>43781</v>
      </c>
      <c r="C155" s="1" t="n">
        <v>45345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62414-2019</t>
        </is>
      </c>
      <c r="B156" s="1" t="n">
        <v>43788</v>
      </c>
      <c r="C156" s="1" t="n">
        <v>45345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63039-2019</t>
        </is>
      </c>
      <c r="B157" s="1" t="n">
        <v>43791</v>
      </c>
      <c r="C157" s="1" t="n">
        <v>45345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65134-2019</t>
        </is>
      </c>
      <c r="B158" s="1" t="n">
        <v>43796</v>
      </c>
      <c r="C158" s="1" t="n">
        <v>45345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65874-2019</t>
        </is>
      </c>
      <c r="B159" s="1" t="n">
        <v>43805</v>
      </c>
      <c r="C159" s="1" t="n">
        <v>45345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66160-2019</t>
        </is>
      </c>
      <c r="B160" s="1" t="n">
        <v>43808</v>
      </c>
      <c r="C160" s="1" t="n">
        <v>45345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67001-2019</t>
        </is>
      </c>
      <c r="B161" s="1" t="n">
        <v>43811</v>
      </c>
      <c r="C161" s="1" t="n">
        <v>45345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67446-2019</t>
        </is>
      </c>
      <c r="B162" s="1" t="n">
        <v>43812</v>
      </c>
      <c r="C162" s="1" t="n">
        <v>45345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501-2020</t>
        </is>
      </c>
      <c r="B163" s="1" t="n">
        <v>43837</v>
      </c>
      <c r="C163" s="1" t="n">
        <v>45345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590-2020</t>
        </is>
      </c>
      <c r="B164" s="1" t="n">
        <v>43837</v>
      </c>
      <c r="C164" s="1" t="n">
        <v>45345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1045-2020</t>
        </is>
      </c>
      <c r="B165" s="1" t="n">
        <v>43839</v>
      </c>
      <c r="C165" s="1" t="n">
        <v>45345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2941-2020</t>
        </is>
      </c>
      <c r="B166" s="1" t="n">
        <v>43850</v>
      </c>
      <c r="C166" s="1" t="n">
        <v>45345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3077-2020</t>
        </is>
      </c>
      <c r="B167" s="1" t="n">
        <v>43851</v>
      </c>
      <c r="C167" s="1" t="n">
        <v>45345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4513-2020</t>
        </is>
      </c>
      <c r="B168" s="1" t="n">
        <v>43851</v>
      </c>
      <c r="C168" s="1" t="n">
        <v>45345</v>
      </c>
      <c r="D168" t="inlineStr">
        <is>
          <t>ÖSTERGÖTLANDS LÄN</t>
        </is>
      </c>
      <c r="E168" t="inlineStr">
        <is>
          <t>YDRE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3964-2020</t>
        </is>
      </c>
      <c r="B169" s="1" t="n">
        <v>43854</v>
      </c>
      <c r="C169" s="1" t="n">
        <v>45345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5083-2020</t>
        </is>
      </c>
      <c r="B170" s="1" t="n">
        <v>43859</v>
      </c>
      <c r="C170" s="1" t="n">
        <v>45345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5078-2020</t>
        </is>
      </c>
      <c r="B171" s="1" t="n">
        <v>43859</v>
      </c>
      <c r="C171" s="1" t="n">
        <v>45345</v>
      </c>
      <c r="D171" t="inlineStr">
        <is>
          <t>ÖSTERGÖTLANDS LÄN</t>
        </is>
      </c>
      <c r="E171" t="inlineStr">
        <is>
          <t>YDRE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6429-2020</t>
        </is>
      </c>
      <c r="B172" s="1" t="n">
        <v>43866</v>
      </c>
      <c r="C172" s="1" t="n">
        <v>45345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6458-2020</t>
        </is>
      </c>
      <c r="B173" s="1" t="n">
        <v>43866</v>
      </c>
      <c r="C173" s="1" t="n">
        <v>45345</v>
      </c>
      <c r="D173" t="inlineStr">
        <is>
          <t>ÖSTERGÖTLANDS LÄN</t>
        </is>
      </c>
      <c r="E173" t="inlineStr">
        <is>
          <t>YDRE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6460-2020</t>
        </is>
      </c>
      <c r="B174" s="1" t="n">
        <v>43866</v>
      </c>
      <c r="C174" s="1" t="n">
        <v>45345</v>
      </c>
      <c r="D174" t="inlineStr">
        <is>
          <t>ÖSTERGÖTLANDS LÄN</t>
        </is>
      </c>
      <c r="E174" t="inlineStr">
        <is>
          <t>YDRE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6651-2020</t>
        </is>
      </c>
      <c r="B175" s="1" t="n">
        <v>43867</v>
      </c>
      <c r="C175" s="1" t="n">
        <v>45345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6967-2020</t>
        </is>
      </c>
      <c r="B176" s="1" t="n">
        <v>43867</v>
      </c>
      <c r="C176" s="1" t="n">
        <v>45345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6671-2020</t>
        </is>
      </c>
      <c r="B177" s="1" t="n">
        <v>43867</v>
      </c>
      <c r="C177" s="1" t="n">
        <v>45345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6970-2020</t>
        </is>
      </c>
      <c r="B178" s="1" t="n">
        <v>43867</v>
      </c>
      <c r="C178" s="1" t="n">
        <v>45345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8328-2020</t>
        </is>
      </c>
      <c r="B179" s="1" t="n">
        <v>43875</v>
      </c>
      <c r="C179" s="1" t="n">
        <v>45345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11465-2020</t>
        </is>
      </c>
      <c r="B180" s="1" t="n">
        <v>43892</v>
      </c>
      <c r="C180" s="1" t="n">
        <v>45345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11447-2020</t>
        </is>
      </c>
      <c r="B181" s="1" t="n">
        <v>43892</v>
      </c>
      <c r="C181" s="1" t="n">
        <v>45345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12698-2020</t>
        </is>
      </c>
      <c r="B182" s="1" t="n">
        <v>43899</v>
      </c>
      <c r="C182" s="1" t="n">
        <v>45345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14213-2020</t>
        </is>
      </c>
      <c r="B183" s="1" t="n">
        <v>43900</v>
      </c>
      <c r="C183" s="1" t="n">
        <v>45345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14257-2020</t>
        </is>
      </c>
      <c r="B184" s="1" t="n">
        <v>43907</v>
      </c>
      <c r="C184" s="1" t="n">
        <v>45345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15565-2020</t>
        </is>
      </c>
      <c r="B185" s="1" t="n">
        <v>43914</v>
      </c>
      <c r="C185" s="1" t="n">
        <v>45345</v>
      </c>
      <c r="D185" t="inlineStr">
        <is>
          <t>ÖSTERGÖTLANDS LÄN</t>
        </is>
      </c>
      <c r="E185" t="inlineStr">
        <is>
          <t>YDRE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18398-2020</t>
        </is>
      </c>
      <c r="B186" s="1" t="n">
        <v>43928</v>
      </c>
      <c r="C186" s="1" t="n">
        <v>45345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20247-2020</t>
        </is>
      </c>
      <c r="B187" s="1" t="n">
        <v>43945</v>
      </c>
      <c r="C187" s="1" t="n">
        <v>45345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21390-2020</t>
        </is>
      </c>
      <c r="B188" s="1" t="n">
        <v>43955</v>
      </c>
      <c r="C188" s="1" t="n">
        <v>45345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21911-2020</t>
        </is>
      </c>
      <c r="B189" s="1" t="n">
        <v>43958</v>
      </c>
      <c r="C189" s="1" t="n">
        <v>45345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22689-2020</t>
        </is>
      </c>
      <c r="B190" s="1" t="n">
        <v>43963</v>
      </c>
      <c r="C190" s="1" t="n">
        <v>45345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22883-2020</t>
        </is>
      </c>
      <c r="B191" s="1" t="n">
        <v>43964</v>
      </c>
      <c r="C191" s="1" t="n">
        <v>45345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22885-2020</t>
        </is>
      </c>
      <c r="B192" s="1" t="n">
        <v>43964</v>
      </c>
      <c r="C192" s="1" t="n">
        <v>45345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22886-2020</t>
        </is>
      </c>
      <c r="B193" s="1" t="n">
        <v>43964</v>
      </c>
      <c r="C193" s="1" t="n">
        <v>45345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22884-2020</t>
        </is>
      </c>
      <c r="B194" s="1" t="n">
        <v>43964</v>
      </c>
      <c r="C194" s="1" t="n">
        <v>45345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23818-2020</t>
        </is>
      </c>
      <c r="B195" s="1" t="n">
        <v>43970</v>
      </c>
      <c r="C195" s="1" t="n">
        <v>45345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23823-2020</t>
        </is>
      </c>
      <c r="B196" s="1" t="n">
        <v>43970</v>
      </c>
      <c r="C196" s="1" t="n">
        <v>45345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23820-2020</t>
        </is>
      </c>
      <c r="B197" s="1" t="n">
        <v>43970</v>
      </c>
      <c r="C197" s="1" t="n">
        <v>45345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23819-2020</t>
        </is>
      </c>
      <c r="B198" s="1" t="n">
        <v>43970</v>
      </c>
      <c r="C198" s="1" t="n">
        <v>45345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23822-2020</t>
        </is>
      </c>
      <c r="B199" s="1" t="n">
        <v>43970</v>
      </c>
      <c r="C199" s="1" t="n">
        <v>45345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25176-2020</t>
        </is>
      </c>
      <c r="B200" s="1" t="n">
        <v>43980</v>
      </c>
      <c r="C200" s="1" t="n">
        <v>45345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26587-2020</t>
        </is>
      </c>
      <c r="B201" s="1" t="n">
        <v>43987</v>
      </c>
      <c r="C201" s="1" t="n">
        <v>45345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26472-2020</t>
        </is>
      </c>
      <c r="B202" s="1" t="n">
        <v>43987</v>
      </c>
      <c r="C202" s="1" t="n">
        <v>45345</v>
      </c>
      <c r="D202" t="inlineStr">
        <is>
          <t>ÖSTERGÖTLANDS LÄN</t>
        </is>
      </c>
      <c r="E202" t="inlineStr">
        <is>
          <t>YDRE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26591-2020</t>
        </is>
      </c>
      <c r="B203" s="1" t="n">
        <v>43987</v>
      </c>
      <c r="C203" s="1" t="n">
        <v>45345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26811-2020</t>
        </is>
      </c>
      <c r="B204" s="1" t="n">
        <v>43990</v>
      </c>
      <c r="C204" s="1" t="n">
        <v>45345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28281-2020</t>
        </is>
      </c>
      <c r="B205" s="1" t="n">
        <v>43998</v>
      </c>
      <c r="C205" s="1" t="n">
        <v>45345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32112-2020</t>
        </is>
      </c>
      <c r="B206" s="1" t="n">
        <v>44015</v>
      </c>
      <c r="C206" s="1" t="n">
        <v>45345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32432-2020</t>
        </is>
      </c>
      <c r="B207" s="1" t="n">
        <v>44018</v>
      </c>
      <c r="C207" s="1" t="n">
        <v>45345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32436-2020</t>
        </is>
      </c>
      <c r="B208" s="1" t="n">
        <v>44018</v>
      </c>
      <c r="C208" s="1" t="n">
        <v>45345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32831-2020</t>
        </is>
      </c>
      <c r="B209" s="1" t="n">
        <v>44020</v>
      </c>
      <c r="C209" s="1" t="n">
        <v>45345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32830-2020</t>
        </is>
      </c>
      <c r="B210" s="1" t="n">
        <v>44020</v>
      </c>
      <c r="C210" s="1" t="n">
        <v>45345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34385-2020</t>
        </is>
      </c>
      <c r="B211" s="1" t="n">
        <v>44028</v>
      </c>
      <c r="C211" s="1" t="n">
        <v>45345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34212-2020</t>
        </is>
      </c>
      <c r="B212" s="1" t="n">
        <v>44029</v>
      </c>
      <c r="C212" s="1" t="n">
        <v>45345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34213-2020</t>
        </is>
      </c>
      <c r="B213" s="1" t="n">
        <v>44029</v>
      </c>
      <c r="C213" s="1" t="n">
        <v>45345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34211-2020</t>
        </is>
      </c>
      <c r="B214" s="1" t="n">
        <v>44029</v>
      </c>
      <c r="C214" s="1" t="n">
        <v>45345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35004-2020</t>
        </is>
      </c>
      <c r="B215" s="1" t="n">
        <v>44039</v>
      </c>
      <c r="C215" s="1" t="n">
        <v>45345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35867-2020</t>
        </is>
      </c>
      <c r="B216" s="1" t="n">
        <v>44047</v>
      </c>
      <c r="C216" s="1" t="n">
        <v>45345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36255-2020</t>
        </is>
      </c>
      <c r="B217" s="1" t="n">
        <v>44049</v>
      </c>
      <c r="C217" s="1" t="n">
        <v>45345</v>
      </c>
      <c r="D217" t="inlineStr">
        <is>
          <t>ÖSTERGÖTLANDS LÄN</t>
        </is>
      </c>
      <c r="E217" t="inlineStr">
        <is>
          <t>YDRE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36425-2020</t>
        </is>
      </c>
      <c r="B218" s="1" t="n">
        <v>44049</v>
      </c>
      <c r="C218" s="1" t="n">
        <v>45345</v>
      </c>
      <c r="D218" t="inlineStr">
        <is>
          <t>ÖSTERGÖTLANDS LÄN</t>
        </is>
      </c>
      <c r="E218" t="inlineStr">
        <is>
          <t>YDRE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36423-2020</t>
        </is>
      </c>
      <c r="B219" s="1" t="n">
        <v>44049</v>
      </c>
      <c r="C219" s="1" t="n">
        <v>45345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37934-2020</t>
        </is>
      </c>
      <c r="B220" s="1" t="n">
        <v>44057</v>
      </c>
      <c r="C220" s="1" t="n">
        <v>45345</v>
      </c>
      <c r="D220" t="inlineStr">
        <is>
          <t>ÖSTERGÖTLANDS LÄN</t>
        </is>
      </c>
      <c r="E220" t="inlineStr">
        <is>
          <t>YDRE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39446-2020</t>
        </is>
      </c>
      <c r="B221" s="1" t="n">
        <v>44064</v>
      </c>
      <c r="C221" s="1" t="n">
        <v>45345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40560-2020</t>
        </is>
      </c>
      <c r="B222" s="1" t="n">
        <v>44069</v>
      </c>
      <c r="C222" s="1" t="n">
        <v>45345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41804-2020</t>
        </is>
      </c>
      <c r="B223" s="1" t="n">
        <v>44074</v>
      </c>
      <c r="C223" s="1" t="n">
        <v>45345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41809-2020</t>
        </is>
      </c>
      <c r="B224" s="1" t="n">
        <v>44074</v>
      </c>
      <c r="C224" s="1" t="n">
        <v>45345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41815-2020</t>
        </is>
      </c>
      <c r="B225" s="1" t="n">
        <v>44074</v>
      </c>
      <c r="C225" s="1" t="n">
        <v>45345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42590-2020</t>
        </is>
      </c>
      <c r="B226" s="1" t="n">
        <v>44077</v>
      </c>
      <c r="C226" s="1" t="n">
        <v>45345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44125-2020</t>
        </is>
      </c>
      <c r="B227" s="1" t="n">
        <v>44083</v>
      </c>
      <c r="C227" s="1" t="n">
        <v>45345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44875-2020</t>
        </is>
      </c>
      <c r="B228" s="1" t="n">
        <v>44087</v>
      </c>
      <c r="C228" s="1" t="n">
        <v>45345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44878-2020</t>
        </is>
      </c>
      <c r="B229" s="1" t="n">
        <v>44087</v>
      </c>
      <c r="C229" s="1" t="n">
        <v>45345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45275-2020</t>
        </is>
      </c>
      <c r="B230" s="1" t="n">
        <v>44089</v>
      </c>
      <c r="C230" s="1" t="n">
        <v>45345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45273-2020</t>
        </is>
      </c>
      <c r="B231" s="1" t="n">
        <v>44089</v>
      </c>
      <c r="C231" s="1" t="n">
        <v>45345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46316-2020</t>
        </is>
      </c>
      <c r="B232" s="1" t="n">
        <v>44092</v>
      </c>
      <c r="C232" s="1" t="n">
        <v>45345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46528-2020</t>
        </is>
      </c>
      <c r="B233" s="1" t="n">
        <v>44095</v>
      </c>
      <c r="C233" s="1" t="n">
        <v>45345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46739-2020</t>
        </is>
      </c>
      <c r="B234" s="1" t="n">
        <v>44095</v>
      </c>
      <c r="C234" s="1" t="n">
        <v>45345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48341-2020</t>
        </is>
      </c>
      <c r="B235" s="1" t="n">
        <v>44102</v>
      </c>
      <c r="C235" s="1" t="n">
        <v>45345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49055-2020</t>
        </is>
      </c>
      <c r="B236" s="1" t="n">
        <v>44104</v>
      </c>
      <c r="C236" s="1" t="n">
        <v>45345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49053-2020</t>
        </is>
      </c>
      <c r="B237" s="1" t="n">
        <v>44104</v>
      </c>
      <c r="C237" s="1" t="n">
        <v>45345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49060-2020</t>
        </is>
      </c>
      <c r="B238" s="1" t="n">
        <v>44104</v>
      </c>
      <c r="C238" s="1" t="n">
        <v>45345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49057-2020</t>
        </is>
      </c>
      <c r="B239" s="1" t="n">
        <v>44104</v>
      </c>
      <c r="C239" s="1" t="n">
        <v>45345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51887-2020</t>
        </is>
      </c>
      <c r="B240" s="1" t="n">
        <v>44109</v>
      </c>
      <c r="C240" s="1" t="n">
        <v>45345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52021-2020</t>
        </is>
      </c>
      <c r="B241" s="1" t="n">
        <v>44116</v>
      </c>
      <c r="C241" s="1" t="n">
        <v>45345</v>
      </c>
      <c r="D241" t="inlineStr">
        <is>
          <t>ÖSTERGÖTLANDS LÄN</t>
        </is>
      </c>
      <c r="E241" t="inlineStr">
        <is>
          <t>YDRE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52931-2020</t>
        </is>
      </c>
      <c r="B242" s="1" t="n">
        <v>44120</v>
      </c>
      <c r="C242" s="1" t="n">
        <v>45345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53712-2020</t>
        </is>
      </c>
      <c r="B243" s="1" t="n">
        <v>44124</v>
      </c>
      <c r="C243" s="1" t="n">
        <v>45345</v>
      </c>
      <c r="D243" t="inlineStr">
        <is>
          <t>ÖSTERGÖTLANDS LÄN</t>
        </is>
      </c>
      <c r="E243" t="inlineStr">
        <is>
          <t>YDRE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53714-2020</t>
        </is>
      </c>
      <c r="B244" s="1" t="n">
        <v>44124</v>
      </c>
      <c r="C244" s="1" t="n">
        <v>45345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54869-2020</t>
        </is>
      </c>
      <c r="B245" s="1" t="n">
        <v>44126</v>
      </c>
      <c r="C245" s="1" t="n">
        <v>45345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55087-2020</t>
        </is>
      </c>
      <c r="B246" s="1" t="n">
        <v>44130</v>
      </c>
      <c r="C246" s="1" t="n">
        <v>45345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55227-2020</t>
        </is>
      </c>
      <c r="B247" s="1" t="n">
        <v>44130</v>
      </c>
      <c r="C247" s="1" t="n">
        <v>45345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55219-2020</t>
        </is>
      </c>
      <c r="B248" s="1" t="n">
        <v>44130</v>
      </c>
      <c r="C248" s="1" t="n">
        <v>45345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57176-2020</t>
        </is>
      </c>
      <c r="B249" s="1" t="n">
        <v>44138</v>
      </c>
      <c r="C249" s="1" t="n">
        <v>45345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57872-2020</t>
        </is>
      </c>
      <c r="B250" s="1" t="n">
        <v>44141</v>
      </c>
      <c r="C250" s="1" t="n">
        <v>45345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58150-2020</t>
        </is>
      </c>
      <c r="B251" s="1" t="n">
        <v>44144</v>
      </c>
      <c r="C251" s="1" t="n">
        <v>45345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60004-2020</t>
        </is>
      </c>
      <c r="B252" s="1" t="n">
        <v>44151</v>
      </c>
      <c r="C252" s="1" t="n">
        <v>45345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64431-2020</t>
        </is>
      </c>
      <c r="B253" s="1" t="n">
        <v>44168</v>
      </c>
      <c r="C253" s="1" t="n">
        <v>45345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64438-2020</t>
        </is>
      </c>
      <c r="B254" s="1" t="n">
        <v>44168</v>
      </c>
      <c r="C254" s="1" t="n">
        <v>45345</v>
      </c>
      <c r="D254" t="inlineStr">
        <is>
          <t>ÖSTERGÖTLANDS LÄN</t>
        </is>
      </c>
      <c r="E254" t="inlineStr">
        <is>
          <t>YDRE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64428-2020</t>
        </is>
      </c>
      <c r="B255" s="1" t="n">
        <v>44168</v>
      </c>
      <c r="C255" s="1" t="n">
        <v>45345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65380-2020</t>
        </is>
      </c>
      <c r="B256" s="1" t="n">
        <v>44168</v>
      </c>
      <c r="C256" s="1" t="n">
        <v>45345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66716-2020</t>
        </is>
      </c>
      <c r="B257" s="1" t="n">
        <v>44179</v>
      </c>
      <c r="C257" s="1" t="n">
        <v>45345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67364-2020</t>
        </is>
      </c>
      <c r="B258" s="1" t="n">
        <v>44181</v>
      </c>
      <c r="C258" s="1" t="n">
        <v>45345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68182-2020</t>
        </is>
      </c>
      <c r="B259" s="1" t="n">
        <v>44183</v>
      </c>
      <c r="C259" s="1" t="n">
        <v>45345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68538-2020</t>
        </is>
      </c>
      <c r="B260" s="1" t="n">
        <v>44186</v>
      </c>
      <c r="C260" s="1" t="n">
        <v>45345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45345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218-2021</t>
        </is>
      </c>
      <c r="B262" s="1" t="n">
        <v>44200</v>
      </c>
      <c r="C262" s="1" t="n">
        <v>45345</v>
      </c>
      <c r="D262" t="inlineStr">
        <is>
          <t>ÖSTERGÖTLANDS LÄN</t>
        </is>
      </c>
      <c r="E262" t="inlineStr">
        <is>
          <t>YDRE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531-2021</t>
        </is>
      </c>
      <c r="B263" s="1" t="n">
        <v>44203</v>
      </c>
      <c r="C263" s="1" t="n">
        <v>45345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2132-2021</t>
        </is>
      </c>
      <c r="B264" s="1" t="n">
        <v>44211</v>
      </c>
      <c r="C264" s="1" t="n">
        <v>45345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2331-2021</t>
        </is>
      </c>
      <c r="B265" s="1" t="n">
        <v>44211</v>
      </c>
      <c r="C265" s="1" t="n">
        <v>45345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3199-2021</t>
        </is>
      </c>
      <c r="B266" s="1" t="n">
        <v>44217</v>
      </c>
      <c r="C266" s="1" t="n">
        <v>45345</v>
      </c>
      <c r="D266" t="inlineStr">
        <is>
          <t>ÖSTERGÖTLANDS LÄN</t>
        </is>
      </c>
      <c r="E266" t="inlineStr">
        <is>
          <t>YDRE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10476-2021</t>
        </is>
      </c>
      <c r="B267" s="1" t="n">
        <v>44257</v>
      </c>
      <c r="C267" s="1" t="n">
        <v>45345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10475-2021</t>
        </is>
      </c>
      <c r="B268" s="1" t="n">
        <v>44257</v>
      </c>
      <c r="C268" s="1" t="n">
        <v>45345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10990-2021</t>
        </is>
      </c>
      <c r="B269" s="1" t="n">
        <v>44260</v>
      </c>
      <c r="C269" s="1" t="n">
        <v>45345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11358-2021</t>
        </is>
      </c>
      <c r="B270" s="1" t="n">
        <v>44263</v>
      </c>
      <c r="C270" s="1" t="n">
        <v>45345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12456-2021</t>
        </is>
      </c>
      <c r="B271" s="1" t="n">
        <v>44267</v>
      </c>
      <c r="C271" s="1" t="n">
        <v>45345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12458-2021</t>
        </is>
      </c>
      <c r="B272" s="1" t="n">
        <v>44267</v>
      </c>
      <c r="C272" s="1" t="n">
        <v>45345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45345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12578-2021</t>
        </is>
      </c>
      <c r="B274" s="1" t="n">
        <v>44270</v>
      </c>
      <c r="C274" s="1" t="n">
        <v>45345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12578-2021 karta knärot.png", "A 12578-2021")</f>
        <v/>
      </c>
      <c r="V274">
        <f>HYPERLINK("https://klasma.github.io/Logging_0512/klagomål/A 12578-2021 FSC-klagomål.docx", "A 12578-2021")</f>
        <v/>
      </c>
      <c r="W274">
        <f>HYPERLINK("https://klasma.github.io/Logging_0512/klagomålsmail/A 12578-2021 FSC-klagomål mail.docx", "A 12578-2021")</f>
        <v/>
      </c>
      <c r="X274">
        <f>HYPERLINK("https://klasma.github.io/Logging_0512/tillsyn/A 12578-2021 tillsynsbegäran.docx", "A 12578-2021")</f>
        <v/>
      </c>
      <c r="Y274">
        <f>HYPERLINK("https://klasma.github.io/Logging_0512/tillsynsmail/A 12578-2021 tillsynsbegäran mail.docx", "A 12578-2021")</f>
        <v/>
      </c>
    </row>
    <row r="275" ht="15" customHeight="1">
      <c r="A275" t="inlineStr">
        <is>
          <t>A 12571-2021</t>
        </is>
      </c>
      <c r="B275" s="1" t="n">
        <v>44270</v>
      </c>
      <c r="C275" s="1" t="n">
        <v>45345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12577-2021</t>
        </is>
      </c>
      <c r="B276" s="1" t="n">
        <v>44270</v>
      </c>
      <c r="C276" s="1" t="n">
        <v>45345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12573-2021</t>
        </is>
      </c>
      <c r="B277" s="1" t="n">
        <v>44270</v>
      </c>
      <c r="C277" s="1" t="n">
        <v>45345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12580-2021</t>
        </is>
      </c>
      <c r="B278" s="1" t="n">
        <v>44270</v>
      </c>
      <c r="C278" s="1" t="n">
        <v>45345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14543-2021</t>
        </is>
      </c>
      <c r="B279" s="1" t="n">
        <v>44279</v>
      </c>
      <c r="C279" s="1" t="n">
        <v>45345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16382-2021</t>
        </is>
      </c>
      <c r="B280" s="1" t="n">
        <v>44292</v>
      </c>
      <c r="C280" s="1" t="n">
        <v>45345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17018-2021</t>
        </is>
      </c>
      <c r="B281" s="1" t="n">
        <v>44295</v>
      </c>
      <c r="C281" s="1" t="n">
        <v>45345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16933-2021</t>
        </is>
      </c>
      <c r="B282" s="1" t="n">
        <v>44295</v>
      </c>
      <c r="C282" s="1" t="n">
        <v>45345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17010-2021</t>
        </is>
      </c>
      <c r="B283" s="1" t="n">
        <v>44295</v>
      </c>
      <c r="C283" s="1" t="n">
        <v>45345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17307-2021</t>
        </is>
      </c>
      <c r="B284" s="1" t="n">
        <v>44298</v>
      </c>
      <c r="C284" s="1" t="n">
        <v>45345</v>
      </c>
      <c r="D284" t="inlineStr">
        <is>
          <t>ÖSTERGÖTLANDS LÄN</t>
        </is>
      </c>
      <c r="E284" t="inlineStr">
        <is>
          <t>YDRE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18324-2021</t>
        </is>
      </c>
      <c r="B285" s="1" t="n">
        <v>44305</v>
      </c>
      <c r="C285" s="1" t="n">
        <v>45345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18314-2021</t>
        </is>
      </c>
      <c r="B286" s="1" t="n">
        <v>44305</v>
      </c>
      <c r="C286" s="1" t="n">
        <v>45345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18326-2021</t>
        </is>
      </c>
      <c r="B287" s="1" t="n">
        <v>44305</v>
      </c>
      <c r="C287" s="1" t="n">
        <v>45345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19466-2021</t>
        </is>
      </c>
      <c r="B288" s="1" t="n">
        <v>44311</v>
      </c>
      <c r="C288" s="1" t="n">
        <v>45345</v>
      </c>
      <c r="D288" t="inlineStr">
        <is>
          <t>ÖSTERGÖTLANDS LÄN</t>
        </is>
      </c>
      <c r="E288" t="inlineStr">
        <is>
          <t>YDRE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20629-2021</t>
        </is>
      </c>
      <c r="B289" s="1" t="n">
        <v>44316</v>
      </c>
      <c r="C289" s="1" t="n">
        <v>45345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24686-2021</t>
        </is>
      </c>
      <c r="B290" s="1" t="n">
        <v>44340</v>
      </c>
      <c r="C290" s="1" t="n">
        <v>45345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24687-2021</t>
        </is>
      </c>
      <c r="B291" s="1" t="n">
        <v>44340</v>
      </c>
      <c r="C291" s="1" t="n">
        <v>45345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24739-2021</t>
        </is>
      </c>
      <c r="B292" s="1" t="n">
        <v>44340</v>
      </c>
      <c r="C292" s="1" t="n">
        <v>45345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25627-2021</t>
        </is>
      </c>
      <c r="B293" s="1" t="n">
        <v>44343</v>
      </c>
      <c r="C293" s="1" t="n">
        <v>45345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26046-2021</t>
        </is>
      </c>
      <c r="B294" s="1" t="n">
        <v>44344</v>
      </c>
      <c r="C294" s="1" t="n">
        <v>45345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26375-2021</t>
        </is>
      </c>
      <c r="B295" s="1" t="n">
        <v>44347</v>
      </c>
      <c r="C295" s="1" t="n">
        <v>45345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26388-2021</t>
        </is>
      </c>
      <c r="B296" s="1" t="n">
        <v>44347</v>
      </c>
      <c r="C296" s="1" t="n">
        <v>45345</v>
      </c>
      <c r="D296" t="inlineStr">
        <is>
          <t>ÖSTERGÖTLANDS LÄN</t>
        </is>
      </c>
      <c r="E296" t="inlineStr">
        <is>
          <t>YDRE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26363-2021</t>
        </is>
      </c>
      <c r="B297" s="1" t="n">
        <v>44347</v>
      </c>
      <c r="C297" s="1" t="n">
        <v>45345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26370-2021</t>
        </is>
      </c>
      <c r="B298" s="1" t="n">
        <v>44347</v>
      </c>
      <c r="C298" s="1" t="n">
        <v>45345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26380-2021</t>
        </is>
      </c>
      <c r="B299" s="1" t="n">
        <v>44347</v>
      </c>
      <c r="C299" s="1" t="n">
        <v>45345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29046-2021</t>
        </is>
      </c>
      <c r="B300" s="1" t="n">
        <v>44358</v>
      </c>
      <c r="C300" s="1" t="n">
        <v>45345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29069-2021</t>
        </is>
      </c>
      <c r="B301" s="1" t="n">
        <v>44358</v>
      </c>
      <c r="C301" s="1" t="n">
        <v>45345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28956-2021</t>
        </is>
      </c>
      <c r="B302" s="1" t="n">
        <v>44358</v>
      </c>
      <c r="C302" s="1" t="n">
        <v>45345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29203-2021</t>
        </is>
      </c>
      <c r="B303" s="1" t="n">
        <v>44359</v>
      </c>
      <c r="C303" s="1" t="n">
        <v>45345</v>
      </c>
      <c r="D303" t="inlineStr">
        <is>
          <t>ÖSTERGÖTLANDS LÄN</t>
        </is>
      </c>
      <c r="E303" t="inlineStr">
        <is>
          <t>YDRE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29692-2021</t>
        </is>
      </c>
      <c r="B304" s="1" t="n">
        <v>44362</v>
      </c>
      <c r="C304" s="1" t="n">
        <v>45345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29782-2021</t>
        </is>
      </c>
      <c r="B305" s="1" t="n">
        <v>44362</v>
      </c>
      <c r="C305" s="1" t="n">
        <v>45345</v>
      </c>
      <c r="D305" t="inlineStr">
        <is>
          <t>ÖSTERGÖTLANDS LÄN</t>
        </is>
      </c>
      <c r="E305" t="inlineStr">
        <is>
          <t>YDRE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30369-2021</t>
        </is>
      </c>
      <c r="B306" s="1" t="n">
        <v>44364</v>
      </c>
      <c r="C306" s="1" t="n">
        <v>45345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30392-2021</t>
        </is>
      </c>
      <c r="B307" s="1" t="n">
        <v>44364</v>
      </c>
      <c r="C307" s="1" t="n">
        <v>45345</v>
      </c>
      <c r="D307" t="inlineStr">
        <is>
          <t>ÖSTERGÖTLANDS LÄN</t>
        </is>
      </c>
      <c r="E307" t="inlineStr">
        <is>
          <t>YDRE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30398-2021</t>
        </is>
      </c>
      <c r="B308" s="1" t="n">
        <v>44364</v>
      </c>
      <c r="C308" s="1" t="n">
        <v>45345</v>
      </c>
      <c r="D308" t="inlineStr">
        <is>
          <t>ÖSTERGÖTLANDS LÄN</t>
        </is>
      </c>
      <c r="E308" t="inlineStr">
        <is>
          <t>YDRE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30395-2021</t>
        </is>
      </c>
      <c r="B309" s="1" t="n">
        <v>44364</v>
      </c>
      <c r="C309" s="1" t="n">
        <v>45345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30391-2021</t>
        </is>
      </c>
      <c r="B310" s="1" t="n">
        <v>44364</v>
      </c>
      <c r="C310" s="1" t="n">
        <v>45345</v>
      </c>
      <c r="D310" t="inlineStr">
        <is>
          <t>ÖSTERGÖTLANDS LÄN</t>
        </is>
      </c>
      <c r="E310" t="inlineStr">
        <is>
          <t>YDRE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31856-2021</t>
        </is>
      </c>
      <c r="B311" s="1" t="n">
        <v>44370</v>
      </c>
      <c r="C311" s="1" t="n">
        <v>45345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32243-2021</t>
        </is>
      </c>
      <c r="B312" s="1" t="n">
        <v>44371</v>
      </c>
      <c r="C312" s="1" t="n">
        <v>45345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34705-2021</t>
        </is>
      </c>
      <c r="B313" s="1" t="n">
        <v>44382</v>
      </c>
      <c r="C313" s="1" t="n">
        <v>45345</v>
      </c>
      <c r="D313" t="inlineStr">
        <is>
          <t>ÖSTERGÖTLANDS LÄN</t>
        </is>
      </c>
      <c r="E313" t="inlineStr">
        <is>
          <t>YDRE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35717-2021</t>
        </is>
      </c>
      <c r="B314" s="1" t="n">
        <v>44386</v>
      </c>
      <c r="C314" s="1" t="n">
        <v>45345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35884-2021</t>
        </is>
      </c>
      <c r="B315" s="1" t="n">
        <v>44387</v>
      </c>
      <c r="C315" s="1" t="n">
        <v>45345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35883-2021</t>
        </is>
      </c>
      <c r="B316" s="1" t="n">
        <v>44387</v>
      </c>
      <c r="C316" s="1" t="n">
        <v>45345</v>
      </c>
      <c r="D316" t="inlineStr">
        <is>
          <t>ÖSTERGÖTLANDS LÄN</t>
        </is>
      </c>
      <c r="E316" t="inlineStr">
        <is>
          <t>YDRE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36804-2021</t>
        </is>
      </c>
      <c r="B317" s="1" t="n">
        <v>44392</v>
      </c>
      <c r="C317" s="1" t="n">
        <v>45345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36803-2021</t>
        </is>
      </c>
      <c r="B318" s="1" t="n">
        <v>44392</v>
      </c>
      <c r="C318" s="1" t="n">
        <v>45345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38666-2021</t>
        </is>
      </c>
      <c r="B319" s="1" t="n">
        <v>44410</v>
      </c>
      <c r="C319" s="1" t="n">
        <v>45345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38642-2021</t>
        </is>
      </c>
      <c r="B320" s="1" t="n">
        <v>44410</v>
      </c>
      <c r="C320" s="1" t="n">
        <v>45345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38662-2021</t>
        </is>
      </c>
      <c r="B321" s="1" t="n">
        <v>44410</v>
      </c>
      <c r="C321" s="1" t="n">
        <v>45345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39319-2021</t>
        </is>
      </c>
      <c r="B322" s="1" t="n">
        <v>44413</v>
      </c>
      <c r="C322" s="1" t="n">
        <v>45345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39906-2021</t>
        </is>
      </c>
      <c r="B323" s="1" t="n">
        <v>44417</v>
      </c>
      <c r="C323" s="1" t="n">
        <v>45345</v>
      </c>
      <c r="D323" t="inlineStr">
        <is>
          <t>ÖSTERGÖTLANDS LÄN</t>
        </is>
      </c>
      <c r="E323" t="inlineStr">
        <is>
          <t>YDRE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39903-2021</t>
        </is>
      </c>
      <c r="B324" s="1" t="n">
        <v>44417</v>
      </c>
      <c r="C324" s="1" t="n">
        <v>45345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40200-2021</t>
        </is>
      </c>
      <c r="B325" s="1" t="n">
        <v>44418</v>
      </c>
      <c r="C325" s="1" t="n">
        <v>45345</v>
      </c>
      <c r="D325" t="inlineStr">
        <is>
          <t>ÖSTERGÖTLANDS LÄN</t>
        </is>
      </c>
      <c r="E325" t="inlineStr">
        <is>
          <t>YDRE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42099-2021</t>
        </is>
      </c>
      <c r="B326" s="1" t="n">
        <v>44426</v>
      </c>
      <c r="C326" s="1" t="n">
        <v>45345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42103-2021</t>
        </is>
      </c>
      <c r="B327" s="1" t="n">
        <v>44426</v>
      </c>
      <c r="C327" s="1" t="n">
        <v>45345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42781-2021</t>
        </is>
      </c>
      <c r="B328" s="1" t="n">
        <v>44428</v>
      </c>
      <c r="C328" s="1" t="n">
        <v>45345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44283-2021</t>
        </is>
      </c>
      <c r="B329" s="1" t="n">
        <v>44435</v>
      </c>
      <c r="C329" s="1" t="n">
        <v>45345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44859-2021</t>
        </is>
      </c>
      <c r="B330" s="1" t="n">
        <v>44438</v>
      </c>
      <c r="C330" s="1" t="n">
        <v>45345</v>
      </c>
      <c r="D330" t="inlineStr">
        <is>
          <t>ÖSTERGÖTLANDS LÄN</t>
        </is>
      </c>
      <c r="E330" t="inlineStr">
        <is>
          <t>YDRE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44741-2021</t>
        </is>
      </c>
      <c r="B331" s="1" t="n">
        <v>44438</v>
      </c>
      <c r="C331" s="1" t="n">
        <v>45345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44856-2021</t>
        </is>
      </c>
      <c r="B332" s="1" t="n">
        <v>44438</v>
      </c>
      <c r="C332" s="1" t="n">
        <v>45345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45194-2021</t>
        </is>
      </c>
      <c r="B333" s="1" t="n">
        <v>44439</v>
      </c>
      <c r="C333" s="1" t="n">
        <v>45345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47459-2021</t>
        </is>
      </c>
      <c r="B334" s="1" t="n">
        <v>44447</v>
      </c>
      <c r="C334" s="1" t="n">
        <v>45345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47456-2021</t>
        </is>
      </c>
      <c r="B335" s="1" t="n">
        <v>44447</v>
      </c>
      <c r="C335" s="1" t="n">
        <v>45345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47467-2021</t>
        </is>
      </c>
      <c r="B336" s="1" t="n">
        <v>44447</v>
      </c>
      <c r="C336" s="1" t="n">
        <v>45345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47464-2021</t>
        </is>
      </c>
      <c r="B337" s="1" t="n">
        <v>44447</v>
      </c>
      <c r="C337" s="1" t="n">
        <v>45345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48419-2021</t>
        </is>
      </c>
      <c r="B338" s="1" t="n">
        <v>44452</v>
      </c>
      <c r="C338" s="1" t="n">
        <v>45345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49506-2021</t>
        </is>
      </c>
      <c r="B339" s="1" t="n">
        <v>44454</v>
      </c>
      <c r="C339" s="1" t="n">
        <v>45345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51225-2021</t>
        </is>
      </c>
      <c r="B340" s="1" t="n">
        <v>44461</v>
      </c>
      <c r="C340" s="1" t="n">
        <v>45345</v>
      </c>
      <c r="D340" t="inlineStr">
        <is>
          <t>ÖSTERGÖTLANDS LÄN</t>
        </is>
      </c>
      <c r="E340" t="inlineStr">
        <is>
          <t>YDRE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51332-2021</t>
        </is>
      </c>
      <c r="B341" s="1" t="n">
        <v>44461</v>
      </c>
      <c r="C341" s="1" t="n">
        <v>45345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53360-2021</t>
        </is>
      </c>
      <c r="B342" s="1" t="n">
        <v>44468</v>
      </c>
      <c r="C342" s="1" t="n">
        <v>45345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53909-2021</t>
        </is>
      </c>
      <c r="B343" s="1" t="n">
        <v>44469</v>
      </c>
      <c r="C343" s="1" t="n">
        <v>45345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55078-2021</t>
        </is>
      </c>
      <c r="B344" s="1" t="n">
        <v>44474</v>
      </c>
      <c r="C344" s="1" t="n">
        <v>45345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55759-2021</t>
        </is>
      </c>
      <c r="B345" s="1" t="n">
        <v>44476</v>
      </c>
      <c r="C345" s="1" t="n">
        <v>45345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55761-2021</t>
        </is>
      </c>
      <c r="B346" s="1" t="n">
        <v>44476</v>
      </c>
      <c r="C346" s="1" t="n">
        <v>45345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55614-2021</t>
        </is>
      </c>
      <c r="B347" s="1" t="n">
        <v>44476</v>
      </c>
      <c r="C347" s="1" t="n">
        <v>45345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55845-2021</t>
        </is>
      </c>
      <c r="B348" s="1" t="n">
        <v>44476</v>
      </c>
      <c r="C348" s="1" t="n">
        <v>45345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55844-2021</t>
        </is>
      </c>
      <c r="B349" s="1" t="n">
        <v>44476</v>
      </c>
      <c r="C349" s="1" t="n">
        <v>45345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56341-2021</t>
        </is>
      </c>
      <c r="B350" s="1" t="n">
        <v>44477</v>
      </c>
      <c r="C350" s="1" t="n">
        <v>45345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</v>
      </c>
      <c r="C351" s="1" t="n">
        <v>45345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56323-2021</t>
        </is>
      </c>
      <c r="B352" s="1" t="n">
        <v>44480</v>
      </c>
      <c r="C352" s="1" t="n">
        <v>45345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HYPERLINK("https://klasma.github.io/Logging_0512/knärot/A 56323-2021 karta knärot.png", "A 56323-2021")</f>
        <v/>
      </c>
      <c r="V352">
        <f>HYPERLINK("https://klasma.github.io/Logging_0512/klagomål/A 56323-2021 FSC-klagomål.docx", "A 56323-2021")</f>
        <v/>
      </c>
      <c r="W352">
        <f>HYPERLINK("https://klasma.github.io/Logging_0512/klagomålsmail/A 56323-2021 FSC-klagomål mail.docx", "A 56323-2021")</f>
        <v/>
      </c>
      <c r="X352">
        <f>HYPERLINK("https://klasma.github.io/Logging_0512/tillsyn/A 56323-2021 tillsynsbegäran.docx", "A 56323-2021")</f>
        <v/>
      </c>
      <c r="Y352">
        <f>HYPERLINK("https://klasma.github.io/Logging_0512/tillsynsmail/A 56323-2021 tillsynsbegäran mail.docx", "A 56323-2021")</f>
        <v/>
      </c>
    </row>
    <row r="353" ht="15" customHeight="1">
      <c r="A353" t="inlineStr">
        <is>
          <t>A 56606-2021</t>
        </is>
      </c>
      <c r="B353" s="1" t="n">
        <v>44480</v>
      </c>
      <c r="C353" s="1" t="n">
        <v>45345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57282-2021</t>
        </is>
      </c>
      <c r="B354" s="1" t="n">
        <v>44483</v>
      </c>
      <c r="C354" s="1" t="n">
        <v>45345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</v>
      </c>
      <c r="C355" s="1" t="n">
        <v>45345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59297-2021</t>
        </is>
      </c>
      <c r="B356" s="1" t="n">
        <v>44490</v>
      </c>
      <c r="C356" s="1" t="n">
        <v>45345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59296-2021</t>
        </is>
      </c>
      <c r="B357" s="1" t="n">
        <v>44490</v>
      </c>
      <c r="C357" s="1" t="n">
        <v>45345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59410-2021</t>
        </is>
      </c>
      <c r="B358" s="1" t="n">
        <v>44491</v>
      </c>
      <c r="C358" s="1" t="n">
        <v>45345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45345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59406-2021</t>
        </is>
      </c>
      <c r="B360" s="1" t="n">
        <v>44491</v>
      </c>
      <c r="C360" s="1" t="n">
        <v>45345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59412-2021</t>
        </is>
      </c>
      <c r="B361" s="1" t="n">
        <v>44491</v>
      </c>
      <c r="C361" s="1" t="n">
        <v>45345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59543-2021</t>
        </is>
      </c>
      <c r="B362" s="1" t="n">
        <v>44491</v>
      </c>
      <c r="C362" s="1" t="n">
        <v>45345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61636-2021</t>
        </is>
      </c>
      <c r="B363" s="1" t="n">
        <v>44501</v>
      </c>
      <c r="C363" s="1" t="n">
        <v>45345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62006-2021</t>
        </is>
      </c>
      <c r="B364" s="1" t="n">
        <v>44502</v>
      </c>
      <c r="C364" s="1" t="n">
        <v>45345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45345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62484-2021</t>
        </is>
      </c>
      <c r="B366" s="1" t="n">
        <v>44503</v>
      </c>
      <c r="C366" s="1" t="n">
        <v>45345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62485-2021</t>
        </is>
      </c>
      <c r="B367" s="1" t="n">
        <v>44503</v>
      </c>
      <c r="C367" s="1" t="n">
        <v>45345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62483-2021</t>
        </is>
      </c>
      <c r="B368" s="1" t="n">
        <v>44503</v>
      </c>
      <c r="C368" s="1" t="n">
        <v>45345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62491-2021</t>
        </is>
      </c>
      <c r="B369" s="1" t="n">
        <v>44503</v>
      </c>
      <c r="C369" s="1" t="n">
        <v>45345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62509-2021</t>
        </is>
      </c>
      <c r="B370" s="1" t="n">
        <v>44503</v>
      </c>
      <c r="C370" s="1" t="n">
        <v>45345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62815-2021</t>
        </is>
      </c>
      <c r="B371" s="1" t="n">
        <v>44504</v>
      </c>
      <c r="C371" s="1" t="n">
        <v>45345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63384-2021</t>
        </is>
      </c>
      <c r="B372" s="1" t="n">
        <v>44508</v>
      </c>
      <c r="C372" s="1" t="n">
        <v>45345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63338-2021</t>
        </is>
      </c>
      <c r="B373" s="1" t="n">
        <v>44508</v>
      </c>
      <c r="C373" s="1" t="n">
        <v>45345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64263-2021</t>
        </is>
      </c>
      <c r="B374" s="1" t="n">
        <v>44510</v>
      </c>
      <c r="C374" s="1" t="n">
        <v>45345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65337-2021</t>
        </is>
      </c>
      <c r="B375" s="1" t="n">
        <v>44515</v>
      </c>
      <c r="C375" s="1" t="n">
        <v>45345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65794-2021</t>
        </is>
      </c>
      <c r="B376" s="1" t="n">
        <v>44517</v>
      </c>
      <c r="C376" s="1" t="n">
        <v>45345</v>
      </c>
      <c r="D376" t="inlineStr">
        <is>
          <t>ÖSTERGÖTLANDS LÄN</t>
        </is>
      </c>
      <c r="E376" t="inlineStr">
        <is>
          <t>YDRE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65795-2021</t>
        </is>
      </c>
      <c r="B377" s="1" t="n">
        <v>44516</v>
      </c>
      <c r="C377" s="1" t="n">
        <v>45345</v>
      </c>
      <c r="D377" t="inlineStr">
        <is>
          <t>ÖSTERGÖTLANDS LÄN</t>
        </is>
      </c>
      <c r="E377" t="inlineStr">
        <is>
          <t>YDRE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65792-2021</t>
        </is>
      </c>
      <c r="B378" s="1" t="n">
        <v>44517</v>
      </c>
      <c r="C378" s="1" t="n">
        <v>45345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</v>
      </c>
      <c r="C379" s="1" t="n">
        <v>45345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69020-2021</t>
        </is>
      </c>
      <c r="B380" s="1" t="n">
        <v>44530</v>
      </c>
      <c r="C380" s="1" t="n">
        <v>45345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69017-2021</t>
        </is>
      </c>
      <c r="B381" s="1" t="n">
        <v>44530</v>
      </c>
      <c r="C381" s="1" t="n">
        <v>45345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69307-2021</t>
        </is>
      </c>
      <c r="B382" s="1" t="n">
        <v>44531</v>
      </c>
      <c r="C382" s="1" t="n">
        <v>45345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</v>
      </c>
      <c r="C383" s="1" t="n">
        <v>45345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71041-2021</t>
        </is>
      </c>
      <c r="B384" s="1" t="n">
        <v>44538</v>
      </c>
      <c r="C384" s="1" t="n">
        <v>45345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71035-2021</t>
        </is>
      </c>
      <c r="B385" s="1" t="n">
        <v>44538</v>
      </c>
      <c r="C385" s="1" t="n">
        <v>45345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71524-2021</t>
        </is>
      </c>
      <c r="B386" s="1" t="n">
        <v>44538</v>
      </c>
      <c r="C386" s="1" t="n">
        <v>45345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72026-2021</t>
        </is>
      </c>
      <c r="B387" s="1" t="n">
        <v>44540</v>
      </c>
      <c r="C387" s="1" t="n">
        <v>45345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73842-2021</t>
        </is>
      </c>
      <c r="B388" s="1" t="n">
        <v>44553</v>
      </c>
      <c r="C388" s="1" t="n">
        <v>45345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73843-2021</t>
        </is>
      </c>
      <c r="B389" s="1" t="n">
        <v>44553</v>
      </c>
      <c r="C389" s="1" t="n">
        <v>45345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</v>
      </c>
      <c r="C390" s="1" t="n">
        <v>45345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552-2022</t>
        </is>
      </c>
      <c r="B391" s="1" t="n">
        <v>44566</v>
      </c>
      <c r="C391" s="1" t="n">
        <v>45345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1204-2022</t>
        </is>
      </c>
      <c r="B392" s="1" t="n">
        <v>44572</v>
      </c>
      <c r="C392" s="1" t="n">
        <v>45345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1176-2022</t>
        </is>
      </c>
      <c r="B393" s="1" t="n">
        <v>44572</v>
      </c>
      <c r="C393" s="1" t="n">
        <v>45345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</v>
      </c>
      <c r="C394" s="1" t="n">
        <v>45345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3066-2022</t>
        </is>
      </c>
      <c r="B395" s="1" t="n">
        <v>44582</v>
      </c>
      <c r="C395" s="1" t="n">
        <v>45345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3374-2022</t>
        </is>
      </c>
      <c r="B396" s="1" t="n">
        <v>44585</v>
      </c>
      <c r="C396" s="1" t="n">
        <v>45345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4624-2022</t>
        </is>
      </c>
      <c r="B397" s="1" t="n">
        <v>44592</v>
      </c>
      <c r="C397" s="1" t="n">
        <v>45345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4982-2022</t>
        </is>
      </c>
      <c r="B398" s="1" t="n">
        <v>44593</v>
      </c>
      <c r="C398" s="1" t="n">
        <v>45345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5180-2022</t>
        </is>
      </c>
      <c r="B399" s="1" t="n">
        <v>44594</v>
      </c>
      <c r="C399" s="1" t="n">
        <v>45345</v>
      </c>
      <c r="D399" t="inlineStr">
        <is>
          <t>ÖSTERGÖTLANDS LÄN</t>
        </is>
      </c>
      <c r="E399" t="inlineStr">
        <is>
          <t>YDRE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6328-2022</t>
        </is>
      </c>
      <c r="B400" s="1" t="n">
        <v>44600</v>
      </c>
      <c r="C400" s="1" t="n">
        <v>45345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6780-2022</t>
        </is>
      </c>
      <c r="B401" s="1" t="n">
        <v>44602</v>
      </c>
      <c r="C401" s="1" t="n">
        <v>45345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7306-2022</t>
        </is>
      </c>
      <c r="B402" s="1" t="n">
        <v>44606</v>
      </c>
      <c r="C402" s="1" t="n">
        <v>45345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7799-2022</t>
        </is>
      </c>
      <c r="B403" s="1" t="n">
        <v>44608</v>
      </c>
      <c r="C403" s="1" t="n">
        <v>45345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7812-2022</t>
        </is>
      </c>
      <c r="B404" s="1" t="n">
        <v>44608</v>
      </c>
      <c r="C404" s="1" t="n">
        <v>45345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9537-2022</t>
        </is>
      </c>
      <c r="B405" s="1" t="n">
        <v>44617</v>
      </c>
      <c r="C405" s="1" t="n">
        <v>45345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9904-2022</t>
        </is>
      </c>
      <c r="B406" s="1" t="n">
        <v>44620</v>
      </c>
      <c r="C406" s="1" t="n">
        <v>45345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10001-2022</t>
        </is>
      </c>
      <c r="B407" s="1" t="n">
        <v>44621</v>
      </c>
      <c r="C407" s="1" t="n">
        <v>45345</v>
      </c>
      <c r="D407" t="inlineStr">
        <is>
          <t>ÖSTERGÖTLANDS LÄN</t>
        </is>
      </c>
      <c r="E407" t="inlineStr">
        <is>
          <t>YDRE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10699-2022</t>
        </is>
      </c>
      <c r="B408" s="1" t="n">
        <v>44624</v>
      </c>
      <c r="C408" s="1" t="n">
        <v>45345</v>
      </c>
      <c r="D408" t="inlineStr">
        <is>
          <t>ÖSTERGÖTLANDS LÄN</t>
        </is>
      </c>
      <c r="E408" t="inlineStr">
        <is>
          <t>YDRE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11749-2022</t>
        </is>
      </c>
      <c r="B409" s="1" t="n">
        <v>44634</v>
      </c>
      <c r="C409" s="1" t="n">
        <v>45345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11902-2022</t>
        </is>
      </c>
      <c r="B410" s="1" t="n">
        <v>44635</v>
      </c>
      <c r="C410" s="1" t="n">
        <v>45345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13935-2022</t>
        </is>
      </c>
      <c r="B411" s="1" t="n">
        <v>44650</v>
      </c>
      <c r="C411" s="1" t="n">
        <v>45345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45345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45345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14503-2022</t>
        </is>
      </c>
      <c r="B414" s="1" t="n">
        <v>44655</v>
      </c>
      <c r="C414" s="1" t="n">
        <v>45345</v>
      </c>
      <c r="D414" t="inlineStr">
        <is>
          <t>ÖSTERGÖTLANDS LÄN</t>
        </is>
      </c>
      <c r="E414" t="inlineStr">
        <is>
          <t>YDRE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45345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45345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18608-2022</t>
        </is>
      </c>
      <c r="B417" s="1" t="n">
        <v>44687</v>
      </c>
      <c r="C417" s="1" t="n">
        <v>45345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18611-2022</t>
        </is>
      </c>
      <c r="B418" s="1" t="n">
        <v>44687</v>
      </c>
      <c r="C418" s="1" t="n">
        <v>45345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19610-2022</t>
        </is>
      </c>
      <c r="B419" s="1" t="n">
        <v>44693</v>
      </c>
      <c r="C419" s="1" t="n">
        <v>45345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20158-2022</t>
        </is>
      </c>
      <c r="B420" s="1" t="n">
        <v>44698</v>
      </c>
      <c r="C420" s="1" t="n">
        <v>45345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</v>
      </c>
      <c r="C421" s="1" t="n">
        <v>45345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22409-2022</t>
        </is>
      </c>
      <c r="B422" s="1" t="n">
        <v>44713</v>
      </c>
      <c r="C422" s="1" t="n">
        <v>45345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23769-2022</t>
        </is>
      </c>
      <c r="B423" s="1" t="n">
        <v>44722</v>
      </c>
      <c r="C423" s="1" t="n">
        <v>45345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24804-2022</t>
        </is>
      </c>
      <c r="B424" s="1" t="n">
        <v>44728</v>
      </c>
      <c r="C424" s="1" t="n">
        <v>45345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24938-2022</t>
        </is>
      </c>
      <c r="B425" s="1" t="n">
        <v>44728</v>
      </c>
      <c r="C425" s="1" t="n">
        <v>45345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27737-2022</t>
        </is>
      </c>
      <c r="B426" s="1" t="n">
        <v>44743</v>
      </c>
      <c r="C426" s="1" t="n">
        <v>45345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27744-2022</t>
        </is>
      </c>
      <c r="B427" s="1" t="n">
        <v>44743</v>
      </c>
      <c r="C427" s="1" t="n">
        <v>45345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45345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33660-2022</t>
        </is>
      </c>
      <c r="B429" s="1" t="n">
        <v>44789</v>
      </c>
      <c r="C429" s="1" t="n">
        <v>45345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45345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33676-2022</t>
        </is>
      </c>
      <c r="B431" s="1" t="n">
        <v>44789</v>
      </c>
      <c r="C431" s="1" t="n">
        <v>45345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33687-2022</t>
        </is>
      </c>
      <c r="B432" s="1" t="n">
        <v>44789</v>
      </c>
      <c r="C432" s="1" t="n">
        <v>45345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34932-2022</t>
        </is>
      </c>
      <c r="B433" s="1" t="n">
        <v>44796</v>
      </c>
      <c r="C433" s="1" t="n">
        <v>45345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35339-2022</t>
        </is>
      </c>
      <c r="B434" s="1" t="n">
        <v>44798</v>
      </c>
      <c r="C434" s="1" t="n">
        <v>45345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38844-2022</t>
        </is>
      </c>
      <c r="B435" s="1" t="n">
        <v>44816</v>
      </c>
      <c r="C435" s="1" t="n">
        <v>45345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38928-2022</t>
        </is>
      </c>
      <c r="B436" s="1" t="n">
        <v>44816</v>
      </c>
      <c r="C436" s="1" t="n">
        <v>45345</v>
      </c>
      <c r="D436" t="inlineStr">
        <is>
          <t>ÖSTERGÖTLANDS LÄN</t>
        </is>
      </c>
      <c r="E436" t="inlineStr">
        <is>
          <t>YDRE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38935-2022</t>
        </is>
      </c>
      <c r="B437" s="1" t="n">
        <v>44816</v>
      </c>
      <c r="C437" s="1" t="n">
        <v>45345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39085-2022</t>
        </is>
      </c>
      <c r="B438" s="1" t="n">
        <v>44816</v>
      </c>
      <c r="C438" s="1" t="n">
        <v>45345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40070-2022</t>
        </is>
      </c>
      <c r="B439" s="1" t="n">
        <v>44820</v>
      </c>
      <c r="C439" s="1" t="n">
        <v>45345</v>
      </c>
      <c r="D439" t="inlineStr">
        <is>
          <t>ÖSTERGÖTLANDS LÄN</t>
        </is>
      </c>
      <c r="E439" t="inlineStr">
        <is>
          <t>YDRE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41144-2022</t>
        </is>
      </c>
      <c r="B440" s="1" t="n">
        <v>44825</v>
      </c>
      <c r="C440" s="1" t="n">
        <v>45345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41536-2022</t>
        </is>
      </c>
      <c r="B441" s="1" t="n">
        <v>44827</v>
      </c>
      <c r="C441" s="1" t="n">
        <v>45345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41531-2022</t>
        </is>
      </c>
      <c r="B442" s="1" t="n">
        <v>44827</v>
      </c>
      <c r="C442" s="1" t="n">
        <v>45345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41508-2022</t>
        </is>
      </c>
      <c r="B443" s="1" t="n">
        <v>44827</v>
      </c>
      <c r="C443" s="1" t="n">
        <v>45345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41524-2022</t>
        </is>
      </c>
      <c r="B444" s="1" t="n">
        <v>44827</v>
      </c>
      <c r="C444" s="1" t="n">
        <v>45345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42343-2022</t>
        </is>
      </c>
      <c r="B445" s="1" t="n">
        <v>44831</v>
      </c>
      <c r="C445" s="1" t="n">
        <v>45345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42359-2022</t>
        </is>
      </c>
      <c r="B446" s="1" t="n">
        <v>44831</v>
      </c>
      <c r="C446" s="1" t="n">
        <v>45345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45395-2022</t>
        </is>
      </c>
      <c r="B447" s="1" t="n">
        <v>44844</v>
      </c>
      <c r="C447" s="1" t="n">
        <v>45345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48344-2022</t>
        </is>
      </c>
      <c r="B448" s="1" t="n">
        <v>44858</v>
      </c>
      <c r="C448" s="1" t="n">
        <v>45345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48359-2022</t>
        </is>
      </c>
      <c r="B449" s="1" t="n">
        <v>44858</v>
      </c>
      <c r="C449" s="1" t="n">
        <v>45345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50596-2022</t>
        </is>
      </c>
      <c r="B450" s="1" t="n">
        <v>44866</v>
      </c>
      <c r="C450" s="1" t="n">
        <v>45345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51046-2022</t>
        </is>
      </c>
      <c r="B451" s="1" t="n">
        <v>44868</v>
      </c>
      <c r="C451" s="1" t="n">
        <v>45345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51163-2022</t>
        </is>
      </c>
      <c r="B452" s="1" t="n">
        <v>44868</v>
      </c>
      <c r="C452" s="1" t="n">
        <v>45345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51153-2022</t>
        </is>
      </c>
      <c r="B453" s="1" t="n">
        <v>44868</v>
      </c>
      <c r="C453" s="1" t="n">
        <v>45345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51176-2022</t>
        </is>
      </c>
      <c r="B454" s="1" t="n">
        <v>44868</v>
      </c>
      <c r="C454" s="1" t="n">
        <v>45345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51619-2022</t>
        </is>
      </c>
      <c r="B455" s="1" t="n">
        <v>44872</v>
      </c>
      <c r="C455" s="1" t="n">
        <v>45345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51621-2022</t>
        </is>
      </c>
      <c r="B456" s="1" t="n">
        <v>44872</v>
      </c>
      <c r="C456" s="1" t="n">
        <v>45345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51694-2022</t>
        </is>
      </c>
      <c r="B457" s="1" t="n">
        <v>44872</v>
      </c>
      <c r="C457" s="1" t="n">
        <v>45345</v>
      </c>
      <c r="D457" t="inlineStr">
        <is>
          <t>ÖSTERGÖTLANDS LÄN</t>
        </is>
      </c>
      <c r="E457" t="inlineStr">
        <is>
          <t>YDRE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51777-2022</t>
        </is>
      </c>
      <c r="B458" s="1" t="n">
        <v>44872</v>
      </c>
      <c r="C458" s="1" t="n">
        <v>45345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53534-2022</t>
        </is>
      </c>
      <c r="B459" s="1" t="n">
        <v>44874</v>
      </c>
      <c r="C459" s="1" t="n">
        <v>45345</v>
      </c>
      <c r="D459" t="inlineStr">
        <is>
          <t>ÖSTERGÖTLANDS LÄN</t>
        </is>
      </c>
      <c r="E459" t="inlineStr">
        <is>
          <t>YDRE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53373-2022</t>
        </is>
      </c>
      <c r="B460" s="1" t="n">
        <v>44879</v>
      </c>
      <c r="C460" s="1" t="n">
        <v>45345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53331-2022</t>
        </is>
      </c>
      <c r="B461" s="1" t="n">
        <v>44879</v>
      </c>
      <c r="C461" s="1" t="n">
        <v>45345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53383-2022</t>
        </is>
      </c>
      <c r="B462" s="1" t="n">
        <v>44879</v>
      </c>
      <c r="C462" s="1" t="n">
        <v>45345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</v>
      </c>
      <c r="C463" s="1" t="n">
        <v>45345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56900-2022</t>
        </is>
      </c>
      <c r="B464" s="1" t="n">
        <v>44894</v>
      </c>
      <c r="C464" s="1" t="n">
        <v>45345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56885-2022</t>
        </is>
      </c>
      <c r="B465" s="1" t="n">
        <v>44894</v>
      </c>
      <c r="C465" s="1" t="n">
        <v>45345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56901-2022</t>
        </is>
      </c>
      <c r="B466" s="1" t="n">
        <v>44894</v>
      </c>
      <c r="C466" s="1" t="n">
        <v>45345</v>
      </c>
      <c r="D466" t="inlineStr">
        <is>
          <t>ÖSTERGÖTLANDS LÄN</t>
        </is>
      </c>
      <c r="E466" t="inlineStr">
        <is>
          <t>YDRE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45345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59056-2022</t>
        </is>
      </c>
      <c r="B468" s="1" t="n">
        <v>44904</v>
      </c>
      <c r="C468" s="1" t="n">
        <v>45345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59806-2022</t>
        </is>
      </c>
      <c r="B469" s="1" t="n">
        <v>44908</v>
      </c>
      <c r="C469" s="1" t="n">
        <v>45345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59812-2022</t>
        </is>
      </c>
      <c r="B470" s="1" t="n">
        <v>44908</v>
      </c>
      <c r="C470" s="1" t="n">
        <v>45345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59805-2022</t>
        </is>
      </c>
      <c r="B471" s="1" t="n">
        <v>44908</v>
      </c>
      <c r="C471" s="1" t="n">
        <v>45345</v>
      </c>
      <c r="D471" t="inlineStr">
        <is>
          <t>ÖSTERGÖTLANDS LÄN</t>
        </is>
      </c>
      <c r="E471" t="inlineStr">
        <is>
          <t>YDRE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59811-2022</t>
        </is>
      </c>
      <c r="B472" s="1" t="n">
        <v>44908</v>
      </c>
      <c r="C472" s="1" t="n">
        <v>45345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59816-2022</t>
        </is>
      </c>
      <c r="B473" s="1" t="n">
        <v>44908</v>
      </c>
      <c r="C473" s="1" t="n">
        <v>45345</v>
      </c>
      <c r="D473" t="inlineStr">
        <is>
          <t>ÖSTERGÖTLANDS LÄN</t>
        </is>
      </c>
      <c r="E473" t="inlineStr">
        <is>
          <t>YDRE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61589-2022</t>
        </is>
      </c>
      <c r="B474" s="1" t="n">
        <v>44916</v>
      </c>
      <c r="C474" s="1" t="n">
        <v>45345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62228-2022</t>
        </is>
      </c>
      <c r="B475" s="1" t="n">
        <v>44916</v>
      </c>
      <c r="C475" s="1" t="n">
        <v>45345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1477-2023</t>
        </is>
      </c>
      <c r="B476" s="1" t="n">
        <v>44937</v>
      </c>
      <c r="C476" s="1" t="n">
        <v>45345</v>
      </c>
      <c r="D476" t="inlineStr">
        <is>
          <t>ÖSTERGÖTLANDS LÄN</t>
        </is>
      </c>
      <c r="E476" t="inlineStr">
        <is>
          <t>YDRE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</v>
      </c>
      <c r="C477" s="1" t="n">
        <v>45345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2915-2023</t>
        </is>
      </c>
      <c r="B478" s="1" t="n">
        <v>44944</v>
      </c>
      <c r="C478" s="1" t="n">
        <v>45345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4269-2023</t>
        </is>
      </c>
      <c r="B479" s="1" t="n">
        <v>44953</v>
      </c>
      <c r="C479" s="1" t="n">
        <v>45345</v>
      </c>
      <c r="D479" t="inlineStr">
        <is>
          <t>ÖSTERGÖTLANDS LÄN</t>
        </is>
      </c>
      <c r="E479" t="inlineStr">
        <is>
          <t>YDRE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4274-2023</t>
        </is>
      </c>
      <c r="B480" s="1" t="n">
        <v>44953</v>
      </c>
      <c r="C480" s="1" t="n">
        <v>45345</v>
      </c>
      <c r="D480" t="inlineStr">
        <is>
          <t>ÖSTERGÖTLANDS LÄN</t>
        </is>
      </c>
      <c r="E480" t="inlineStr">
        <is>
          <t>YDRE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4267-2023</t>
        </is>
      </c>
      <c r="B481" s="1" t="n">
        <v>44953</v>
      </c>
      <c r="C481" s="1" t="n">
        <v>45345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</v>
      </c>
      <c r="C482" s="1" t="n">
        <v>45345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4266-2023</t>
        </is>
      </c>
      <c r="B483" s="1" t="n">
        <v>44953</v>
      </c>
      <c r="C483" s="1" t="n">
        <v>45345</v>
      </c>
      <c r="D483" t="inlineStr">
        <is>
          <t>ÖSTERGÖTLANDS LÄN</t>
        </is>
      </c>
      <c r="E483" t="inlineStr">
        <is>
          <t>YDRE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4271-2023</t>
        </is>
      </c>
      <c r="B484" s="1" t="n">
        <v>44953</v>
      </c>
      <c r="C484" s="1" t="n">
        <v>45345</v>
      </c>
      <c r="D484" t="inlineStr">
        <is>
          <t>ÖSTERGÖTLANDS LÄN</t>
        </is>
      </c>
      <c r="E484" t="inlineStr">
        <is>
          <t>YDRE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4270-2023</t>
        </is>
      </c>
      <c r="B485" s="1" t="n">
        <v>44953</v>
      </c>
      <c r="C485" s="1" t="n">
        <v>45345</v>
      </c>
      <c r="D485" t="inlineStr">
        <is>
          <t>ÖSTERGÖTLANDS LÄN</t>
        </is>
      </c>
      <c r="E485" t="inlineStr">
        <is>
          <t>YDRE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5185-2023</t>
        </is>
      </c>
      <c r="B486" s="1" t="n">
        <v>44959</v>
      </c>
      <c r="C486" s="1" t="n">
        <v>45345</v>
      </c>
      <c r="D486" t="inlineStr">
        <is>
          <t>ÖSTERGÖTLANDS LÄN</t>
        </is>
      </c>
      <c r="E486" t="inlineStr">
        <is>
          <t>YDRE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6408-2023</t>
        </is>
      </c>
      <c r="B487" s="1" t="n">
        <v>44965</v>
      </c>
      <c r="C487" s="1" t="n">
        <v>45345</v>
      </c>
      <c r="D487" t="inlineStr">
        <is>
          <t>ÖSTERGÖTLANDS LÄN</t>
        </is>
      </c>
      <c r="E487" t="inlineStr">
        <is>
          <t>YDRE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6757-2023</t>
        </is>
      </c>
      <c r="B488" s="1" t="n">
        <v>44966</v>
      </c>
      <c r="C488" s="1" t="n">
        <v>45345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6759-2023</t>
        </is>
      </c>
      <c r="B489" s="1" t="n">
        <v>44966</v>
      </c>
      <c r="C489" s="1" t="n">
        <v>45345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6756-2023</t>
        </is>
      </c>
      <c r="B490" s="1" t="n">
        <v>44966</v>
      </c>
      <c r="C490" s="1" t="n">
        <v>45345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7501-2023</t>
        </is>
      </c>
      <c r="B491" s="1" t="n">
        <v>44971</v>
      </c>
      <c r="C491" s="1" t="n">
        <v>45345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7458-2023</t>
        </is>
      </c>
      <c r="B492" s="1" t="n">
        <v>44971</v>
      </c>
      <c r="C492" s="1" t="n">
        <v>45345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9159-2023</t>
        </is>
      </c>
      <c r="B493" s="1" t="n">
        <v>44980</v>
      </c>
      <c r="C493" s="1" t="n">
        <v>45345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9162-2023</t>
        </is>
      </c>
      <c r="B494" s="1" t="n">
        <v>44980</v>
      </c>
      <c r="C494" s="1" t="n">
        <v>45345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9160-2023</t>
        </is>
      </c>
      <c r="B495" s="1" t="n">
        <v>44980</v>
      </c>
      <c r="C495" s="1" t="n">
        <v>45345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9901-2023</t>
        </is>
      </c>
      <c r="B496" s="1" t="n">
        <v>44985</v>
      </c>
      <c r="C496" s="1" t="n">
        <v>45345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9902-2023</t>
        </is>
      </c>
      <c r="B497" s="1" t="n">
        <v>44985</v>
      </c>
      <c r="C497" s="1" t="n">
        <v>45345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9903-2023</t>
        </is>
      </c>
      <c r="B498" s="1" t="n">
        <v>44985</v>
      </c>
      <c r="C498" s="1" t="n">
        <v>45345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9913-2023</t>
        </is>
      </c>
      <c r="B499" s="1" t="n">
        <v>44985</v>
      </c>
      <c r="C499" s="1" t="n">
        <v>45345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9906-2023</t>
        </is>
      </c>
      <c r="B500" s="1" t="n">
        <v>44985</v>
      </c>
      <c r="C500" s="1" t="n">
        <v>45345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10241-2023</t>
        </is>
      </c>
      <c r="B501" s="1" t="n">
        <v>44986</v>
      </c>
      <c r="C501" s="1" t="n">
        <v>45345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10402-2023</t>
        </is>
      </c>
      <c r="B502" s="1" t="n">
        <v>44987</v>
      </c>
      <c r="C502" s="1" t="n">
        <v>45345</v>
      </c>
      <c r="D502" t="inlineStr">
        <is>
          <t>ÖSTERGÖTLANDS LÄN</t>
        </is>
      </c>
      <c r="E502" t="inlineStr">
        <is>
          <t>YDRE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11163-2023</t>
        </is>
      </c>
      <c r="B503" s="1" t="n">
        <v>44987</v>
      </c>
      <c r="C503" s="1" t="n">
        <v>45345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10701-2023</t>
        </is>
      </c>
      <c r="B504" s="1" t="n">
        <v>44988</v>
      </c>
      <c r="C504" s="1" t="n">
        <v>45345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11566-2023</t>
        </is>
      </c>
      <c r="B505" s="1" t="n">
        <v>44994</v>
      </c>
      <c r="C505" s="1" t="n">
        <v>45345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11567-2023</t>
        </is>
      </c>
      <c r="B506" s="1" t="n">
        <v>44994</v>
      </c>
      <c r="C506" s="1" t="n">
        <v>45345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11790-2023</t>
        </is>
      </c>
      <c r="B507" s="1" t="n">
        <v>44994</v>
      </c>
      <c r="C507" s="1" t="n">
        <v>45345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11785-2023</t>
        </is>
      </c>
      <c r="B508" s="1" t="n">
        <v>44994</v>
      </c>
      <c r="C508" s="1" t="n">
        <v>45345</v>
      </c>
      <c r="D508" t="inlineStr">
        <is>
          <t>ÖSTERGÖTLANDS LÄN</t>
        </is>
      </c>
      <c r="E508" t="inlineStr">
        <is>
          <t>YDRE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11788-2023</t>
        </is>
      </c>
      <c r="B509" s="1" t="n">
        <v>44994</v>
      </c>
      <c r="C509" s="1" t="n">
        <v>45345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12126-2023</t>
        </is>
      </c>
      <c r="B510" s="1" t="n">
        <v>44998</v>
      </c>
      <c r="C510" s="1" t="n">
        <v>45345</v>
      </c>
      <c r="D510" t="inlineStr">
        <is>
          <t>ÖSTERGÖTLANDS LÄN</t>
        </is>
      </c>
      <c r="E510" t="inlineStr">
        <is>
          <t>YDRE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12569-2023</t>
        </is>
      </c>
      <c r="B511" s="1" t="n">
        <v>45000</v>
      </c>
      <c r="C511" s="1" t="n">
        <v>45345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12844-2023</t>
        </is>
      </c>
      <c r="B512" s="1" t="n">
        <v>45001</v>
      </c>
      <c r="C512" s="1" t="n">
        <v>45345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12849-2023</t>
        </is>
      </c>
      <c r="B513" s="1" t="n">
        <v>45001</v>
      </c>
      <c r="C513" s="1" t="n">
        <v>45345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12838-2023</t>
        </is>
      </c>
      <c r="B514" s="1" t="n">
        <v>45001</v>
      </c>
      <c r="C514" s="1" t="n">
        <v>45345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12836-2023</t>
        </is>
      </c>
      <c r="B515" s="1" t="n">
        <v>45001</v>
      </c>
      <c r="C515" s="1" t="n">
        <v>45345</v>
      </c>
      <c r="D515" t="inlineStr">
        <is>
          <t>ÖSTERGÖTLANDS LÄN</t>
        </is>
      </c>
      <c r="E515" t="inlineStr">
        <is>
          <t>YDRE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15112-2023</t>
        </is>
      </c>
      <c r="B516" s="1" t="n">
        <v>45016</v>
      </c>
      <c r="C516" s="1" t="n">
        <v>45345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15951-2023</t>
        </is>
      </c>
      <c r="B517" s="1" t="n">
        <v>45022</v>
      </c>
      <c r="C517" s="1" t="n">
        <v>45345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18012-2023</t>
        </is>
      </c>
      <c r="B518" s="1" t="n">
        <v>45040</v>
      </c>
      <c r="C518" s="1" t="n">
        <v>45345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19208-2023</t>
        </is>
      </c>
      <c r="B519" s="1" t="n">
        <v>45048</v>
      </c>
      <c r="C519" s="1" t="n">
        <v>45345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19209-2023</t>
        </is>
      </c>
      <c r="B520" s="1" t="n">
        <v>45048</v>
      </c>
      <c r="C520" s="1" t="n">
        <v>45345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20050-2023</t>
        </is>
      </c>
      <c r="B521" s="1" t="n">
        <v>45054</v>
      </c>
      <c r="C521" s="1" t="n">
        <v>45345</v>
      </c>
      <c r="D521" t="inlineStr">
        <is>
          <t>ÖSTERGÖTLANDS LÄN</t>
        </is>
      </c>
      <c r="E521" t="inlineStr">
        <is>
          <t>YDRE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20048-2023</t>
        </is>
      </c>
      <c r="B522" s="1" t="n">
        <v>45054</v>
      </c>
      <c r="C522" s="1" t="n">
        <v>45345</v>
      </c>
      <c r="D522" t="inlineStr">
        <is>
          <t>ÖSTERGÖTLANDS LÄN</t>
        </is>
      </c>
      <c r="E522" t="inlineStr">
        <is>
          <t>YDRE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22332-2023</t>
        </is>
      </c>
      <c r="B523" s="1" t="n">
        <v>45070</v>
      </c>
      <c r="C523" s="1" t="n">
        <v>45345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22567-2023</t>
        </is>
      </c>
      <c r="B524" s="1" t="n">
        <v>45071</v>
      </c>
      <c r="C524" s="1" t="n">
        <v>45345</v>
      </c>
      <c r="D524" t="inlineStr">
        <is>
          <t>ÖSTERGÖTLANDS LÄN</t>
        </is>
      </c>
      <c r="E524" t="inlineStr">
        <is>
          <t>YDRE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23418-2023</t>
        </is>
      </c>
      <c r="B525" s="1" t="n">
        <v>45076</v>
      </c>
      <c r="C525" s="1" t="n">
        <v>45345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23588-2023</t>
        </is>
      </c>
      <c r="B526" s="1" t="n">
        <v>45077</v>
      </c>
      <c r="C526" s="1" t="n">
        <v>45345</v>
      </c>
      <c r="D526" t="inlineStr">
        <is>
          <t>ÖSTERGÖTLANDS LÄN</t>
        </is>
      </c>
      <c r="E526" t="inlineStr">
        <is>
          <t>YDRE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23589-2023</t>
        </is>
      </c>
      <c r="B527" s="1" t="n">
        <v>45077</v>
      </c>
      <c r="C527" s="1" t="n">
        <v>45345</v>
      </c>
      <c r="D527" t="inlineStr">
        <is>
          <t>ÖSTERGÖTLANDS LÄN</t>
        </is>
      </c>
      <c r="E527" t="inlineStr">
        <is>
          <t>YDRE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23582-2023</t>
        </is>
      </c>
      <c r="B528" s="1" t="n">
        <v>45077</v>
      </c>
      <c r="C528" s="1" t="n">
        <v>45345</v>
      </c>
      <c r="D528" t="inlineStr">
        <is>
          <t>ÖSTERGÖTLANDS LÄN</t>
        </is>
      </c>
      <c r="E528" t="inlineStr">
        <is>
          <t>YDRE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23587-2023</t>
        </is>
      </c>
      <c r="B529" s="1" t="n">
        <v>45077</v>
      </c>
      <c r="C529" s="1" t="n">
        <v>45345</v>
      </c>
      <c r="D529" t="inlineStr">
        <is>
          <t>ÖSTERGÖTLANDS LÄN</t>
        </is>
      </c>
      <c r="E529" t="inlineStr">
        <is>
          <t>YDRE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23591-2023</t>
        </is>
      </c>
      <c r="B530" s="1" t="n">
        <v>45077</v>
      </c>
      <c r="C530" s="1" t="n">
        <v>45345</v>
      </c>
      <c r="D530" t="inlineStr">
        <is>
          <t>ÖSTERGÖTLANDS LÄN</t>
        </is>
      </c>
      <c r="E530" t="inlineStr">
        <is>
          <t>YDRE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23597-2023</t>
        </is>
      </c>
      <c r="B531" s="1" t="n">
        <v>45077</v>
      </c>
      <c r="C531" s="1" t="n">
        <v>45345</v>
      </c>
      <c r="D531" t="inlineStr">
        <is>
          <t>ÖSTERGÖTLANDS LÄN</t>
        </is>
      </c>
      <c r="E531" t="inlineStr">
        <is>
          <t>YDRE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24529-2023</t>
        </is>
      </c>
      <c r="B532" s="1" t="n">
        <v>45077</v>
      </c>
      <c r="C532" s="1" t="n">
        <v>45345</v>
      </c>
      <c r="D532" t="inlineStr">
        <is>
          <t>ÖSTERGÖTLANDS LÄN</t>
        </is>
      </c>
      <c r="E532" t="inlineStr">
        <is>
          <t>YDRE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24525-2023</t>
        </is>
      </c>
      <c r="B533" s="1" t="n">
        <v>45077</v>
      </c>
      <c r="C533" s="1" t="n">
        <v>45345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24530-2023</t>
        </is>
      </c>
      <c r="B534" s="1" t="n">
        <v>45077</v>
      </c>
      <c r="C534" s="1" t="n">
        <v>45345</v>
      </c>
      <c r="D534" t="inlineStr">
        <is>
          <t>ÖSTERGÖTLANDS LÄN</t>
        </is>
      </c>
      <c r="E534" t="inlineStr">
        <is>
          <t>YDRE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24983-2023</t>
        </is>
      </c>
      <c r="B535" s="1" t="n">
        <v>45085</v>
      </c>
      <c r="C535" s="1" t="n">
        <v>45345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25844-2023</t>
        </is>
      </c>
      <c r="B536" s="1" t="n">
        <v>45090</v>
      </c>
      <c r="C536" s="1" t="n">
        <v>45345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25856-2023</t>
        </is>
      </c>
      <c r="B537" s="1" t="n">
        <v>45090</v>
      </c>
      <c r="C537" s="1" t="n">
        <v>45345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25841-2023</t>
        </is>
      </c>
      <c r="B538" s="1" t="n">
        <v>45090</v>
      </c>
      <c r="C538" s="1" t="n">
        <v>45345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25811-2023</t>
        </is>
      </c>
      <c r="B539" s="1" t="n">
        <v>45090</v>
      </c>
      <c r="C539" s="1" t="n">
        <v>45345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25815-2023</t>
        </is>
      </c>
      <c r="B540" s="1" t="n">
        <v>45090</v>
      </c>
      <c r="C540" s="1" t="n">
        <v>45345</v>
      </c>
      <c r="D540" t="inlineStr">
        <is>
          <t>ÖSTERGÖTLANDS LÄN</t>
        </is>
      </c>
      <c r="E540" t="inlineStr">
        <is>
          <t>YDRE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25925-2023</t>
        </is>
      </c>
      <c r="B541" s="1" t="n">
        <v>45090</v>
      </c>
      <c r="C541" s="1" t="n">
        <v>45345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25854-2023</t>
        </is>
      </c>
      <c r="B542" s="1" t="n">
        <v>45090</v>
      </c>
      <c r="C542" s="1" t="n">
        <v>45345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26026-2023</t>
        </is>
      </c>
      <c r="B543" s="1" t="n">
        <v>45091</v>
      </c>
      <c r="C543" s="1" t="n">
        <v>45345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26030-2023</t>
        </is>
      </c>
      <c r="B544" s="1" t="n">
        <v>45091</v>
      </c>
      <c r="C544" s="1" t="n">
        <v>45345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26025-2023</t>
        </is>
      </c>
      <c r="B545" s="1" t="n">
        <v>45091</v>
      </c>
      <c r="C545" s="1" t="n">
        <v>45345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45345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45345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45345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45345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45345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45345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45345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45345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45345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45345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45345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45345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45345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45345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45345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45345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45345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45345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45345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45345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45345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45345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45345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45345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45345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45345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45345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45345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45345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45345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45345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45345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45345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45345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45345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45345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45345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45345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45345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45345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45345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45345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45345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45345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45345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45345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45345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45345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45345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45345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45345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45345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45345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45345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45345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45345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45345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45345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45345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45345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45345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45345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45345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45345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45345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45345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45345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45345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45345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45345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45345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45345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45345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45345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45345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45345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45345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45345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45345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45345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45345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45345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45345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45345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45345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45345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45345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45345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45345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45345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45345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45345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45345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45345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45345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45345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45345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45345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45345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45345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45345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45345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45345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45345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45345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45345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45345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45345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45345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45345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45345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45345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45345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45345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45345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45345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45345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45345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45345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45345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45345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45345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5665-2024</t>
        </is>
      </c>
      <c r="B668" s="1" t="n">
        <v>45334</v>
      </c>
      <c r="C668" s="1" t="n">
        <v>45345</v>
      </c>
      <c r="D668" t="inlineStr">
        <is>
          <t>ÖSTERGÖTLANDS LÄN</t>
        </is>
      </c>
      <c r="E668" t="inlineStr">
        <is>
          <t>YDRE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5677-2024</t>
        </is>
      </c>
      <c r="B669" s="1" t="n">
        <v>45334</v>
      </c>
      <c r="C669" s="1" t="n">
        <v>45345</v>
      </c>
      <c r="D669" t="inlineStr">
        <is>
          <t>ÖSTERGÖTLANDS LÄN</t>
        </is>
      </c>
      <c r="E669" t="inlineStr">
        <is>
          <t>YDRE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5672-2024</t>
        </is>
      </c>
      <c r="B670" s="1" t="n">
        <v>45334</v>
      </c>
      <c r="C670" s="1" t="n">
        <v>45345</v>
      </c>
      <c r="D670" t="inlineStr">
        <is>
          <t>ÖSTERGÖTLANDS LÄN</t>
        </is>
      </c>
      <c r="E670" t="inlineStr">
        <is>
          <t>YDRE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5684-2024</t>
        </is>
      </c>
      <c r="B671" s="1" t="n">
        <v>45334</v>
      </c>
      <c r="C671" s="1" t="n">
        <v>45345</v>
      </c>
      <c r="D671" t="inlineStr">
        <is>
          <t>ÖSTERGÖTLANDS LÄN</t>
        </is>
      </c>
      <c r="E671" t="inlineStr">
        <is>
          <t>YDRE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5692-2024</t>
        </is>
      </c>
      <c r="B672" s="1" t="n">
        <v>45334</v>
      </c>
      <c r="C672" s="1" t="n">
        <v>45345</v>
      </c>
      <c r="D672" t="inlineStr">
        <is>
          <t>ÖSTERGÖTLANDS LÄN</t>
        </is>
      </c>
      <c r="E672" t="inlineStr">
        <is>
          <t>YDRE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5687-2024</t>
        </is>
      </c>
      <c r="B673" s="1" t="n">
        <v>45334</v>
      </c>
      <c r="C673" s="1" t="n">
        <v>45345</v>
      </c>
      <c r="D673" t="inlineStr">
        <is>
          <t>ÖSTERGÖTLANDS LÄN</t>
        </is>
      </c>
      <c r="E673" t="inlineStr">
        <is>
          <t>YDRE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5682-2024</t>
        </is>
      </c>
      <c r="B674" s="1" t="n">
        <v>45334</v>
      </c>
      <c r="C674" s="1" t="n">
        <v>45345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5843-2024</t>
        </is>
      </c>
      <c r="B675" s="1" t="n">
        <v>45335</v>
      </c>
      <c r="C675" s="1" t="n">
        <v>45345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5840-2024</t>
        </is>
      </c>
      <c r="B676" s="1" t="n">
        <v>45335</v>
      </c>
      <c r="C676" s="1" t="n">
        <v>45345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6613-2024</t>
        </is>
      </c>
      <c r="B677" s="1" t="n">
        <v>45341</v>
      </c>
      <c r="C677" s="1" t="n">
        <v>45345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2024-02-23T06:58:32Z</dcterms:created>
  <dcterms:modified xmlns:dcterms="http://purl.org/dc/terms/" xmlns:xsi="http://www.w3.org/2001/XMLSchema-instance" xsi:type="dcterms:W3CDTF">2024-02-23T06:58:32Z</dcterms:modified>
</cp:coreProperties>
</file>