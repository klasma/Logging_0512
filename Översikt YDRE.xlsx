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46324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46324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46324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46324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46324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46324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46324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46324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8451-2025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45709</v>
      </c>
      <c r="E10" s="1" t="n">
        <v>46324</v>
      </c>
      <c r="F10" t="inlineStr">
        <is>
          <t>ÖSTERGÖTLANDS LÄN</t>
        </is>
      </c>
      <c r="G10" t="inlineStr">
        <is>
          <t>YDRE</t>
        </is>
      </c>
      <c r="I10" t="n">
        <v>1.1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Dunmossa
Skogshakmossa
Revlummer</t>
        </is>
      </c>
      <c r="W10">
        <f>HYPERLINK("https://klasma.github.io/Logging_0512/artfynd/A 8451-2025 artfynd.xlsx", "A 8451-2025")</f>
        <v/>
      </c>
      <c r="X10">
        <f>HYPERLINK("https://klasma.github.io/Logging_0512/kartor/A 8451-2025 karta.png", "A 8451-2025")</f>
        <v/>
      </c>
      <c r="Y10">
        <f>HYPERLINK("https://klasma.github.io/Logging_0512/kartor_geotiff/A 8451-2025 georefererad karta.tif", "A 8451-2025")</f>
        <v/>
      </c>
      <c r="AA10">
        <f>HYPERLINK("https://klasma.github.io/Logging_0512/klagomål/A 8451-2025 FSC-klagomål.docx", "A 8451-2025")</f>
        <v/>
      </c>
      <c r="AB10">
        <f>HYPERLINK("https://klasma.github.io/Logging_0512/klagomålsmail/A 8451-2025 FSC-klagomål mail.docx", "A 8451-2025")</f>
        <v/>
      </c>
      <c r="AC10">
        <f>HYPERLINK("https://klasma.github.io/Logging_0512/tillsyn/A 8451-2025 tillsynsbegäran.docx", "A 8451-2025")</f>
        <v/>
      </c>
      <c r="AD10">
        <f>HYPERLINK("https://klasma.github.io/Logging_0512/tillsynsmail/A 8451-2025 tillsynsbegäran mail.docx", "A 8451-2025")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46324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46324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46324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7621-2024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45348</v>
      </c>
      <c r="E14" s="1" t="n">
        <v>46324</v>
      </c>
      <c r="F14" t="inlineStr">
        <is>
          <t>ÖSTERGÖTLANDS LÄN</t>
        </is>
      </c>
      <c r="G14" t="inlineStr">
        <is>
          <t>YDRE</t>
        </is>
      </c>
      <c r="I14" t="n">
        <v>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Vattenfladdermus</t>
        </is>
      </c>
      <c r="W14">
        <f>HYPERLINK("https://klasma.github.io/Logging_0512/artfynd/A 7621-2024 artfynd.xlsx", "A 7621-2024")</f>
        <v/>
      </c>
      <c r="X14">
        <f>HYPERLINK("https://klasma.github.io/Logging_0512/kartor/A 7621-2024 karta.png", "A 7621-2024")</f>
        <v/>
      </c>
      <c r="Y14">
        <f>HYPERLINK("https://klasma.github.io/Logging_0512/kartor_geotiff/A 7621-2024 georefererad karta.tif", "A 7621-2024")</f>
        <v/>
      </c>
      <c r="AA14">
        <f>HYPERLINK("https://klasma.github.io/Logging_0512/klagomål/A 7621-2024 FSC-klagomål.docx", "A 7621-2024")</f>
        <v/>
      </c>
      <c r="AB14">
        <f>HYPERLINK("https://klasma.github.io/Logging_0512/klagomålsmail/A 7621-2024 FSC-klagomål mail.docx", "A 7621-2024")</f>
        <v/>
      </c>
      <c r="AC14">
        <f>HYPERLINK("https://klasma.github.io/Logging_0512/tillsyn/A 7621-2024 tillsynsbegäran.docx", "A 7621-2024")</f>
        <v/>
      </c>
      <c r="AD14">
        <f>HYPERLINK("https://klasma.github.io/Logging_0512/tillsynsmail/A 7621-2024 tillsynsbegäran mail.docx", "A 7621-2024")</f>
        <v/>
      </c>
    </row>
    <row r="15" ht="15" customHeight="1">
      <c r="A15" t="inlineStr">
        <is>
          <t>A 26030-2023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45091</v>
      </c>
      <c r="E15" s="1" t="n">
        <v>46324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0.9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Aspelandsfibbla
Smal guldkornsfibbla</t>
        </is>
      </c>
      <c r="W15">
        <f>HYPERLINK("https://klasma.github.io/Logging_0512/artfynd/A 26030-2023 artfynd.xlsx", "A 26030-2023")</f>
        <v/>
      </c>
      <c r="X15">
        <f>HYPERLINK("https://klasma.github.io/Logging_0512/kartor/A 26030-2023 karta.png", "A 26030-2023")</f>
        <v/>
      </c>
      <c r="Y15">
        <f>HYPERLINK("https://klasma.github.io/Logging_0512/kartor_geotiff/A 26030-2023 georefererad karta.tif", "A 26030-2023")</f>
        <v/>
      </c>
      <c r="AA15">
        <f>HYPERLINK("https://klasma.github.io/Logging_0512/klagomål/A 26030-2023 FSC-klagomål.docx", "A 26030-2023")</f>
        <v/>
      </c>
      <c r="AB15">
        <f>HYPERLINK("https://klasma.github.io/Logging_0512/klagomålsmail/A 26030-2023 FSC-klagomål mail.docx", "A 26030-2023")</f>
        <v/>
      </c>
      <c r="AC15">
        <f>HYPERLINK("https://klasma.github.io/Logging_0512/tillsyn/A 26030-2023 tillsynsbegäran.docx", "A 26030-2023")</f>
        <v/>
      </c>
      <c r="AD15">
        <f>HYPERLINK("https://klasma.github.io/Logging_0512/tillsynsmail/A 26030-2023 tillsynsbegäran mail.docx", "A 26030-2023")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46324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46324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46324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44874</v>
      </c>
      <c r="E19" s="1" t="n">
        <v>46324</v>
      </c>
      <c r="F19" t="inlineStr">
        <is>
          <t>ÖSTERGÖTLANDS LÄN</t>
        </is>
      </c>
      <c r="G19" t="inlineStr">
        <is>
          <t>YDRE</t>
        </is>
      </c>
      <c r="I19" t="n">
        <v>1.2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Solvända
Mattlummer</t>
        </is>
      </c>
      <c r="W19">
        <f>HYPERLINK("https://klasma.github.io/Logging_0512/artfynd/A 52667-2022 artfynd.xlsx", "A 52667-2022")</f>
        <v/>
      </c>
      <c r="X19">
        <f>HYPERLINK("https://klasma.github.io/Logging_0512/kartor/A 52667-2022 karta.png", "A 52667-2022")</f>
        <v/>
      </c>
      <c r="Y19">
        <f>HYPERLINK("https://klasma.github.io/Logging_0512/kartor_geotiff/A 52667-2022 georefererad karta.tif", "A 52667-2022")</f>
        <v/>
      </c>
      <c r="AA19">
        <f>HYPERLINK("https://klasma.github.io/Logging_0512/klagomål/A 52667-2022 FSC-klagomål.docx", "A 52667-2022")</f>
        <v/>
      </c>
      <c r="AB19">
        <f>HYPERLINK("https://klasma.github.io/Logging_0512/klagomålsmail/A 52667-2022 FSC-klagomål mail.docx", "A 52667-2022")</f>
        <v/>
      </c>
      <c r="AC19">
        <f>HYPERLINK("https://klasma.github.io/Logging_0512/tillsyn/A 52667-2022 tillsynsbegäran.docx", "A 52667-2022")</f>
        <v/>
      </c>
      <c r="AD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46324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33676-2022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44789</v>
      </c>
      <c r="E21" s="1" t="n">
        <v>46324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1.8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Svinrot
Mattlummer</t>
        </is>
      </c>
      <c r="W21">
        <f>HYPERLINK("https://klasma.github.io/Logging_0512/artfynd/A 33676-2022 artfynd.xlsx", "A 33676-2022")</f>
        <v/>
      </c>
      <c r="X21">
        <f>HYPERLINK("https://klasma.github.io/Logging_0512/kartor/A 33676-2022 karta.png", "A 33676-2022")</f>
        <v/>
      </c>
      <c r="Y21">
        <f>HYPERLINK("https://klasma.github.io/Logging_0512/kartor_geotiff/A 33676-2022 georefererad karta.tif", "A 33676-2022")</f>
        <v/>
      </c>
      <c r="AA21">
        <f>HYPERLINK("https://klasma.github.io/Logging_0512/klagomål/A 33676-2022 FSC-klagomål.docx", "A 33676-2022")</f>
        <v/>
      </c>
      <c r="AB21">
        <f>HYPERLINK("https://klasma.github.io/Logging_0512/klagomålsmail/A 33676-2022 FSC-klagomål mail.docx", "A 33676-2022")</f>
        <v/>
      </c>
      <c r="AC21">
        <f>HYPERLINK("https://klasma.github.io/Logging_0512/tillsyn/A 33676-2022 tillsynsbegäran.docx", "A 33676-2022")</f>
        <v/>
      </c>
      <c r="AD21">
        <f>HYPERLINK("https://klasma.github.io/Logging_0512/tillsynsmail/A 33676-2022 tillsynsbegäran mail.docx", "A 33676-2022")</f>
        <v/>
      </c>
    </row>
    <row r="22" ht="15" customHeight="1">
      <c r="A22" t="inlineStr">
        <is>
          <t>A 17526-2024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46324</v>
      </c>
      <c r="F22" t="inlineStr">
        <is>
          <t>ÖSTERGÖTLANDS LÄN</t>
        </is>
      </c>
      <c r="G22" t="inlineStr">
        <is>
          <t>YDRE</t>
        </is>
      </c>
      <c r="I22" t="n">
        <v>1.6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Svinrot
Blåsippa</t>
        </is>
      </c>
      <c r="W22">
        <f>HYPERLINK("https://klasma.github.io/Logging_0512/artfynd/A 17526-2024 artfynd.xlsx", "A 17526-2024")</f>
        <v/>
      </c>
      <c r="X22">
        <f>HYPERLINK("https://klasma.github.io/Logging_0512/kartor/A 17526-2024 karta.png", "A 17526-2024")</f>
        <v/>
      </c>
      <c r="Y22">
        <f>HYPERLINK("https://klasma.github.io/Logging_0512/kartor_geotiff/A 17526-2024 georefererad karta.tif", "A 17526-2024")</f>
        <v/>
      </c>
      <c r="AA22">
        <f>HYPERLINK("https://klasma.github.io/Logging_0512/klagomål/A 17526-2024 FSC-klagomål.docx", "A 17526-2024")</f>
        <v/>
      </c>
      <c r="AB22">
        <f>HYPERLINK("https://klasma.github.io/Logging_0512/klagomålsmail/A 17526-2024 FSC-klagomål mail.docx", "A 17526-2024")</f>
        <v/>
      </c>
      <c r="AC22">
        <f>HYPERLINK("https://klasma.github.io/Logging_0512/tillsyn/A 17526-2024 tillsynsbegäran.docx", "A 17526-2024")</f>
        <v/>
      </c>
      <c r="AD22">
        <f>HYPERLINK("https://klasma.github.io/Logging_0512/tillsynsmail/A 17526-2024 tillsynsbegäran mail.docx", "A 17526-2024")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46324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46324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46324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16704-2025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46324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HYPERLINK("https://klasma.github.io/Logging_0512/artfynd/A 16704-2025 artfynd.xlsx", "A 16704-2025")</f>
        <v/>
      </c>
      <c r="X26">
        <f>HYPERLINK("https://klasma.github.io/Logging_0512/kartor/A 16704-2025 karta.png", "A 16704-2025")</f>
        <v/>
      </c>
      <c r="Y26">
        <f>HYPERLINK("https://klasma.github.io/Logging_0512/kartor_geotiff/A 16704-2025 georefererad karta.tif", "A 16704-2025")</f>
        <v/>
      </c>
      <c r="AA26">
        <f>HYPERLINK("https://klasma.github.io/Logging_0512/klagomål/A 16704-2025 FSC-klagomål.docx", "A 16704-2025")</f>
        <v/>
      </c>
      <c r="AB26">
        <f>HYPERLINK("https://klasma.github.io/Logging_0512/klagomålsmail/A 16704-2025 FSC-klagomål mail.docx", "A 16704-2025")</f>
        <v/>
      </c>
      <c r="AC26">
        <f>HYPERLINK("https://klasma.github.io/Logging_0512/tillsyn/A 16704-2025 tillsynsbegäran.docx", "A 16704-2025")</f>
        <v/>
      </c>
      <c r="AD26">
        <f>HYPERLINK("https://klasma.github.io/Logging_0512/tillsynsmail/A 16704-2025 tillsynsbegäran mail.docx", "A 16704-2025")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46324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46324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12669-2025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45733</v>
      </c>
      <c r="E29" s="1" t="n">
        <v>46324</v>
      </c>
      <c r="F29" t="inlineStr">
        <is>
          <t>ÖSTERGÖTLANDS LÄN</t>
        </is>
      </c>
      <c r="G29" t="inlineStr">
        <is>
          <t>YDRE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Nattviol</t>
        </is>
      </c>
      <c r="W29">
        <f>HYPERLINK("https://klasma.github.io/Logging_0512/artfynd/A 12669-2025 artfynd.xlsx", "A 12669-2025")</f>
        <v/>
      </c>
      <c r="X29">
        <f>HYPERLINK("https://klasma.github.io/Logging_0512/kartor/A 12669-2025 karta.png", "A 12669-2025")</f>
        <v/>
      </c>
      <c r="Y29">
        <f>HYPERLINK("https://klasma.github.io/Logging_0512/kartor_geotiff/A 12669-2025 georefererad karta.tif", "A 12669-2025")</f>
        <v/>
      </c>
      <c r="AA29">
        <f>HYPERLINK("https://klasma.github.io/Logging_0512/klagomål/A 12669-2025 FSC-klagomål.docx", "A 12669-2025")</f>
        <v/>
      </c>
      <c r="AB29">
        <f>HYPERLINK("https://klasma.github.io/Logging_0512/klagomålsmail/A 12669-2025 FSC-klagomål mail.docx", "A 12669-2025")</f>
        <v/>
      </c>
      <c r="AC29">
        <f>HYPERLINK("https://klasma.github.io/Logging_0512/tillsyn/A 12669-2025 tillsynsbegäran.docx", "A 12669-2025")</f>
        <v/>
      </c>
      <c r="AD29">
        <f>HYPERLINK("https://klasma.github.io/Logging_0512/tillsynsmail/A 12669-2025 tillsynsbegäran mail.docx", "A 12669-2025")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46324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46324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54075-2025 artfynd.xlsx", "A 54075-2025")</f>
        <v/>
      </c>
      <c r="X31">
        <f>HYPERLINK("https://klasma.github.io/Logging_0512/kartor/A 54075-2025 karta.png", "A 54075-2025")</f>
        <v/>
      </c>
      <c r="Y31">
        <f>HYPERLINK("https://klasma.github.io/Logging_0512/kartor_geotiff/A 54075-2025 georefererad karta.tif", "A 54075-2025")</f>
        <v/>
      </c>
      <c r="AA31">
        <f>HYPERLINK("https://klasma.github.io/Logging_0512/klagomål/A 54075-2025 FSC-klagomål.docx", "A 54075-2025")</f>
        <v/>
      </c>
      <c r="AB31">
        <f>HYPERLINK("https://klasma.github.io/Logging_0512/klagomålsmail/A 54075-2025 FSC-klagomål mail.docx", "A 54075-2025")</f>
        <v/>
      </c>
      <c r="AC31">
        <f>HYPERLINK("https://klasma.github.io/Logging_0512/tillsyn/A 54075-2025 tillsynsbegäran.docx", "A 54075-2025")</f>
        <v/>
      </c>
      <c r="AD31">
        <f>HYPERLINK("https://klasma.github.io/Logging_0512/tillsynsmail/A 54075-2025 tillsynsbegäran mail.docx", "A 54075-2025")</f>
        <v/>
      </c>
    </row>
    <row r="32" ht="15" customHeight="1">
      <c r="A32" t="inlineStr">
        <is>
          <t>A 45354-2023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45192</v>
      </c>
      <c r="E32" s="1" t="n">
        <v>46324</v>
      </c>
      <c r="F32" t="inlineStr">
        <is>
          <t>ÖSTERGÖTLANDS LÄN</t>
        </is>
      </c>
      <c r="G32" t="inlineStr">
        <is>
          <t>YDRE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HYPERLINK("https://klasma.github.io/Logging_0512/artfynd/A 45354-2023 artfynd.xlsx", "A 45354-2023")</f>
        <v/>
      </c>
      <c r="X32">
        <f>HYPERLINK("https://klasma.github.io/Logging_0512/kartor/A 45354-2023 karta.png", "A 45354-2023")</f>
        <v/>
      </c>
      <c r="Y32">
        <f>HYPERLINK("https://klasma.github.io/Logging_0512/kartor_geotiff/A 45354-2023 georefererad karta.tif", "A 45354-2023")</f>
        <v/>
      </c>
      <c r="AA32">
        <f>HYPERLINK("https://klasma.github.io/Logging_0512/klagomål/A 45354-2023 FSC-klagomål.docx", "A 45354-2023")</f>
        <v/>
      </c>
      <c r="AB32">
        <f>HYPERLINK("https://klasma.github.io/Logging_0512/klagomålsmail/A 45354-2023 FSC-klagomål mail.docx", "A 45354-2023")</f>
        <v/>
      </c>
      <c r="AC32">
        <f>HYPERLINK("https://klasma.github.io/Logging_0512/tillsyn/A 45354-2023 tillsynsbegäran.docx", "A 45354-2023")</f>
        <v/>
      </c>
      <c r="AD32">
        <f>HYPERLINK("https://klasma.github.io/Logging_0512/tillsynsmail/A 45354-2023 tillsynsbegäran mail.docx", "A 45354-2023")</f>
        <v/>
      </c>
    </row>
    <row r="33" ht="15" customHeight="1">
      <c r="A33" t="inlineStr">
        <is>
          <t>A 4248-2026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46324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5.1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HYPERLINK("https://klasma.github.io/Logging_0512/artfynd/A 4248-2026 artfynd.xlsx", "A 4248-2026")</f>
        <v/>
      </c>
      <c r="X33">
        <f>HYPERLINK("https://klasma.github.io/Logging_0512/kartor/A 4248-2026 karta.png", "A 4248-2026")</f>
        <v/>
      </c>
      <c r="Y33">
        <f>HYPERLINK("https://klasma.github.io/Logging_0512/kartor_geotiff/A 4248-2026 georefererad karta.tif", "A 4248-2026")</f>
        <v/>
      </c>
      <c r="AA33">
        <f>HYPERLINK("https://klasma.github.io/Logging_0512/klagomål/A 4248-2026 FSC-klagomål.docx", "A 4248-2026")</f>
        <v/>
      </c>
      <c r="AB33">
        <f>HYPERLINK("https://klasma.github.io/Logging_0512/klagomålsmail/A 4248-2026 FSC-klagomål mail.docx", "A 4248-2026")</f>
        <v/>
      </c>
      <c r="AC33">
        <f>HYPERLINK("https://klasma.github.io/Logging_0512/tillsyn/A 4248-2026 tillsynsbegäran.docx", "A 4248-2026")</f>
        <v/>
      </c>
      <c r="AD33">
        <f>HYPERLINK("https://klasma.github.io/Logging_0512/tillsynsmail/A 4248-2026 tillsynsbegäran mail.docx", "A 4248-2026")</f>
        <v/>
      </c>
      <c r="AE33">
        <f>HYPERLINK("https://klasma.github.io/Logging_0512/fåglar/A 4248-2026 prioriterade fågelarter.docx", "A 4248-2026")</f>
        <v/>
      </c>
    </row>
    <row r="34" ht="15" customHeight="1">
      <c r="A34" t="inlineStr">
        <is>
          <t>A 48344-2022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46324</v>
      </c>
      <c r="F34" t="inlineStr">
        <is>
          <t>ÖSTERGÖTLANDS LÄN</t>
        </is>
      </c>
      <c r="G34" t="inlineStr">
        <is>
          <t>YDRE</t>
        </is>
      </c>
      <c r="H34" t="inlineStr">
        <is>
          <t>Övriga Aktiebolag</t>
        </is>
      </c>
      <c r="I34" t="n">
        <v>7.6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Gullklöver</t>
        </is>
      </c>
      <c r="W34">
        <f>HYPERLINK("https://klasma.github.io/Logging_0512/artfynd/A 48344-2022 artfynd.xlsx", "A 48344-2022")</f>
        <v/>
      </c>
      <c r="X34">
        <f>HYPERLINK("https://klasma.github.io/Logging_0512/kartor/A 48344-2022 karta.png", "A 48344-2022")</f>
        <v/>
      </c>
      <c r="Y34">
        <f>HYPERLINK("https://klasma.github.io/Logging_0512/kartor_geotiff/A 48344-2022 georefererad karta.tif", "A 48344-2022")</f>
        <v/>
      </c>
      <c r="AA34">
        <f>HYPERLINK("https://klasma.github.io/Logging_0512/klagomål/A 48344-2022 FSC-klagomål.docx", "A 48344-2022")</f>
        <v/>
      </c>
      <c r="AB34">
        <f>HYPERLINK("https://klasma.github.io/Logging_0512/klagomålsmail/A 48344-2022 FSC-klagomål mail.docx", "A 48344-2022")</f>
        <v/>
      </c>
      <c r="AC34">
        <f>HYPERLINK("https://klasma.github.io/Logging_0512/tillsyn/A 48344-2022 tillsynsbegäran.docx", "A 48344-2022")</f>
        <v/>
      </c>
      <c r="AD34">
        <f>HYPERLINK("https://klasma.github.io/Logging_0512/tillsynsmail/A 48344-2022 tillsynsbegäran mail.docx", "A 48344-2022")</f>
        <v/>
      </c>
    </row>
    <row r="35" ht="15" customHeight="1">
      <c r="A35" t="inlineStr">
        <is>
          <t>A 9051-2026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46324</v>
      </c>
      <c r="F35" t="inlineStr">
        <is>
          <t>ÖSTERGÖTLANDS LÄN</t>
        </is>
      </c>
      <c r="G35" t="inlineStr">
        <is>
          <t>YDRE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Slåtterfibbla</t>
        </is>
      </c>
      <c r="W35">
        <f>HYPERLINK("https://klasma.github.io/Logging_0512/artfynd/A 9051-2026 artfynd.xlsx", "A 9051-2026")</f>
        <v/>
      </c>
      <c r="X35">
        <f>HYPERLINK("https://klasma.github.io/Logging_0512/kartor/A 9051-2026 karta.png", "A 9051-2026")</f>
        <v/>
      </c>
      <c r="Y35">
        <f>HYPERLINK("https://klasma.github.io/Logging_0512/kartor_geotiff/A 9051-2026 georefererad karta.tif", "A 9051-2026")</f>
        <v/>
      </c>
      <c r="AA35">
        <f>HYPERLINK("https://klasma.github.io/Logging_0512/klagomål/A 9051-2026 FSC-klagomål.docx", "A 9051-2026")</f>
        <v/>
      </c>
      <c r="AB35">
        <f>HYPERLINK("https://klasma.github.io/Logging_0512/klagomålsmail/A 9051-2026 FSC-klagomål mail.docx", "A 9051-2026")</f>
        <v/>
      </c>
      <c r="AC35">
        <f>HYPERLINK("https://klasma.github.io/Logging_0512/tillsyn/A 9051-2026 tillsynsbegäran.docx", "A 9051-2026")</f>
        <v/>
      </c>
      <c r="AD35">
        <f>HYPERLINK("https://klasma.github.io/Logging_0512/tillsynsmail/A 9051-2026 tillsynsbegäran mail.docx", "A 9051-2026")</f>
        <v/>
      </c>
    </row>
    <row r="36" ht="15" customHeight="1">
      <c r="A36" t="inlineStr">
        <is>
          <t>A 8923-2026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46324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8923-2026 artfynd.xlsx", "A 8923-2026")</f>
        <v/>
      </c>
      <c r="X36">
        <f>HYPERLINK("https://klasma.github.io/Logging_0512/kartor/A 8923-2026 karta.png", "A 8923-2026")</f>
        <v/>
      </c>
      <c r="Y36">
        <f>HYPERLINK("https://klasma.github.io/Logging_0512/kartor_geotiff/A 8923-2026 georefererad karta.tif", "A 8923-2026")</f>
        <v/>
      </c>
      <c r="AA36">
        <f>HYPERLINK("https://klasma.github.io/Logging_0512/klagomål/A 8923-2026 FSC-klagomål.docx", "A 8923-2026")</f>
        <v/>
      </c>
      <c r="AB36">
        <f>HYPERLINK("https://klasma.github.io/Logging_0512/klagomålsmail/A 8923-2026 FSC-klagomål mail.docx", "A 8923-2026")</f>
        <v/>
      </c>
      <c r="AC36">
        <f>HYPERLINK("https://klasma.github.io/Logging_0512/tillsyn/A 8923-2026 tillsynsbegäran.docx", "A 8923-2026")</f>
        <v/>
      </c>
      <c r="AD36">
        <f>HYPERLINK("https://klasma.github.io/Logging_0512/tillsynsmail/A 8923-2026 tillsynsbegäran mail.docx", "A 8923-2026")</f>
        <v/>
      </c>
    </row>
    <row r="37" ht="15" customHeight="1">
      <c r="A37" t="inlineStr">
        <is>
          <t>A 29200-2026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46324</v>
      </c>
      <c r="F37" t="inlineStr">
        <is>
          <t>ÖSTERGÖTLANDS LÄN</t>
        </is>
      </c>
      <c r="G37" t="inlineStr">
        <is>
          <t>YDRE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HYPERLINK("https://klasma.github.io/Logging_0512/artfynd/A 29200-2026 artfynd.xlsx", "A 29200-2026")</f>
        <v/>
      </c>
      <c r="X37">
        <f>HYPERLINK("https://klasma.github.io/Logging_0512/kartor/A 29200-2026 karta.png", "A 29200-2026")</f>
        <v/>
      </c>
      <c r="Y37">
        <f>HYPERLINK("https://klasma.github.io/Logging_0512/kartor_geotiff/A 29200-2026 georefererad karta.tif", "A 29200-2026")</f>
        <v/>
      </c>
      <c r="AA37">
        <f>HYPERLINK("https://klasma.github.io/Logging_0512/klagomål/A 29200-2026 FSC-klagomål.docx", "A 29200-2026")</f>
        <v/>
      </c>
      <c r="AB37">
        <f>HYPERLINK("https://klasma.github.io/Logging_0512/klagomålsmail/A 29200-2026 FSC-klagomål mail.docx", "A 29200-2026")</f>
        <v/>
      </c>
      <c r="AC37">
        <f>HYPERLINK("https://klasma.github.io/Logging_0512/tillsyn/A 29200-2026 tillsynsbegäran.docx", "A 29200-2026")</f>
        <v/>
      </c>
      <c r="AD37">
        <f>HYPERLINK("https://klasma.github.io/Logging_0512/tillsynsmail/A 29200-2026 tillsynsbegäran mail.docx", "A 29200-2026")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46324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45765-2025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46324</v>
      </c>
      <c r="F39" t="inlineStr">
        <is>
          <t>ÖSTERGÖTLANDS LÄN</t>
        </is>
      </c>
      <c r="G39" t="inlineStr">
        <is>
          <t>YDRE</t>
        </is>
      </c>
      <c r="I39" t="n">
        <v>10.9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HYPERLINK("https://klasma.github.io/Logging_0512/artfynd/A 45765-2025 artfynd.xlsx", "A 45765-2025")</f>
        <v/>
      </c>
      <c r="X39">
        <f>HYPERLINK("https://klasma.github.io/Logging_0512/kartor/A 45765-2025 karta.png", "A 45765-2025")</f>
        <v/>
      </c>
      <c r="Y39">
        <f>HYPERLINK("https://klasma.github.io/Logging_0512/kartor_geotiff/A 45765-2025 georefererad karta.tif", "A 45765-2025")</f>
        <v/>
      </c>
      <c r="AA39">
        <f>HYPERLINK("https://klasma.github.io/Logging_0512/klagomål/A 45765-2025 FSC-klagomål.docx", "A 45765-2025")</f>
        <v/>
      </c>
      <c r="AB39">
        <f>HYPERLINK("https://klasma.github.io/Logging_0512/klagomålsmail/A 45765-2025 FSC-klagomål mail.docx", "A 45765-2025")</f>
        <v/>
      </c>
      <c r="AC39">
        <f>HYPERLINK("https://klasma.github.io/Logging_0512/tillsyn/A 45765-2025 tillsynsbegäran.docx", "A 45765-2025")</f>
        <v/>
      </c>
      <c r="AD39">
        <f>HYPERLINK("https://klasma.github.io/Logging_0512/tillsynsmail/A 45765-2025 tillsynsbegäran mail.docx", "A 45765-2025")</f>
        <v/>
      </c>
    </row>
    <row r="40" ht="15" customHeight="1">
      <c r="A40" t="inlineStr">
        <is>
          <t>A 19370-2025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46324</v>
      </c>
      <c r="F40" t="inlineStr">
        <is>
          <t>ÖSTERGÖTLANDS LÄN</t>
        </is>
      </c>
      <c r="G40" t="inlineStr">
        <is>
          <t>YDRE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Smal guldkornsfibbla</t>
        </is>
      </c>
      <c r="W40">
        <f>HYPERLINK("https://klasma.github.io/Logging_0512/artfynd/A 19370-2025 artfynd.xlsx", "A 19370-2025")</f>
        <v/>
      </c>
      <c r="X40">
        <f>HYPERLINK("https://klasma.github.io/Logging_0512/kartor/A 19370-2025 karta.png", "A 19370-2025")</f>
        <v/>
      </c>
      <c r="Y40">
        <f>HYPERLINK("https://klasma.github.io/Logging_0512/kartor_geotiff/A 19370-2025 georefererad karta.tif", "A 19370-2025")</f>
        <v/>
      </c>
      <c r="AA40">
        <f>HYPERLINK("https://klasma.github.io/Logging_0512/klagomål/A 19370-2025 FSC-klagomål.docx", "A 19370-2025")</f>
        <v/>
      </c>
      <c r="AB40">
        <f>HYPERLINK("https://klasma.github.io/Logging_0512/klagomålsmail/A 19370-2025 FSC-klagomål mail.docx", "A 19370-2025")</f>
        <v/>
      </c>
      <c r="AC40">
        <f>HYPERLINK("https://klasma.github.io/Logging_0512/tillsyn/A 19370-2025 tillsynsbegäran.docx", "A 19370-2025")</f>
        <v/>
      </c>
      <c r="AD40">
        <f>HYPERLINK("https://klasma.github.io/Logging_0512/tillsynsmail/A 19370-2025 tillsynsbegäran mail.docx", "A 19370-2025")</f>
        <v/>
      </c>
    </row>
    <row r="41" ht="15" customHeight="1">
      <c r="A41" t="inlineStr">
        <is>
          <t>A 53049-2024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45611</v>
      </c>
      <c r="E41" s="1" t="n">
        <v>46324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Mosippa</t>
        </is>
      </c>
      <c r="W41">
        <f>HYPERLINK("https://klasma.github.io/Logging_0512/artfynd/A 53049-2024 artfynd.xlsx", "A 53049-2024")</f>
        <v/>
      </c>
      <c r="X41">
        <f>HYPERLINK("https://klasma.github.io/Logging_0512/kartor/A 53049-2024 karta.png", "A 53049-2024")</f>
        <v/>
      </c>
      <c r="Y41">
        <f>HYPERLINK("https://klasma.github.io/Logging_0512/kartor_geotiff/A 53049-2024 georefererad karta.tif", "A 53049-2024")</f>
        <v/>
      </c>
      <c r="AA41">
        <f>HYPERLINK("https://klasma.github.io/Logging_0512/klagomål/A 53049-2024 FSC-klagomål.docx", "A 53049-2024")</f>
        <v/>
      </c>
      <c r="AB41">
        <f>HYPERLINK("https://klasma.github.io/Logging_0512/klagomålsmail/A 53049-2024 FSC-klagomål mail.docx", "A 53049-2024")</f>
        <v/>
      </c>
      <c r="AC41">
        <f>HYPERLINK("https://klasma.github.io/Logging_0512/tillsyn/A 53049-2024 tillsynsbegäran.docx", "A 53049-2024")</f>
        <v/>
      </c>
      <c r="AD41">
        <f>HYPERLINK("https://klasma.github.io/Logging_0512/tillsynsmail/A 53049-2024 tillsynsbegäran mail.docx", "A 53049-2024")</f>
        <v/>
      </c>
    </row>
    <row r="42" ht="15" customHeight="1">
      <c r="A42" t="inlineStr">
        <is>
          <t>A 11273-2024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45371</v>
      </c>
      <c r="E42" s="1" t="n">
        <v>46324</v>
      </c>
      <c r="F42" t="inlineStr">
        <is>
          <t>ÖSTERGÖTLANDS LÄN</t>
        </is>
      </c>
      <c r="G42" t="inlineStr">
        <is>
          <t>YDRE</t>
        </is>
      </c>
      <c r="I42" t="n">
        <v>3.6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Lungrot</t>
        </is>
      </c>
      <c r="W42">
        <f>HYPERLINK("https://klasma.github.io/Logging_0512/artfynd/A 11273-2024 artfynd.xlsx", "A 11273-2024")</f>
        <v/>
      </c>
      <c r="X42">
        <f>HYPERLINK("https://klasma.github.io/Logging_0512/kartor/A 11273-2024 karta.png", "A 11273-2024")</f>
        <v/>
      </c>
      <c r="Y42">
        <f>HYPERLINK("https://klasma.github.io/Logging_0512/kartor_geotiff/A 11273-2024 georefererad karta.tif", "A 11273-2024")</f>
        <v/>
      </c>
      <c r="AA42">
        <f>HYPERLINK("https://klasma.github.io/Logging_0512/klagomål/A 11273-2024 FSC-klagomål.docx", "A 11273-2024")</f>
        <v/>
      </c>
      <c r="AB42">
        <f>HYPERLINK("https://klasma.github.io/Logging_0512/klagomålsmail/A 11273-2024 FSC-klagomål mail.docx", "A 11273-2024")</f>
        <v/>
      </c>
      <c r="AC42">
        <f>HYPERLINK("https://klasma.github.io/Logging_0512/tillsyn/A 11273-2024 tillsynsbegäran.docx", "A 11273-2024")</f>
        <v/>
      </c>
      <c r="AD42">
        <f>HYPERLINK("https://klasma.github.io/Logging_0512/tillsynsmail/A 11273-2024 tillsynsbegäran mail.docx", "A 11273-2024")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46324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46324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46324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46324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46324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46324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46324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44585</v>
      </c>
      <c r="E50" s="1" t="n">
        <v>46324</v>
      </c>
      <c r="F50" t="inlineStr">
        <is>
          <t>ÖSTERGÖTLANDS LÄN</t>
        </is>
      </c>
      <c r="G50" t="inlineStr">
        <is>
          <t>YDRE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46324</v>
      </c>
      <c r="F51" t="inlineStr">
        <is>
          <t>ÖSTERGÖTLANDS LÄN</t>
        </is>
      </c>
      <c r="G51" t="inlineStr">
        <is>
          <t>YDRE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46324</v>
      </c>
      <c r="F52" t="inlineStr">
        <is>
          <t>ÖSTERGÖTLANDS LÄN</t>
        </is>
      </c>
      <c r="G52" t="inlineStr">
        <is>
          <t>YDRE</t>
        </is>
      </c>
      <c r="I52" t="n">
        <v>17.3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44827</v>
      </c>
      <c r="E53" s="1" t="n">
        <v>46324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44687</v>
      </c>
      <c r="E54" s="1" t="n">
        <v>46324</v>
      </c>
      <c r="F54" t="inlineStr">
        <is>
          <t>ÖSTERGÖTLANDS LÄN</t>
        </is>
      </c>
      <c r="G54" t="inlineStr">
        <is>
          <t>YDRE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46324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46324</v>
      </c>
      <c r="F56" t="inlineStr">
        <is>
          <t>ÖSTERGÖTLANDS LÄN</t>
        </is>
      </c>
      <c r="G56" t="inlineStr">
        <is>
          <t>YDRE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46324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46324</v>
      </c>
      <c r="F58" t="inlineStr">
        <is>
          <t>ÖSTERGÖTLANDS LÄN</t>
        </is>
      </c>
      <c r="G58" t="inlineStr">
        <is>
          <t>YDRE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46324</v>
      </c>
      <c r="F59" t="inlineStr">
        <is>
          <t>ÖSTERGÖTLANDS LÄN</t>
        </is>
      </c>
      <c r="G59" t="inlineStr">
        <is>
          <t>YDRE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33687-2022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44789</v>
      </c>
      <c r="E60" s="1" t="n">
        <v>46324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65794-2021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44516</v>
      </c>
      <c r="E61" s="1" t="n">
        <v>46324</v>
      </c>
      <c r="F61" t="inlineStr">
        <is>
          <t>ÖSTERGÖTLANDS LÄN</t>
        </is>
      </c>
      <c r="G61" t="inlineStr">
        <is>
          <t>YDRE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46324</v>
      </c>
      <c r="F62" t="inlineStr">
        <is>
          <t>ÖSTERGÖTLANDS LÄN</t>
        </is>
      </c>
      <c r="G62" t="inlineStr">
        <is>
          <t>YDRE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69307-2021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46324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44593</v>
      </c>
      <c r="E64" s="1" t="n">
        <v>46324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45449-2023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45194</v>
      </c>
      <c r="E65" s="1" t="n">
        <v>46324</v>
      </c>
      <c r="F65" t="inlineStr">
        <is>
          <t>ÖSTERGÖTLANDS LÄN</t>
        </is>
      </c>
      <c r="G65" t="inlineStr">
        <is>
          <t>YDRE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46324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46324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46324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46324</v>
      </c>
      <c r="F69" t="inlineStr">
        <is>
          <t>ÖSTERGÖTLANDS LÄN</t>
        </is>
      </c>
      <c r="G69" t="inlineStr">
        <is>
          <t>YDRE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46324</v>
      </c>
      <c r="F70" t="inlineStr">
        <is>
          <t>ÖSTERGÖTLANDS LÄN</t>
        </is>
      </c>
      <c r="G70" t="inlineStr">
        <is>
          <t>YDRE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46324</v>
      </c>
      <c r="F71" t="inlineStr">
        <is>
          <t>ÖSTERGÖTLANDS LÄN</t>
        </is>
      </c>
      <c r="G71" t="inlineStr">
        <is>
          <t>YDRE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27744-2022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44743</v>
      </c>
      <c r="E72" s="1" t="n">
        <v>46324</v>
      </c>
      <c r="F72" t="inlineStr">
        <is>
          <t>ÖSTERGÖTLANDS LÄN</t>
        </is>
      </c>
      <c r="G72" t="inlineStr">
        <is>
          <t>YDRE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44562</v>
      </c>
      <c r="E73" s="1" t="n">
        <v>46324</v>
      </c>
      <c r="F73" t="inlineStr">
        <is>
          <t>ÖSTERGÖTLANDS LÄN</t>
        </is>
      </c>
      <c r="G73" t="inlineStr">
        <is>
          <t>YDRE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62859-2023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45272</v>
      </c>
      <c r="E74" s="1" t="n">
        <v>46324</v>
      </c>
      <c r="F74" t="inlineStr">
        <is>
          <t>ÖSTERGÖTLANDS LÄN</t>
        </is>
      </c>
      <c r="G74" t="inlineStr">
        <is>
          <t>YDRE</t>
        </is>
      </c>
      <c r="H74" t="inlineStr">
        <is>
          <t>Övriga Aktiebolag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46324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46324</v>
      </c>
      <c r="F76" t="inlineStr">
        <is>
          <t>ÖSTERGÖTLANDS LÄN</t>
        </is>
      </c>
      <c r="G76" t="inlineStr">
        <is>
          <t>YDRE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46324</v>
      </c>
      <c r="F77" t="inlineStr">
        <is>
          <t>ÖSTERGÖTLANDS LÄN</t>
        </is>
      </c>
      <c r="G77" t="inlineStr">
        <is>
          <t>YDRE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17277-2024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45414</v>
      </c>
      <c r="E78" s="1" t="n">
        <v>46324</v>
      </c>
      <c r="F78" t="inlineStr">
        <is>
          <t>ÖSTERGÖTLANDS LÄN</t>
        </is>
      </c>
      <c r="G78" t="inlineStr">
        <is>
          <t>YDRE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45597</v>
      </c>
      <c r="E79" s="1" t="n">
        <v>46324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46324</v>
      </c>
      <c r="F80" t="inlineStr">
        <is>
          <t>ÖSTERGÖTLANDS LÄN</t>
        </is>
      </c>
      <c r="G80" t="inlineStr">
        <is>
          <t>YDRE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70448-2021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44536</v>
      </c>
      <c r="E81" s="1" t="n">
        <v>46324</v>
      </c>
      <c r="F81" t="inlineStr">
        <is>
          <t>ÖSTERGÖTLANDS LÄN</t>
        </is>
      </c>
      <c r="G81" t="inlineStr">
        <is>
          <t>YDRE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45701</v>
      </c>
      <c r="E82" s="1" t="n">
        <v>46324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45796</v>
      </c>
      <c r="E83" s="1" t="n">
        <v>46324</v>
      </c>
      <c r="F83" t="inlineStr">
        <is>
          <t>ÖSTERGÖTLANDS LÄN</t>
        </is>
      </c>
      <c r="G83" t="inlineStr">
        <is>
          <t>YDRE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24140-2025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45796</v>
      </c>
      <c r="E84" s="1" t="n">
        <v>46324</v>
      </c>
      <c r="F84" t="inlineStr">
        <is>
          <t>ÖSTERGÖTLANDS LÄN</t>
        </is>
      </c>
      <c r="G84" t="inlineStr">
        <is>
          <t>YDRE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46324</v>
      </c>
      <c r="F85" t="inlineStr">
        <is>
          <t>ÖSTERGÖTLANDS LÄN</t>
        </is>
      </c>
      <c r="G85" t="inlineStr">
        <is>
          <t>YDRE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46324</v>
      </c>
      <c r="F86" t="inlineStr">
        <is>
          <t>ÖSTERGÖTLANDS LÄN</t>
        </is>
      </c>
      <c r="G86" t="inlineStr">
        <is>
          <t>YDRE</t>
        </is>
      </c>
      <c r="H86" t="inlineStr">
        <is>
          <t>Sveaskog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44908</v>
      </c>
      <c r="E87" s="1" t="n">
        <v>46324</v>
      </c>
      <c r="F87" t="inlineStr">
        <is>
          <t>ÖSTERGÖTLANDS LÄN</t>
        </is>
      </c>
      <c r="G87" t="inlineStr">
        <is>
          <t>YDRE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44908</v>
      </c>
      <c r="E88" s="1" t="n">
        <v>46324</v>
      </c>
      <c r="F88" t="inlineStr">
        <is>
          <t>ÖSTERGÖTLANDS LÄN</t>
        </is>
      </c>
      <c r="G88" t="inlineStr">
        <is>
          <t>YDRE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46324</v>
      </c>
      <c r="F89" t="inlineStr">
        <is>
          <t>ÖSTERGÖTLANDS LÄN</t>
        </is>
      </c>
      <c r="G89" t="inlineStr">
        <is>
          <t>YDRE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55867-2023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46324</v>
      </c>
      <c r="F90" t="inlineStr">
        <is>
          <t>ÖSTERGÖTLANDS LÄN</t>
        </is>
      </c>
      <c r="G90" t="inlineStr">
        <is>
          <t>YDRE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46324</v>
      </c>
      <c r="F91" t="inlineStr">
        <is>
          <t>ÖSTERGÖTLANDS LÄN</t>
        </is>
      </c>
      <c r="G91" t="inlineStr">
        <is>
          <t>YDRE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45889</v>
      </c>
      <c r="E92" s="1" t="n">
        <v>46324</v>
      </c>
      <c r="F92" t="inlineStr">
        <is>
          <t>ÖSTERGÖTLANDS LÄN</t>
        </is>
      </c>
      <c r="G92" t="inlineStr">
        <is>
          <t>YDRE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45302</v>
      </c>
      <c r="E93" s="1" t="n">
        <v>46324</v>
      </c>
      <c r="F93" t="inlineStr">
        <is>
          <t>ÖSTERGÖTLANDS LÄN</t>
        </is>
      </c>
      <c r="G93" t="inlineStr">
        <is>
          <t>YDRE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45891</v>
      </c>
      <c r="E94" s="1" t="n">
        <v>46324</v>
      </c>
      <c r="F94" t="inlineStr">
        <is>
          <t>ÖSTERGÖTLANDS LÄN</t>
        </is>
      </c>
      <c r="G94" t="inlineStr">
        <is>
          <t>YDRE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44994</v>
      </c>
      <c r="E95" s="1" t="n">
        <v>46324</v>
      </c>
      <c r="F95" t="inlineStr">
        <is>
          <t>ÖSTERGÖTLANDS LÄN</t>
        </is>
      </c>
      <c r="G95" t="inlineStr">
        <is>
          <t>YDRE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45821</v>
      </c>
      <c r="E96" s="1" t="n">
        <v>46324</v>
      </c>
      <c r="F96" t="inlineStr">
        <is>
          <t>ÖSTERGÖTLANDS LÄN</t>
        </is>
      </c>
      <c r="G96" t="inlineStr">
        <is>
          <t>YDRE</t>
        </is>
      </c>
      <c r="H96" t="inlineStr">
        <is>
          <t>Kyrkan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45371</v>
      </c>
      <c r="E97" s="1" t="n">
        <v>46324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46324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46324</v>
      </c>
      <c r="F99" t="inlineStr">
        <is>
          <t>ÖSTERGÖTLANDS LÄN</t>
        </is>
      </c>
      <c r="G99" t="inlineStr">
        <is>
          <t>YDRE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30531-2025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45831</v>
      </c>
      <c r="E100" s="1" t="n">
        <v>46324</v>
      </c>
      <c r="F100" t="inlineStr">
        <is>
          <t>ÖSTERGÖTLANDS LÄN</t>
        </is>
      </c>
      <c r="G100" t="inlineStr">
        <is>
          <t>YDRE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46324</v>
      </c>
      <c r="F101" t="inlineStr">
        <is>
          <t>ÖSTERGÖTLANDS LÄN</t>
        </is>
      </c>
      <c r="G101" t="inlineStr">
        <is>
          <t>YDRE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46324</v>
      </c>
      <c r="F102" t="inlineStr">
        <is>
          <t>ÖSTERGÖTLANDS LÄN</t>
        </is>
      </c>
      <c r="G102" t="inlineStr">
        <is>
          <t>YDRE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36616-2024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46324</v>
      </c>
      <c r="F103" t="inlineStr">
        <is>
          <t>ÖSTERGÖTLANDS LÄN</t>
        </is>
      </c>
      <c r="G103" t="inlineStr">
        <is>
          <t>YDRE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43100-2025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45909</v>
      </c>
      <c r="E104" s="1" t="n">
        <v>46324</v>
      </c>
      <c r="F104" t="inlineStr">
        <is>
          <t>ÖSTERGÖTLANDS LÄN</t>
        </is>
      </c>
      <c r="G104" t="inlineStr">
        <is>
          <t>YDRE</t>
        </is>
      </c>
      <c r="H104" t="inlineStr">
        <is>
          <t>Övriga Aktiebolag</t>
        </is>
      </c>
      <c r="I104" t="n">
        <v>12.4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46324</v>
      </c>
      <c r="F105" t="inlineStr">
        <is>
          <t>ÖSTERGÖTLANDS LÄN</t>
        </is>
      </c>
      <c r="G105" t="inlineStr">
        <is>
          <t>YDRE</t>
        </is>
      </c>
      <c r="H105" t="inlineStr">
        <is>
          <t>Övriga Aktiebolag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45664</v>
      </c>
      <c r="E106" s="1" t="n">
        <v>46324</v>
      </c>
      <c r="F106" t="inlineStr">
        <is>
          <t>ÖSTERGÖTLANDS LÄN</t>
        </is>
      </c>
      <c r="G106" t="inlineStr">
        <is>
          <t>YDRE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44868</v>
      </c>
      <c r="E107" s="1" t="n">
        <v>46324</v>
      </c>
      <c r="F107" t="inlineStr">
        <is>
          <t>ÖSTERGÖTLANDS LÄN</t>
        </is>
      </c>
      <c r="G107" t="inlineStr">
        <is>
          <t>YDRE</t>
        </is>
      </c>
      <c r="H107" t="inlineStr">
        <is>
          <t>Övriga Aktiebolag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46324</v>
      </c>
      <c r="F108" t="inlineStr">
        <is>
          <t>ÖSTERGÖTLANDS LÄN</t>
        </is>
      </c>
      <c r="G108" t="inlineStr">
        <is>
          <t>YDRE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46324</v>
      </c>
      <c r="F109" t="inlineStr">
        <is>
          <t>ÖSTERGÖTLANDS LÄN</t>
        </is>
      </c>
      <c r="G109" t="inlineStr">
        <is>
          <t>YDRE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46324</v>
      </c>
      <c r="F110" t="inlineStr">
        <is>
          <t>ÖSTERGÖTLANDS LÄN</t>
        </is>
      </c>
      <c r="G110" t="inlineStr">
        <is>
          <t>YDRE</t>
        </is>
      </c>
      <c r="H110" t="inlineStr">
        <is>
          <t>Sveaskog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46324</v>
      </c>
      <c r="F111" t="inlineStr">
        <is>
          <t>ÖSTERGÖTLANDS LÄN</t>
        </is>
      </c>
      <c r="G111" t="inlineStr">
        <is>
          <t>YDRE</t>
        </is>
      </c>
      <c r="H111" t="inlineStr">
        <is>
          <t>Sveaskog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46324</v>
      </c>
      <c r="F112" t="inlineStr">
        <is>
          <t>ÖSTERGÖTLANDS LÄN</t>
        </is>
      </c>
      <c r="G112" t="inlineStr">
        <is>
          <t>YDRE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46324</v>
      </c>
      <c r="F113" t="inlineStr">
        <is>
          <t>ÖSTERGÖTLANDS LÄN</t>
        </is>
      </c>
      <c r="G113" t="inlineStr">
        <is>
          <t>YDRE</t>
        </is>
      </c>
      <c r="H113" t="inlineStr">
        <is>
          <t>Sveaskog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32635-2025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45838</v>
      </c>
      <c r="E114" s="1" t="n">
        <v>46324</v>
      </c>
      <c r="F114" t="inlineStr">
        <is>
          <t>ÖSTERGÖTLANDS LÄN</t>
        </is>
      </c>
      <c r="G114" t="inlineStr">
        <is>
          <t>YDRE</t>
        </is>
      </c>
      <c r="H114" t="inlineStr">
        <is>
          <t>Övriga Aktiebolag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46324</v>
      </c>
      <c r="F115" t="inlineStr">
        <is>
          <t>ÖSTERGÖTLANDS LÄN</t>
        </is>
      </c>
      <c r="G115" t="inlineStr">
        <is>
          <t>YDRE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45583</v>
      </c>
      <c r="E116" s="1" t="n">
        <v>46324</v>
      </c>
      <c r="F116" t="inlineStr">
        <is>
          <t>ÖSTERGÖTLANDS LÄN</t>
        </is>
      </c>
      <c r="G116" t="inlineStr">
        <is>
          <t>YDRE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22961-2025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45790</v>
      </c>
      <c r="E117" s="1" t="n">
        <v>46324</v>
      </c>
      <c r="F117" t="inlineStr">
        <is>
          <t>ÖSTERGÖTLANDS LÄN</t>
        </is>
      </c>
      <c r="G117" t="inlineStr">
        <is>
          <t>YDRE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26784-2025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46324</v>
      </c>
      <c r="F118" t="inlineStr">
        <is>
          <t>ÖSTERGÖTLANDS LÄN</t>
        </is>
      </c>
      <c r="G118" t="inlineStr">
        <is>
          <t>YDRE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28239-2023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45099</v>
      </c>
      <c r="E119" s="1" t="n">
        <v>46324</v>
      </c>
      <c r="F119" t="inlineStr">
        <is>
          <t>ÖSTERGÖTLANDS LÄN</t>
        </is>
      </c>
      <c r="G119" t="inlineStr">
        <is>
          <t>YDRE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46324</v>
      </c>
      <c r="F120" t="inlineStr">
        <is>
          <t>ÖSTERGÖTLANDS LÄN</t>
        </is>
      </c>
      <c r="G120" t="inlineStr">
        <is>
          <t>YDRE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44606</v>
      </c>
      <c r="E121" s="1" t="n">
        <v>46324</v>
      </c>
      <c r="F121" t="inlineStr">
        <is>
          <t>ÖSTERGÖTLANDS LÄN</t>
        </is>
      </c>
      <c r="G121" t="inlineStr">
        <is>
          <t>YDRE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46086-2025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45924</v>
      </c>
      <c r="E122" s="1" t="n">
        <v>46324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44966</v>
      </c>
      <c r="E123" s="1" t="n">
        <v>46324</v>
      </c>
      <c r="F123" t="inlineStr">
        <is>
          <t>ÖSTERGÖTLANDS LÄN</t>
        </is>
      </c>
      <c r="G123" t="inlineStr">
        <is>
          <t>YDRE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46324</v>
      </c>
      <c r="F124" t="inlineStr">
        <is>
          <t>ÖSTERGÖTLANDS LÄN</t>
        </is>
      </c>
      <c r="G124" t="inlineStr">
        <is>
          <t>YDRE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46324</v>
      </c>
      <c r="F125" t="inlineStr">
        <is>
          <t>ÖSTERGÖTLANDS LÄN</t>
        </is>
      </c>
      <c r="G125" t="inlineStr">
        <is>
          <t>YDRE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44572</v>
      </c>
      <c r="E126" s="1" t="n">
        <v>46324</v>
      </c>
      <c r="F126" t="inlineStr">
        <is>
          <t>ÖSTERGÖTLANDS LÄN</t>
        </is>
      </c>
      <c r="G126" t="inlineStr">
        <is>
          <t>YDRE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46324</v>
      </c>
      <c r="F127" t="inlineStr">
        <is>
          <t>ÖSTERGÖTLANDS LÄN</t>
        </is>
      </c>
      <c r="G127" t="inlineStr">
        <is>
          <t>YDRE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71524-2021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44538</v>
      </c>
      <c r="E128" s="1" t="n">
        <v>46324</v>
      </c>
      <c r="F128" t="inlineStr">
        <is>
          <t>ÖSTERGÖTLANDS LÄN</t>
        </is>
      </c>
      <c r="G128" t="inlineStr">
        <is>
          <t>YDRE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46324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46324</v>
      </c>
      <c r="F130" t="inlineStr">
        <is>
          <t>ÖSTERGÖTLANDS LÄN</t>
        </is>
      </c>
      <c r="G130" t="inlineStr">
        <is>
          <t>YDRE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46324</v>
      </c>
      <c r="F131" t="inlineStr">
        <is>
          <t>ÖSTERGÖTLANDS LÄN</t>
        </is>
      </c>
      <c r="G131" t="inlineStr">
        <is>
          <t>YDRE</t>
        </is>
      </c>
      <c r="H131" t="inlineStr">
        <is>
          <t>Övriga Aktiebolag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49890-2025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45940</v>
      </c>
      <c r="E132" s="1" t="n">
        <v>46324</v>
      </c>
      <c r="F132" t="inlineStr">
        <is>
          <t>ÖSTERGÖTLANDS LÄN</t>
        </is>
      </c>
      <c r="G132" t="inlineStr">
        <is>
          <t>YDRE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45940</v>
      </c>
      <c r="E133" s="1" t="n">
        <v>46324</v>
      </c>
      <c r="F133" t="inlineStr">
        <is>
          <t>ÖSTERGÖTLANDS LÄN</t>
        </is>
      </c>
      <c r="G133" t="inlineStr">
        <is>
          <t>YDRE</t>
        </is>
      </c>
      <c r="H133" t="inlineStr">
        <is>
          <t>Kyrkan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61636-2021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46324</v>
      </c>
      <c r="F134" t="inlineStr">
        <is>
          <t>ÖSTERGÖTLANDS LÄN</t>
        </is>
      </c>
      <c r="G134" t="inlineStr">
        <is>
          <t>YDRE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45701</v>
      </c>
      <c r="E135" s="1" t="n">
        <v>46324</v>
      </c>
      <c r="F135" t="inlineStr">
        <is>
          <t>ÖSTERGÖTLANDS LÄN</t>
        </is>
      </c>
      <c r="G135" t="inlineStr">
        <is>
          <t>YDRE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45335</v>
      </c>
      <c r="E136" s="1" t="n">
        <v>46324</v>
      </c>
      <c r="F136" t="inlineStr">
        <is>
          <t>ÖSTERGÖTLANDS LÄN</t>
        </is>
      </c>
      <c r="G136" t="inlineStr">
        <is>
          <t>YDRE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45575</v>
      </c>
      <c r="E137" s="1" t="n">
        <v>46324</v>
      </c>
      <c r="F137" t="inlineStr">
        <is>
          <t>ÖSTERGÖTLANDS LÄN</t>
        </is>
      </c>
      <c r="G137" t="inlineStr">
        <is>
          <t>YDRE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44874</v>
      </c>
      <c r="E138" s="1" t="n">
        <v>46324</v>
      </c>
      <c r="F138" t="inlineStr">
        <is>
          <t>ÖSTERGÖTLANDS LÄN</t>
        </is>
      </c>
      <c r="G138" t="inlineStr">
        <is>
          <t>YDRE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52389-2025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46324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46324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21982-2022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46324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46324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46324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54544-2025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46324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46324</v>
      </c>
      <c r="F145" t="inlineStr">
        <is>
          <t>ÖSTERGÖTLANDS LÄN</t>
        </is>
      </c>
      <c r="G145" t="inlineStr">
        <is>
          <t>YDRE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21067-2026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46146</v>
      </c>
      <c r="E146" s="1" t="n">
        <v>46324</v>
      </c>
      <c r="F146" t="inlineStr">
        <is>
          <t>ÖSTERGÖTLANDS LÄN</t>
        </is>
      </c>
      <c r="G146" t="inlineStr">
        <is>
          <t>YDRE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46324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46324</v>
      </c>
      <c r="F148" t="inlineStr">
        <is>
          <t>ÖSTERGÖTLANDS LÄN</t>
        </is>
      </c>
      <c r="G148" t="inlineStr">
        <is>
          <t>YDRE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46324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46324</v>
      </c>
      <c r="F150" t="inlineStr">
        <is>
          <t>ÖSTERGÖTLANDS LÄN</t>
        </is>
      </c>
      <c r="G150" t="inlineStr">
        <is>
          <t>YDRE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46324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46324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46324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46146</v>
      </c>
      <c r="E154" s="1" t="n">
        <v>46324</v>
      </c>
      <c r="F154" t="inlineStr">
        <is>
          <t>ÖSTERGÖTLANDS LÄN</t>
        </is>
      </c>
      <c r="G154" t="inlineStr">
        <is>
          <t>YDRE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46146</v>
      </c>
      <c r="E155" s="1" t="n">
        <v>46324</v>
      </c>
      <c r="F155" t="inlineStr">
        <is>
          <t>ÖSTERGÖTLANDS LÄN</t>
        </is>
      </c>
      <c r="G155" t="inlineStr">
        <is>
          <t>YDRE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46146</v>
      </c>
      <c r="E156" s="1" t="n">
        <v>46324</v>
      </c>
      <c r="F156" t="inlineStr">
        <is>
          <t>ÖSTERGÖTLANDS LÄN</t>
        </is>
      </c>
      <c r="G156" t="inlineStr">
        <is>
          <t>YDRE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21117-2026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46324</v>
      </c>
      <c r="F157" t="inlineStr">
        <is>
          <t>ÖSTERGÖTLANDS LÄN</t>
        </is>
      </c>
      <c r="G157" t="inlineStr">
        <is>
          <t>YDRE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46146</v>
      </c>
      <c r="E158" s="1" t="n">
        <v>46324</v>
      </c>
      <c r="F158" t="inlineStr">
        <is>
          <t>ÖSTERGÖTLANDS LÄN</t>
        </is>
      </c>
      <c r="G158" t="inlineStr">
        <is>
          <t>YDRE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45714</v>
      </c>
      <c r="E159" s="1" t="n">
        <v>46324</v>
      </c>
      <c r="F159" t="inlineStr">
        <is>
          <t>ÖSTERGÖTLANDS LÄN</t>
        </is>
      </c>
      <c r="G159" t="inlineStr">
        <is>
          <t>YDRE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46324</v>
      </c>
      <c r="F160" t="inlineStr">
        <is>
          <t>ÖSTERGÖTLANDS LÄN</t>
        </is>
      </c>
      <c r="G160" t="inlineStr">
        <is>
          <t>YDRE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46324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22312-2026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46154</v>
      </c>
      <c r="E162" s="1" t="n">
        <v>46324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24637-2024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46324</v>
      </c>
      <c r="F163" t="inlineStr">
        <is>
          <t>ÖSTERGÖTLANDS LÄN</t>
        </is>
      </c>
      <c r="G163" t="inlineStr">
        <is>
          <t>YDRE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45875-2024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46324</v>
      </c>
      <c r="F164" t="inlineStr">
        <is>
          <t>ÖSTERGÖTLANDS LÄN</t>
        </is>
      </c>
      <c r="G164" t="inlineStr">
        <is>
          <t>YDRE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46324</v>
      </c>
      <c r="F165" t="inlineStr">
        <is>
          <t>ÖSTERGÖTLANDS LÄN</t>
        </is>
      </c>
      <c r="G165" t="inlineStr">
        <is>
          <t>YDRE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45707</v>
      </c>
      <c r="E166" s="1" t="n">
        <v>46324</v>
      </c>
      <c r="F166" t="inlineStr">
        <is>
          <t>ÖSTERGÖTLANDS LÄN</t>
        </is>
      </c>
      <c r="G166" t="inlineStr">
        <is>
          <t>YDRE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45664</v>
      </c>
      <c r="E167" s="1" t="n">
        <v>46324</v>
      </c>
      <c r="F167" t="inlineStr">
        <is>
          <t>ÖSTERGÖTLANDS LÄN</t>
        </is>
      </c>
      <c r="G167" t="inlineStr">
        <is>
          <t>YDRE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45436</v>
      </c>
      <c r="E168" s="1" t="n">
        <v>46324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60135-2025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45994</v>
      </c>
      <c r="E169" s="1" t="n">
        <v>46324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45994</v>
      </c>
      <c r="E170" s="1" t="n">
        <v>46324</v>
      </c>
      <c r="F170" t="inlineStr">
        <is>
          <t>ÖSTERGÖTLANDS LÄN</t>
        </is>
      </c>
      <c r="G170" t="inlineStr">
        <is>
          <t>YDRE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68983-2021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46324</v>
      </c>
      <c r="F171" t="inlineStr">
        <is>
          <t>ÖSTERGÖTLANDS LÄN</t>
        </is>
      </c>
      <c r="G171" t="inlineStr">
        <is>
          <t>YDRE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46324</v>
      </c>
      <c r="F172" t="inlineStr">
        <is>
          <t>ÖSTERGÖTLANDS LÄN</t>
        </is>
      </c>
      <c r="G172" t="inlineStr">
        <is>
          <t>YDRE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45649</v>
      </c>
      <c r="E173" s="1" t="n">
        <v>46324</v>
      </c>
      <c r="F173" t="inlineStr">
        <is>
          <t>ÖSTERGÖTLANDS LÄN</t>
        </is>
      </c>
      <c r="G173" t="inlineStr">
        <is>
          <t>YDRE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46038</v>
      </c>
      <c r="E174" s="1" t="n">
        <v>46324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45398</v>
      </c>
      <c r="E175" s="1" t="n">
        <v>46324</v>
      </c>
      <c r="F175" t="inlineStr">
        <is>
          <t>ÖSTERGÖTLANDS LÄN</t>
        </is>
      </c>
      <c r="G175" t="inlineStr">
        <is>
          <t>YDRE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44987</v>
      </c>
      <c r="E176" s="1" t="n">
        <v>46324</v>
      </c>
      <c r="F176" t="inlineStr">
        <is>
          <t>ÖSTERGÖTLANDS LÄN</t>
        </is>
      </c>
      <c r="G176" t="inlineStr">
        <is>
          <t>YDRE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45596</v>
      </c>
      <c r="E177" s="1" t="n">
        <v>46324</v>
      </c>
      <c r="F177" t="inlineStr">
        <is>
          <t>ÖSTERGÖTLANDS LÄN</t>
        </is>
      </c>
      <c r="G177" t="inlineStr">
        <is>
          <t>YDRE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46007</v>
      </c>
      <c r="E178" s="1" t="n">
        <v>46324</v>
      </c>
      <c r="F178" t="inlineStr">
        <is>
          <t>ÖSTERGÖTLANDS LÄN</t>
        </is>
      </c>
      <c r="G178" t="inlineStr">
        <is>
          <t>YDRE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62244-2025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46006</v>
      </c>
      <c r="E179" s="1" t="n">
        <v>46324</v>
      </c>
      <c r="F179" t="inlineStr">
        <is>
          <t>ÖSTERGÖTLANDS LÄN</t>
        </is>
      </c>
      <c r="G179" t="inlineStr">
        <is>
          <t>YDRE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45762</v>
      </c>
      <c r="E180" s="1" t="n">
        <v>46324</v>
      </c>
      <c r="F180" t="inlineStr">
        <is>
          <t>ÖSTERGÖTLANDS LÄN</t>
        </is>
      </c>
      <c r="G180" t="inlineStr">
        <is>
          <t>YDRE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46324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46007</v>
      </c>
      <c r="E182" s="1" t="n">
        <v>46324</v>
      </c>
      <c r="F182" t="inlineStr">
        <is>
          <t>ÖSTERGÖTLANDS LÄN</t>
        </is>
      </c>
      <c r="G182" t="inlineStr">
        <is>
          <t>YDRE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46324</v>
      </c>
      <c r="F183" t="inlineStr">
        <is>
          <t>ÖSTERGÖTLANDS LÄN</t>
        </is>
      </c>
      <c r="G183" t="inlineStr">
        <is>
          <t>YDRE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62245-2025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46006</v>
      </c>
      <c r="E184" s="1" t="n">
        <v>46324</v>
      </c>
      <c r="F184" t="inlineStr">
        <is>
          <t>ÖSTERGÖTLANDS LÄN</t>
        </is>
      </c>
      <c r="G184" t="inlineStr">
        <is>
          <t>YDRE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46324</v>
      </c>
      <c r="F185" t="inlineStr">
        <is>
          <t>ÖSTERGÖTLANDS LÄN</t>
        </is>
      </c>
      <c r="G185" t="inlineStr">
        <is>
          <t>YDRE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46324</v>
      </c>
      <c r="F186" t="inlineStr">
        <is>
          <t>ÖSTERGÖTLANDS LÄN</t>
        </is>
      </c>
      <c r="G186" t="inlineStr">
        <is>
          <t>YDRE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46324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46324</v>
      </c>
      <c r="F188" t="inlineStr">
        <is>
          <t>ÖSTERGÖTLANDS LÄN</t>
        </is>
      </c>
      <c r="G188" t="inlineStr">
        <is>
          <t>YDRE</t>
        </is>
      </c>
      <c r="H188" t="inlineStr">
        <is>
          <t>Kyrkan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45638</v>
      </c>
      <c r="E189" s="1" t="n">
        <v>46324</v>
      </c>
      <c r="F189" t="inlineStr">
        <is>
          <t>ÖSTERGÖTLANDS LÄN</t>
        </is>
      </c>
      <c r="G189" t="inlineStr">
        <is>
          <t>YDRE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24780-2026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46171</v>
      </c>
      <c r="E190" s="1" t="n">
        <v>46324</v>
      </c>
      <c r="F190" t="inlineStr">
        <is>
          <t>ÖSTERGÖTLANDS LÄN</t>
        </is>
      </c>
      <c r="G190" t="inlineStr">
        <is>
          <t>YDRE</t>
        </is>
      </c>
      <c r="H190" t="inlineStr">
        <is>
          <t>Övriga Aktiebolag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45138</v>
      </c>
      <c r="E191" s="1" t="n">
        <v>46324</v>
      </c>
      <c r="F191" t="inlineStr">
        <is>
          <t>ÖSTERGÖTLANDS LÄN</t>
        </is>
      </c>
      <c r="G191" t="inlineStr">
        <is>
          <t>YDRE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45414</v>
      </c>
      <c r="E192" s="1" t="n">
        <v>46324</v>
      </c>
      <c r="F192" t="inlineStr">
        <is>
          <t>ÖSTERGÖTLANDS LÄN</t>
        </is>
      </c>
      <c r="G192" t="inlineStr">
        <is>
          <t>YDRE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63536-2025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46324</v>
      </c>
      <c r="F193" t="inlineStr">
        <is>
          <t>ÖSTERGÖTLANDS LÄN</t>
        </is>
      </c>
      <c r="G193" t="inlineStr">
        <is>
          <t>YDRE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45334</v>
      </c>
      <c r="E194" s="1" t="n">
        <v>46324</v>
      </c>
      <c r="F194" t="inlineStr">
        <is>
          <t>ÖSTERGÖTLANDS LÄN</t>
        </is>
      </c>
      <c r="G194" t="inlineStr">
        <is>
          <t>YDRE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46324</v>
      </c>
      <c r="F195" t="inlineStr">
        <is>
          <t>ÖSTERGÖTLANDS LÄN</t>
        </is>
      </c>
      <c r="G195" t="inlineStr">
        <is>
          <t>YDRE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44816</v>
      </c>
      <c r="E196" s="1" t="n">
        <v>46324</v>
      </c>
      <c r="F196" t="inlineStr">
        <is>
          <t>ÖSTERGÖTLANDS LÄN</t>
        </is>
      </c>
      <c r="G196" t="inlineStr">
        <is>
          <t>YDRE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46324</v>
      </c>
      <c r="F197" t="inlineStr">
        <is>
          <t>ÖSTERGÖTLANDS LÄN</t>
        </is>
      </c>
      <c r="G197" t="inlineStr">
        <is>
          <t>YDRE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46324</v>
      </c>
      <c r="F198" t="inlineStr">
        <is>
          <t>ÖSTERGÖTLANDS LÄN</t>
        </is>
      </c>
      <c r="G198" t="inlineStr">
        <is>
          <t>YDRE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45016</v>
      </c>
      <c r="E199" s="1" t="n">
        <v>46324</v>
      </c>
      <c r="F199" t="inlineStr">
        <is>
          <t>ÖSTERGÖTLANDS LÄN</t>
        </is>
      </c>
      <c r="G199" t="inlineStr">
        <is>
          <t>YDRE</t>
        </is>
      </c>
      <c r="H199" t="inlineStr">
        <is>
          <t>Övriga Aktiebolag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46021</v>
      </c>
      <c r="E200" s="1" t="n">
        <v>46324</v>
      </c>
      <c r="F200" t="inlineStr">
        <is>
          <t>ÖSTERGÖTLANDS LÄN</t>
        </is>
      </c>
      <c r="G200" t="inlineStr">
        <is>
          <t>YDRE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14645-2022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44655</v>
      </c>
      <c r="E201" s="1" t="n">
        <v>46324</v>
      </c>
      <c r="F201" t="inlineStr">
        <is>
          <t>ÖSTERGÖTLANDS LÄN</t>
        </is>
      </c>
      <c r="G201" t="inlineStr">
        <is>
          <t>YDRE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45348</v>
      </c>
      <c r="E202" s="1" t="n">
        <v>46324</v>
      </c>
      <c r="F202" t="inlineStr">
        <is>
          <t>ÖSTERGÖTLANDS LÄN</t>
        </is>
      </c>
      <c r="G202" t="inlineStr">
        <is>
          <t>YDRE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25473-2026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46324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46324</v>
      </c>
      <c r="F204" t="inlineStr">
        <is>
          <t>ÖSTERGÖTLANDS LÄN</t>
        </is>
      </c>
      <c r="G204" t="inlineStr">
        <is>
          <t>YDRE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46324</v>
      </c>
      <c r="F205" t="inlineStr">
        <is>
          <t>ÖSTERGÖTLANDS LÄN</t>
        </is>
      </c>
      <c r="G205" t="inlineStr">
        <is>
          <t>YDRE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46324</v>
      </c>
      <c r="F206" t="inlineStr">
        <is>
          <t>ÖSTERGÖTLANDS LÄN</t>
        </is>
      </c>
      <c r="G206" t="inlineStr">
        <is>
          <t>YDRE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45414</v>
      </c>
      <c r="E207" s="1" t="n">
        <v>46324</v>
      </c>
      <c r="F207" t="inlineStr">
        <is>
          <t>ÖSTERGÖTLANDS LÄN</t>
        </is>
      </c>
      <c r="G207" t="inlineStr">
        <is>
          <t>YDRE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44980</v>
      </c>
      <c r="E208" s="1" t="n">
        <v>46324</v>
      </c>
      <c r="F208" t="inlineStr">
        <is>
          <t>ÖSTERGÖTLANDS LÄN</t>
        </is>
      </c>
      <c r="G208" t="inlineStr">
        <is>
          <t>YDRE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44908</v>
      </c>
      <c r="E209" s="1" t="n">
        <v>46324</v>
      </c>
      <c r="F209" t="inlineStr">
        <is>
          <t>ÖSTERGÖTLANDS LÄN</t>
        </is>
      </c>
      <c r="G209" t="inlineStr">
        <is>
          <t>YDRE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45634</v>
      </c>
      <c r="E210" s="1" t="n">
        <v>46324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8088-2025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45707</v>
      </c>
      <c r="E211" s="1" t="n">
        <v>46324</v>
      </c>
      <c r="F211" t="inlineStr">
        <is>
          <t>ÖSTERGÖTLANDS LÄN</t>
        </is>
      </c>
      <c r="G211" t="inlineStr">
        <is>
          <t>YDRE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46324</v>
      </c>
      <c r="F212" t="inlineStr">
        <is>
          <t>ÖSTERGÖTLANDS LÄN</t>
        </is>
      </c>
      <c r="G212" t="inlineStr">
        <is>
          <t>YDRE</t>
        </is>
      </c>
      <c r="H212" t="inlineStr">
        <is>
          <t>Övriga Aktiebolag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45355</v>
      </c>
      <c r="E213" s="1" t="n">
        <v>46324</v>
      </c>
      <c r="F213" t="inlineStr">
        <is>
          <t>ÖSTERGÖTLANDS LÄN</t>
        </is>
      </c>
      <c r="G213" t="inlineStr">
        <is>
          <t>YDRE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45355</v>
      </c>
      <c r="E214" s="1" t="n">
        <v>46324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50979-2023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45218</v>
      </c>
      <c r="E215" s="1" t="n">
        <v>46324</v>
      </c>
      <c r="F215" t="inlineStr">
        <is>
          <t>ÖSTERGÖTLANDS LÄN</t>
        </is>
      </c>
      <c r="G215" t="inlineStr">
        <is>
          <t>YDRE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26603-2026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46324</v>
      </c>
      <c r="F216" t="inlineStr">
        <is>
          <t>ÖSTERGÖTLANDS LÄN</t>
        </is>
      </c>
      <c r="G216" t="inlineStr">
        <is>
          <t>YDRE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46045</v>
      </c>
      <c r="E217" s="1" t="n">
        <v>46324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46324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34932-2022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44796</v>
      </c>
      <c r="E219" s="1" t="n">
        <v>46324</v>
      </c>
      <c r="F219" t="inlineStr">
        <is>
          <t>ÖSTERGÖTLANDS LÄN</t>
        </is>
      </c>
      <c r="G219" t="inlineStr">
        <is>
          <t>YDRE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45414</v>
      </c>
      <c r="E220" s="1" t="n">
        <v>46324</v>
      </c>
      <c r="F220" t="inlineStr">
        <is>
          <t>ÖSTERGÖTLANDS LÄN</t>
        </is>
      </c>
      <c r="G220" t="inlineStr">
        <is>
          <t>YDRE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6293-2026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46055</v>
      </c>
      <c r="E221" s="1" t="n">
        <v>46324</v>
      </c>
      <c r="F221" t="inlineStr">
        <is>
          <t>ÖSTERGÖTLANDS LÄN</t>
        </is>
      </c>
      <c r="G221" t="inlineStr">
        <is>
          <t>YDRE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14184-2022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44651</v>
      </c>
      <c r="E222" s="1" t="n">
        <v>46324</v>
      </c>
      <c r="F222" t="inlineStr">
        <is>
          <t>ÖSTERGÖTLANDS LÄN</t>
        </is>
      </c>
      <c r="G222" t="inlineStr">
        <is>
          <t>YDRE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45665</v>
      </c>
      <c r="E223" s="1" t="n">
        <v>46324</v>
      </c>
      <c r="F223" t="inlineStr">
        <is>
          <t>ÖSTERGÖTLANDS LÄN</t>
        </is>
      </c>
      <c r="G223" t="inlineStr">
        <is>
          <t>YDRE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45395-2022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44844</v>
      </c>
      <c r="E224" s="1" t="n">
        <v>46324</v>
      </c>
      <c r="F224" t="inlineStr">
        <is>
          <t>ÖSTERGÖTLANDS LÄN</t>
        </is>
      </c>
      <c r="G224" t="inlineStr">
        <is>
          <t>YDRE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45666</v>
      </c>
      <c r="E225" s="1" t="n">
        <v>46324</v>
      </c>
      <c r="F225" t="inlineStr">
        <is>
          <t>ÖSTERGÖTLANDS LÄN</t>
        </is>
      </c>
      <c r="G225" t="inlineStr">
        <is>
          <t>YDRE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45257</v>
      </c>
      <c r="E226" s="1" t="n">
        <v>46324</v>
      </c>
      <c r="F226" t="inlineStr">
        <is>
          <t>ÖSTERGÖTLANDS LÄN</t>
        </is>
      </c>
      <c r="G226" t="inlineStr">
        <is>
          <t>YDRE</t>
        </is>
      </c>
      <c r="I226" t="n">
        <v>17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45698</v>
      </c>
      <c r="E227" s="1" t="n">
        <v>46324</v>
      </c>
      <c r="F227" t="inlineStr">
        <is>
          <t>ÖSTERGÖTLANDS LÄN</t>
        </is>
      </c>
      <c r="G227" t="inlineStr">
        <is>
          <t>YDRE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44903</v>
      </c>
      <c r="E228" s="1" t="n">
        <v>46324</v>
      </c>
      <c r="F228" t="inlineStr">
        <is>
          <t>ÖSTERGÖTLANDS LÄN</t>
        </is>
      </c>
      <c r="G228" t="inlineStr">
        <is>
          <t>YDRE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27700-2026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46190</v>
      </c>
      <c r="E229" s="1" t="n">
        <v>46324</v>
      </c>
      <c r="F229" t="inlineStr">
        <is>
          <t>ÖSTERGÖTLANDS LÄN</t>
        </is>
      </c>
      <c r="G229" t="inlineStr">
        <is>
          <t>YDRE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46324</v>
      </c>
      <c r="F230" t="inlineStr">
        <is>
          <t>ÖSTERGÖTLANDS LÄN</t>
        </is>
      </c>
      <c r="G230" t="inlineStr">
        <is>
          <t>YDRE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37568-2023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46324</v>
      </c>
      <c r="F231" t="inlineStr">
        <is>
          <t>ÖSTERGÖTLANDS LÄN</t>
        </is>
      </c>
      <c r="G231" t="inlineStr">
        <is>
          <t>YDRE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7619-2026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46324</v>
      </c>
      <c r="F232" t="inlineStr">
        <is>
          <t>ÖSTERGÖTLANDS LÄN</t>
        </is>
      </c>
      <c r="G232" t="inlineStr">
        <is>
          <t>YDRE</t>
        </is>
      </c>
      <c r="H232" t="inlineStr">
        <is>
          <t>Övriga Aktiebolag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40988-2024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45558</v>
      </c>
      <c r="E233" s="1" t="n">
        <v>46324</v>
      </c>
      <c r="F233" t="inlineStr">
        <is>
          <t>ÖSTERGÖTLANDS LÄN</t>
        </is>
      </c>
      <c r="G233" t="inlineStr">
        <is>
          <t>YDRE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27874-2026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46191</v>
      </c>
      <c r="E234" s="1" t="n">
        <v>46324</v>
      </c>
      <c r="F234" t="inlineStr">
        <is>
          <t>ÖSTERGÖTLANDS LÄN</t>
        </is>
      </c>
      <c r="G234" t="inlineStr">
        <is>
          <t>YDRE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46324</v>
      </c>
      <c r="F235" t="inlineStr">
        <is>
          <t>ÖSTERGÖTLANDS LÄN</t>
        </is>
      </c>
      <c r="G235" t="inlineStr">
        <is>
          <t>YDRE</t>
        </is>
      </c>
      <c r="H235" t="inlineStr">
        <is>
          <t>Övriga Aktiebolag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46324</v>
      </c>
      <c r="F236" t="inlineStr">
        <is>
          <t>ÖSTERGÖTLANDS LÄN</t>
        </is>
      </c>
      <c r="G236" t="inlineStr">
        <is>
          <t>YDRE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45231</v>
      </c>
      <c r="E237" s="1" t="n">
        <v>46324</v>
      </c>
      <c r="F237" t="inlineStr">
        <is>
          <t>ÖSTERGÖTLANDS LÄN</t>
        </is>
      </c>
      <c r="G237" t="inlineStr">
        <is>
          <t>YDRE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45054</v>
      </c>
      <c r="E238" s="1" t="n">
        <v>46324</v>
      </c>
      <c r="F238" t="inlineStr">
        <is>
          <t>ÖSTERGÖTLANDS LÄN</t>
        </is>
      </c>
      <c r="G238" t="inlineStr">
        <is>
          <t>YDRE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9409-2026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46324</v>
      </c>
      <c r="F239" t="inlineStr">
        <is>
          <t>ÖSTERGÖTLANDS LÄN</t>
        </is>
      </c>
      <c r="G239" t="inlineStr">
        <is>
          <t>YDRE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46324</v>
      </c>
      <c r="F240" t="inlineStr">
        <is>
          <t>ÖSTERGÖTLANDS LÄN</t>
        </is>
      </c>
      <c r="G240" t="inlineStr">
        <is>
          <t>YDRE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45273</v>
      </c>
      <c r="E241" s="1" t="n">
        <v>46324</v>
      </c>
      <c r="F241" t="inlineStr">
        <is>
          <t>ÖSTERGÖTLANDS LÄN</t>
        </is>
      </c>
      <c r="G241" t="inlineStr">
        <is>
          <t>YDRE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45692</v>
      </c>
      <c r="E242" s="1" t="n">
        <v>46324</v>
      </c>
      <c r="F242" t="inlineStr">
        <is>
          <t>ÖSTERGÖTLANDS LÄN</t>
        </is>
      </c>
      <c r="G242" t="inlineStr">
        <is>
          <t>YDRE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16289-2022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44670</v>
      </c>
      <c r="E243" s="1" t="n">
        <v>46324</v>
      </c>
      <c r="F243" t="inlineStr">
        <is>
          <t>ÖSTERGÖTLANDS LÄN</t>
        </is>
      </c>
      <c r="G243" t="inlineStr">
        <is>
          <t>YDRE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44953</v>
      </c>
      <c r="E244" s="1" t="n">
        <v>46324</v>
      </c>
      <c r="F244" t="inlineStr">
        <is>
          <t>ÖSTERGÖTLANDS LÄN</t>
        </is>
      </c>
      <c r="G244" t="inlineStr">
        <is>
          <t>YDRE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45208</v>
      </c>
      <c r="E245" s="1" t="n">
        <v>46324</v>
      </c>
      <c r="F245" t="inlineStr">
        <is>
          <t>ÖSTERGÖTLANDS LÄN</t>
        </is>
      </c>
      <c r="G245" t="inlineStr">
        <is>
          <t>YDRE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14101-2022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44651</v>
      </c>
      <c r="E246" s="1" t="n">
        <v>46324</v>
      </c>
      <c r="F246" t="inlineStr">
        <is>
          <t>ÖSTERGÖTLANDS LÄN</t>
        </is>
      </c>
      <c r="G246" t="inlineStr">
        <is>
          <t>YDRE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44592</v>
      </c>
      <c r="E247" s="1" t="n">
        <v>46324</v>
      </c>
      <c r="F247" t="inlineStr">
        <is>
          <t>ÖSTERGÖTLANDS LÄN</t>
        </is>
      </c>
      <c r="G247" t="inlineStr">
        <is>
          <t>YDRE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45671</v>
      </c>
      <c r="E248" s="1" t="n">
        <v>46324</v>
      </c>
      <c r="F248" t="inlineStr">
        <is>
          <t>ÖSTERGÖTLANDS LÄN</t>
        </is>
      </c>
      <c r="G248" t="inlineStr">
        <is>
          <t>YDRE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46324</v>
      </c>
      <c r="F249" t="inlineStr">
        <is>
          <t>ÖSTERGÖTLANDS LÄN</t>
        </is>
      </c>
      <c r="G249" t="inlineStr">
        <is>
          <t>YDRE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46202</v>
      </c>
      <c r="E250" s="1" t="n">
        <v>46324</v>
      </c>
      <c r="F250" t="inlineStr">
        <is>
          <t>ÖSTERGÖTLANDS LÄN</t>
        </is>
      </c>
      <c r="G250" t="inlineStr">
        <is>
          <t>YDRE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46324</v>
      </c>
      <c r="F251" t="inlineStr">
        <is>
          <t>ÖSTERGÖTLANDS LÄN</t>
        </is>
      </c>
      <c r="G251" t="inlineStr">
        <is>
          <t>YDRE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46202</v>
      </c>
      <c r="E252" s="1" t="n">
        <v>46324</v>
      </c>
      <c r="F252" t="inlineStr">
        <is>
          <t>ÖSTERGÖTLANDS LÄN</t>
        </is>
      </c>
      <c r="G252" t="inlineStr">
        <is>
          <t>YDRE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29148-2026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46324</v>
      </c>
      <c r="F253" t="inlineStr">
        <is>
          <t>ÖSTERGÖTLANDS LÄN</t>
        </is>
      </c>
      <c r="G253" t="inlineStr">
        <is>
          <t>YDRE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29284-2026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46202</v>
      </c>
      <c r="E254" s="1" t="n">
        <v>46324</v>
      </c>
      <c r="F254" t="inlineStr">
        <is>
          <t>ÖSTERGÖTLANDS LÄN</t>
        </is>
      </c>
      <c r="G254" t="inlineStr">
        <is>
          <t>YDRE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46324</v>
      </c>
      <c r="F255" t="inlineStr">
        <is>
          <t>ÖSTERGÖTLANDS LÄN</t>
        </is>
      </c>
      <c r="G255" t="inlineStr">
        <is>
          <t>YDRE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46324</v>
      </c>
      <c r="F256" t="inlineStr">
        <is>
          <t>ÖSTERGÖTLANDS LÄN</t>
        </is>
      </c>
      <c r="G256" t="inlineStr">
        <is>
          <t>YDRE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45596</v>
      </c>
      <c r="E257" s="1" t="n">
        <v>46324</v>
      </c>
      <c r="F257" t="inlineStr">
        <is>
          <t>ÖSTERGÖTLANDS LÄN</t>
        </is>
      </c>
      <c r="G257" t="inlineStr">
        <is>
          <t>YDRE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46324</v>
      </c>
      <c r="F258" t="inlineStr">
        <is>
          <t>ÖSTERGÖTLANDS LÄN</t>
        </is>
      </c>
      <c r="G258" t="inlineStr">
        <is>
          <t>YDRE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46324</v>
      </c>
      <c r="F259" t="inlineStr">
        <is>
          <t>ÖSTERGÖTLANDS LÄN</t>
        </is>
      </c>
      <c r="G259" t="inlineStr">
        <is>
          <t>YDRE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46324</v>
      </c>
      <c r="F260" t="inlineStr">
        <is>
          <t>ÖSTERGÖTLANDS LÄN</t>
        </is>
      </c>
      <c r="G260" t="inlineStr">
        <is>
          <t>YDRE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46324</v>
      </c>
      <c r="F261" t="inlineStr">
        <is>
          <t>ÖSTERGÖTLANDS LÄN</t>
        </is>
      </c>
      <c r="G261" t="inlineStr">
        <is>
          <t>YDRE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45261</v>
      </c>
      <c r="E262" s="1" t="n">
        <v>46324</v>
      </c>
      <c r="F262" t="inlineStr">
        <is>
          <t>ÖSTERGÖTLANDS LÄN</t>
        </is>
      </c>
      <c r="G262" t="inlineStr">
        <is>
          <t>YDRE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46324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45748</v>
      </c>
      <c r="E264" s="1" t="n">
        <v>46324</v>
      </c>
      <c r="F264" t="inlineStr">
        <is>
          <t>ÖSTERGÖTLANDS LÄN</t>
        </is>
      </c>
      <c r="G264" t="inlineStr">
        <is>
          <t>YDRE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61205-2023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45264</v>
      </c>
      <c r="E265" s="1" t="n">
        <v>46324</v>
      </c>
      <c r="F265" t="inlineStr">
        <is>
          <t>ÖSTERGÖTLANDS LÄN</t>
        </is>
      </c>
      <c r="G265" t="inlineStr">
        <is>
          <t>YDRE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14143-2026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46099</v>
      </c>
      <c r="E266" s="1" t="n">
        <v>46324</v>
      </c>
      <c r="F266" t="inlineStr">
        <is>
          <t>ÖSTERGÖTLANDS LÄN</t>
        </is>
      </c>
      <c r="G266" t="inlineStr">
        <is>
          <t>YDRE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46101</v>
      </c>
      <c r="E267" s="1" t="n">
        <v>46324</v>
      </c>
      <c r="F267" t="inlineStr">
        <is>
          <t>ÖSTERGÖTLANDS LÄN</t>
        </is>
      </c>
      <c r="G267" t="inlineStr">
        <is>
          <t>YDRE</t>
        </is>
      </c>
      <c r="I267" t="n">
        <v>9.9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46101</v>
      </c>
      <c r="E268" s="1" t="n">
        <v>46324</v>
      </c>
      <c r="F268" t="inlineStr">
        <is>
          <t>ÖSTERGÖTLANDS LÄN</t>
        </is>
      </c>
      <c r="G268" t="inlineStr">
        <is>
          <t>YDRE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46324</v>
      </c>
      <c r="F269" t="inlineStr">
        <is>
          <t>ÖSTERGÖTLANDS LÄN</t>
        </is>
      </c>
      <c r="G269" t="inlineStr">
        <is>
          <t>YDRE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30554-2024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45492</v>
      </c>
      <c r="E270" s="1" t="n">
        <v>46324</v>
      </c>
      <c r="F270" t="inlineStr">
        <is>
          <t>ÖSTERGÖTLANDS LÄN</t>
        </is>
      </c>
      <c r="G270" t="inlineStr">
        <is>
          <t>YDRE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45419</v>
      </c>
      <c r="E271" s="1" t="n">
        <v>46324</v>
      </c>
      <c r="F271" t="inlineStr">
        <is>
          <t>ÖSTERGÖTLANDS LÄN</t>
        </is>
      </c>
      <c r="G271" t="inlineStr">
        <is>
          <t>YDRE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45468</v>
      </c>
      <c r="E272" s="1" t="n">
        <v>46324</v>
      </c>
      <c r="F272" t="inlineStr">
        <is>
          <t>ÖSTERGÖTLANDS LÄN</t>
        </is>
      </c>
      <c r="G272" t="inlineStr">
        <is>
          <t>YDRE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46324</v>
      </c>
      <c r="F273" t="inlineStr">
        <is>
          <t>ÖSTERGÖTLANDS LÄN</t>
        </is>
      </c>
      <c r="G273" t="inlineStr">
        <is>
          <t>YDRE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46116</v>
      </c>
      <c r="E274" s="1" t="n">
        <v>46324</v>
      </c>
      <c r="F274" t="inlineStr">
        <is>
          <t>ÖSTERGÖTLANDS LÄN</t>
        </is>
      </c>
      <c r="G274" t="inlineStr">
        <is>
          <t>YDRE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46324</v>
      </c>
      <c r="F275" t="inlineStr">
        <is>
          <t>ÖSTERGÖTLANDS LÄN</t>
        </is>
      </c>
      <c r="G275" t="inlineStr">
        <is>
          <t>YDRE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46119</v>
      </c>
      <c r="E276" s="1" t="n">
        <v>46324</v>
      </c>
      <c r="F276" t="inlineStr">
        <is>
          <t>ÖSTERGÖTLANDS LÄN</t>
        </is>
      </c>
      <c r="G276" t="inlineStr">
        <is>
          <t>YDRE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46324</v>
      </c>
      <c r="F277" t="inlineStr">
        <is>
          <t>ÖSTERGÖTLANDS LÄN</t>
        </is>
      </c>
      <c r="G277" t="inlineStr">
        <is>
          <t>YDRE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46324</v>
      </c>
      <c r="F278" t="inlineStr">
        <is>
          <t>ÖSTERGÖTLANDS LÄN</t>
        </is>
      </c>
      <c r="G278" t="inlineStr">
        <is>
          <t>YDRE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46324</v>
      </c>
      <c r="F279" t="inlineStr">
        <is>
          <t>ÖSTERGÖTLANDS LÄN</t>
        </is>
      </c>
      <c r="G279" t="inlineStr">
        <is>
          <t>YDRE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46324</v>
      </c>
      <c r="F280" t="inlineStr">
        <is>
          <t>ÖSTERGÖTLANDS LÄN</t>
        </is>
      </c>
      <c r="G280" t="inlineStr">
        <is>
          <t>YDRE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46324</v>
      </c>
      <c r="F281" t="inlineStr">
        <is>
          <t>ÖSTERGÖTLANDS LÄN</t>
        </is>
      </c>
      <c r="G281" t="inlineStr">
        <is>
          <t>YDRE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45714</v>
      </c>
      <c r="E282" s="1" t="n">
        <v>46324</v>
      </c>
      <c r="F282" t="inlineStr">
        <is>
          <t>ÖSTERGÖTLANDS LÄN</t>
        </is>
      </c>
      <c r="G282" t="inlineStr">
        <is>
          <t>YDRE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45666</v>
      </c>
      <c r="E283" s="1" t="n">
        <v>46324</v>
      </c>
      <c r="F283" t="inlineStr">
        <is>
          <t>ÖSTERGÖTLANDS LÄN</t>
        </is>
      </c>
      <c r="G283" t="inlineStr">
        <is>
          <t>YDRE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46324</v>
      </c>
      <c r="F284" t="inlineStr">
        <is>
          <t>ÖSTERGÖTLANDS LÄN</t>
        </is>
      </c>
      <c r="G284" t="inlineStr">
        <is>
          <t>YDRE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46324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18.2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45475</v>
      </c>
      <c r="E286" s="1" t="n">
        <v>46324</v>
      </c>
      <c r="F286" t="inlineStr">
        <is>
          <t>ÖSTERGÖTLANDS LÄN</t>
        </is>
      </c>
      <c r="G286" t="inlineStr">
        <is>
          <t>YDRE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10414-2024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46324</v>
      </c>
      <c r="F287" t="inlineStr">
        <is>
          <t>ÖSTERGÖTLANDS LÄN</t>
        </is>
      </c>
      <c r="G287" t="inlineStr">
        <is>
          <t>YDRE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27798-2024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45475</v>
      </c>
      <c r="E288" s="1" t="n">
        <v>46324</v>
      </c>
      <c r="F288" t="inlineStr">
        <is>
          <t>ÖSTERGÖTLANDS LÄN</t>
        </is>
      </c>
      <c r="G288" t="inlineStr">
        <is>
          <t>YDRE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45278</v>
      </c>
      <c r="E289" s="1" t="n">
        <v>46324</v>
      </c>
      <c r="F289" t="inlineStr">
        <is>
          <t>ÖSTERGÖTLANDS LÄN</t>
        </is>
      </c>
      <c r="G289" t="inlineStr">
        <is>
          <t>YDRE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46283</v>
      </c>
      <c r="E290" s="1" t="n">
        <v>46324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46324</v>
      </c>
      <c r="F291" t="inlineStr">
        <is>
          <t>ÖSTERGÖTLANDS LÄN</t>
        </is>
      </c>
      <c r="G291" t="inlineStr">
        <is>
          <t>YDRE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30535-2025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46324</v>
      </c>
      <c r="F292" t="inlineStr">
        <is>
          <t>ÖSTERGÖTLANDS LÄN</t>
        </is>
      </c>
      <c r="G292" t="inlineStr">
        <is>
          <t>YDRE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46282</v>
      </c>
      <c r="E293" s="1" t="n">
        <v>46324</v>
      </c>
      <c r="F293" t="inlineStr">
        <is>
          <t>ÖSTERGÖTLANDS LÄN</t>
        </is>
      </c>
      <c r="G293" t="inlineStr">
        <is>
          <t>YDRE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46240</v>
      </c>
      <c r="E294" s="1" t="n">
        <v>46324</v>
      </c>
      <c r="F294" t="inlineStr">
        <is>
          <t>ÖSTERGÖTLANDS LÄN</t>
        </is>
      </c>
      <c r="G294" t="inlineStr">
        <is>
          <t>YDRE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38606-2026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46283</v>
      </c>
      <c r="E295" s="1" t="n">
        <v>46324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46283</v>
      </c>
      <c r="E296" s="1" t="n">
        <v>46324</v>
      </c>
      <c r="F296" t="inlineStr">
        <is>
          <t>ÖSTERGÖTLANDS LÄN</t>
        </is>
      </c>
      <c r="G296" t="inlineStr">
        <is>
          <t>YDRE</t>
        </is>
      </c>
      <c r="H296" t="inlineStr">
        <is>
          <t>Sveaskog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46283</v>
      </c>
      <c r="E297" s="1" t="n">
        <v>46324</v>
      </c>
      <c r="F297" t="inlineStr">
        <is>
          <t>ÖSTERGÖTLANDS LÄN</t>
        </is>
      </c>
      <c r="G297" t="inlineStr">
        <is>
          <t>YDRE</t>
        </is>
      </c>
      <c r="H297" t="inlineStr">
        <is>
          <t>Sveaskog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46282</v>
      </c>
      <c r="E298" s="1" t="n">
        <v>46324</v>
      </c>
      <c r="F298" t="inlineStr">
        <is>
          <t>ÖSTERGÖTLANDS LÄN</t>
        </is>
      </c>
      <c r="G298" t="inlineStr">
        <is>
          <t>YDRE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46240</v>
      </c>
      <c r="E299" s="1" t="n">
        <v>46324</v>
      </c>
      <c r="F299" t="inlineStr">
        <is>
          <t>ÖSTERGÖTLANDS LÄN</t>
        </is>
      </c>
      <c r="G299" t="inlineStr">
        <is>
          <t>YDRE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45916</v>
      </c>
      <c r="E300" s="1" t="n">
        <v>46324</v>
      </c>
      <c r="F300" t="inlineStr">
        <is>
          <t>ÖSTERGÖTLANDS LÄN</t>
        </is>
      </c>
      <c r="G300" t="inlineStr">
        <is>
          <t>YDRE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46282</v>
      </c>
      <c r="E301" s="1" t="n">
        <v>46324</v>
      </c>
      <c r="F301" t="inlineStr">
        <is>
          <t>ÖSTERGÖTLANDS LÄN</t>
        </is>
      </c>
      <c r="G301" t="inlineStr">
        <is>
          <t>YDRE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46324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38478-2026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46282</v>
      </c>
      <c r="E303" s="1" t="n">
        <v>46324</v>
      </c>
      <c r="F303" t="inlineStr">
        <is>
          <t>ÖSTERGÖTLANDS LÄN</t>
        </is>
      </c>
      <c r="G303" t="inlineStr">
        <is>
          <t>YDRE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46324</v>
      </c>
      <c r="F304" t="inlineStr">
        <is>
          <t>ÖSTERGÖTLANDS LÄN</t>
        </is>
      </c>
      <c r="G304" t="inlineStr">
        <is>
          <t>YDRE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38603-2026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46283</v>
      </c>
      <c r="E305" s="1" t="n">
        <v>46324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45236</v>
      </c>
      <c r="E306" s="1" t="n">
        <v>46324</v>
      </c>
      <c r="F306" t="inlineStr">
        <is>
          <t>ÖSTERGÖTLANDS LÄN</t>
        </is>
      </c>
      <c r="G306" t="inlineStr">
        <is>
          <t>YDRE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54047-2024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45616</v>
      </c>
      <c r="E307" s="1" t="n">
        <v>46324</v>
      </c>
      <c r="F307" t="inlineStr">
        <is>
          <t>ÖSTERGÖTLANDS LÄN</t>
        </is>
      </c>
      <c r="G307" t="inlineStr">
        <is>
          <t>YDRE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46324</v>
      </c>
      <c r="F308" t="inlineStr">
        <is>
          <t>ÖSTERGÖTLANDS LÄN</t>
        </is>
      </c>
      <c r="G308" t="inlineStr">
        <is>
          <t>YDRE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46286</v>
      </c>
      <c r="E309" s="1" t="n">
        <v>46324</v>
      </c>
      <c r="F309" t="inlineStr">
        <is>
          <t>ÖSTERGÖTLANDS LÄN</t>
        </is>
      </c>
      <c r="G309" t="inlineStr">
        <is>
          <t>YDRE</t>
        </is>
      </c>
      <c r="H309" t="inlineStr">
        <is>
          <t>Sveaskog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43335-2025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45910</v>
      </c>
      <c r="E310" s="1" t="n">
        <v>46324</v>
      </c>
      <c r="F310" t="inlineStr">
        <is>
          <t>ÖSTERGÖTLANDS LÄN</t>
        </is>
      </c>
      <c r="G310" t="inlineStr">
        <is>
          <t>YDRE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29127-2023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45105</v>
      </c>
      <c r="E311" s="1" t="n">
        <v>46324</v>
      </c>
      <c r="F311" t="inlineStr">
        <is>
          <t>ÖSTERGÖTLANDS LÄN</t>
        </is>
      </c>
      <c r="G311" t="inlineStr">
        <is>
          <t>YDRE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62815-2021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44504</v>
      </c>
      <c r="E312" s="1" t="n">
        <v>46324</v>
      </c>
      <c r="F312" t="inlineStr">
        <is>
          <t>ÖSTERGÖTLANDS LÄN</t>
        </is>
      </c>
      <c r="G312" t="inlineStr">
        <is>
          <t>YDRE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45000</v>
      </c>
      <c r="E313" s="1" t="n">
        <v>46324</v>
      </c>
      <c r="F313" t="inlineStr">
        <is>
          <t>ÖSTERGÖTLANDS LÄN</t>
        </is>
      </c>
      <c r="G313" t="inlineStr">
        <is>
          <t>YDRE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46324</v>
      </c>
      <c r="F314" t="inlineStr">
        <is>
          <t>ÖSTERGÖTLANDS LÄN</t>
        </is>
      </c>
      <c r="G314" t="inlineStr">
        <is>
          <t>YDRE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45355</v>
      </c>
      <c r="E315" s="1" t="n">
        <v>46324</v>
      </c>
      <c r="F315" t="inlineStr">
        <is>
          <t>ÖSTERGÖTLANDS LÄN</t>
        </is>
      </c>
      <c r="G315" t="inlineStr">
        <is>
          <t>YDRE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17309-2024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45414</v>
      </c>
      <c r="E316" s="1" t="n">
        <v>46324</v>
      </c>
      <c r="F316" t="inlineStr">
        <is>
          <t>ÖSTERGÖTLANDS LÄN</t>
        </is>
      </c>
      <c r="G316" t="inlineStr">
        <is>
          <t>YDRE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45871</v>
      </c>
      <c r="E317" s="1" t="n">
        <v>46324</v>
      </c>
      <c r="F317" t="inlineStr">
        <is>
          <t>ÖSTERGÖTLANDS LÄN</t>
        </is>
      </c>
      <c r="G317" t="inlineStr">
        <is>
          <t>YDRE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46324</v>
      </c>
      <c r="F318" t="inlineStr">
        <is>
          <t>ÖSTERGÖTLANDS LÄN</t>
        </is>
      </c>
      <c r="G318" t="inlineStr">
        <is>
          <t>YDRE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45793</v>
      </c>
      <c r="E319" s="1" t="n">
        <v>46324</v>
      </c>
      <c r="F319" t="inlineStr">
        <is>
          <t>ÖSTERGÖTLANDS LÄN</t>
        </is>
      </c>
      <c r="G319" t="inlineStr">
        <is>
          <t>YDRE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46324</v>
      </c>
      <c r="F320" t="inlineStr">
        <is>
          <t>ÖSTERGÖTLANDS LÄN</t>
        </is>
      </c>
      <c r="G320" t="inlineStr">
        <is>
          <t>YDRE</t>
        </is>
      </c>
      <c r="H320" t="inlineStr">
        <is>
          <t>Sveaskog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40692-2023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45170</v>
      </c>
      <c r="E321" s="1" t="n">
        <v>46324</v>
      </c>
      <c r="F321" t="inlineStr">
        <is>
          <t>ÖSTERGÖTLANDS LÄN</t>
        </is>
      </c>
      <c r="G321" t="inlineStr">
        <is>
          <t>YDRE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45170</v>
      </c>
      <c r="E322" s="1" t="n">
        <v>46324</v>
      </c>
      <c r="F322" t="inlineStr">
        <is>
          <t>ÖSTERGÖTLANDS LÄN</t>
        </is>
      </c>
      <c r="G322" t="inlineStr">
        <is>
          <t>YDRE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45841</v>
      </c>
      <c r="E323" s="1" t="n">
        <v>46324</v>
      </c>
      <c r="F323" t="inlineStr">
        <is>
          <t>ÖSTERGÖTLANDS LÄN</t>
        </is>
      </c>
      <c r="G323" t="inlineStr">
        <is>
          <t>YDRE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46290</v>
      </c>
      <c r="E324" s="1" t="n">
        <v>46324</v>
      </c>
      <c r="F324" t="inlineStr">
        <is>
          <t>ÖSTERGÖTLANDS LÄN</t>
        </is>
      </c>
      <c r="G324" t="inlineStr">
        <is>
          <t>YDRE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46324</v>
      </c>
      <c r="F325" t="inlineStr">
        <is>
          <t>ÖSTERGÖTLANDS LÄN</t>
        </is>
      </c>
      <c r="G325" t="inlineStr">
        <is>
          <t>YDRE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45831</v>
      </c>
      <c r="E326" s="1" t="n">
        <v>46324</v>
      </c>
      <c r="F326" t="inlineStr">
        <is>
          <t>ÖSTERGÖTLANDS LÄN</t>
        </is>
      </c>
      <c r="G326" t="inlineStr">
        <is>
          <t>YDRE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46290</v>
      </c>
      <c r="E327" s="1" t="n">
        <v>46324</v>
      </c>
      <c r="F327" t="inlineStr">
        <is>
          <t>ÖSTERGÖTLANDS LÄN</t>
        </is>
      </c>
      <c r="G327" t="inlineStr">
        <is>
          <t>YDRE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62485-2021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44503</v>
      </c>
      <c r="E328" s="1" t="n">
        <v>46324</v>
      </c>
      <c r="F328" t="inlineStr">
        <is>
          <t>ÖSTERGÖTLANDS LÄN</t>
        </is>
      </c>
      <c r="G328" t="inlineStr">
        <is>
          <t>YDRE</t>
        </is>
      </c>
      <c r="H328" t="inlineStr">
        <is>
          <t>Sveaskog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46324</v>
      </c>
      <c r="F329" t="inlineStr">
        <is>
          <t>ÖSTERGÖTLANDS LÄN</t>
        </is>
      </c>
      <c r="G329" t="inlineStr">
        <is>
          <t>YDRE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42343-2022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44831</v>
      </c>
      <c r="E330" s="1" t="n">
        <v>46324</v>
      </c>
      <c r="F330" t="inlineStr">
        <is>
          <t>ÖSTERGÖTLANDS LÄN</t>
        </is>
      </c>
      <c r="G330" t="inlineStr">
        <is>
          <t>YDRE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27737-2022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44743</v>
      </c>
      <c r="E331" s="1" t="n">
        <v>46324</v>
      </c>
      <c r="F331" t="inlineStr">
        <is>
          <t>ÖSTERGÖTLANDS LÄN</t>
        </is>
      </c>
      <c r="G331" t="inlineStr">
        <is>
          <t>YDRE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28991-2022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46324</v>
      </c>
      <c r="F332" t="inlineStr">
        <is>
          <t>ÖSTERGÖTLANDS LÄN</t>
        </is>
      </c>
      <c r="G332" t="inlineStr">
        <is>
          <t>YDRE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20158-2024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45434</v>
      </c>
      <c r="E333" s="1" t="n">
        <v>46324</v>
      </c>
      <c r="F333" t="inlineStr">
        <is>
          <t>ÖSTERGÖTLANDS LÄN</t>
        </is>
      </c>
      <c r="G333" t="inlineStr">
        <is>
          <t>YDRE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45218</v>
      </c>
      <c r="E334" s="1" t="n">
        <v>46324</v>
      </c>
      <c r="F334" t="inlineStr">
        <is>
          <t>ÖSTERGÖTLANDS LÄN</t>
        </is>
      </c>
      <c r="G334" t="inlineStr">
        <is>
          <t>YDRE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45510</v>
      </c>
      <c r="E335" s="1" t="n">
        <v>46324</v>
      </c>
      <c r="F335" t="inlineStr">
        <is>
          <t>ÖSTERGÖTLANDS LÄN</t>
        </is>
      </c>
      <c r="G335" t="inlineStr">
        <is>
          <t>YDRE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52074-2023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45216</v>
      </c>
      <c r="E336" s="1" t="n">
        <v>46324</v>
      </c>
      <c r="F336" t="inlineStr">
        <is>
          <t>ÖSTERGÖTLANDS LÄN</t>
        </is>
      </c>
      <c r="G336" t="inlineStr">
        <is>
          <t>YDRE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52076-2023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45216</v>
      </c>
      <c r="E337" s="1" t="n">
        <v>46324</v>
      </c>
      <c r="F337" t="inlineStr">
        <is>
          <t>ÖSTERGÖTLANDS LÄN</t>
        </is>
      </c>
      <c r="G337" t="inlineStr">
        <is>
          <t>YDRE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45194</v>
      </c>
      <c r="E338" s="1" t="n">
        <v>46324</v>
      </c>
      <c r="F338" t="inlineStr">
        <is>
          <t>ÖSTERGÖTLANDS LÄN</t>
        </is>
      </c>
      <c r="G338" t="inlineStr">
        <is>
          <t>YDRE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45666</v>
      </c>
      <c r="E339" s="1" t="n">
        <v>46324</v>
      </c>
      <c r="F339" t="inlineStr">
        <is>
          <t>ÖSTERGÖTLANDS LÄN</t>
        </is>
      </c>
      <c r="G339" t="inlineStr">
        <is>
          <t>YDRE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32050-2023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45119</v>
      </c>
      <c r="E340" s="1" t="n">
        <v>46324</v>
      </c>
      <c r="F340" t="inlineStr">
        <is>
          <t>ÖSTERGÖTLANDS LÄN</t>
        </is>
      </c>
      <c r="G340" t="inlineStr">
        <is>
          <t>YDRE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46324</v>
      </c>
      <c r="F341" t="inlineStr">
        <is>
          <t>ÖSTERGÖTLANDS LÄN</t>
        </is>
      </c>
      <c r="G341" t="inlineStr">
        <is>
          <t>YDRE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46324</v>
      </c>
      <c r="F342" t="inlineStr">
        <is>
          <t>ÖSTERGÖTLANDS LÄN</t>
        </is>
      </c>
      <c r="G342" t="inlineStr">
        <is>
          <t>YDRE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46097</v>
      </c>
      <c r="E343" s="1" t="n">
        <v>46324</v>
      </c>
      <c r="F343" t="inlineStr">
        <is>
          <t>ÖSTERGÖTLANDS LÄN</t>
        </is>
      </c>
      <c r="G343" t="inlineStr">
        <is>
          <t>YDRE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46324</v>
      </c>
      <c r="F344" t="inlineStr">
        <is>
          <t>ÖSTERGÖTLANDS LÄN</t>
        </is>
      </c>
      <c r="G344" t="inlineStr">
        <is>
          <t>YDRE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41881-2026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46303</v>
      </c>
      <c r="E345" s="1" t="n">
        <v>46324</v>
      </c>
      <c r="F345" t="inlineStr">
        <is>
          <t>ÖSTERGÖTLANDS LÄN</t>
        </is>
      </c>
      <c r="G345" t="inlineStr">
        <is>
          <t>YDRE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41882-2026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46303</v>
      </c>
      <c r="E346" s="1" t="n">
        <v>46324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44939</v>
      </c>
      <c r="E347" s="1" t="n">
        <v>46324</v>
      </c>
      <c r="F347" t="inlineStr">
        <is>
          <t>ÖSTERGÖTLANDS LÄN</t>
        </is>
      </c>
      <c r="G347" t="inlineStr">
        <is>
          <t>YDRE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46324</v>
      </c>
      <c r="F348" t="inlineStr">
        <is>
          <t>ÖSTERGÖTLANDS LÄN</t>
        </is>
      </c>
      <c r="G348" t="inlineStr">
        <is>
          <t>YDRE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44994</v>
      </c>
      <c r="E349" s="1" t="n">
        <v>46324</v>
      </c>
      <c r="F349" t="inlineStr">
        <is>
          <t>ÖSTERGÖTLANDS LÄN</t>
        </is>
      </c>
      <c r="G349" t="inlineStr">
        <is>
          <t>YDRE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46304</v>
      </c>
      <c r="E350" s="1" t="n">
        <v>46324</v>
      </c>
      <c r="F350" t="inlineStr">
        <is>
          <t>ÖSTERGÖTLANDS LÄN</t>
        </is>
      </c>
      <c r="G350" t="inlineStr">
        <is>
          <t>YDRE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46324</v>
      </c>
      <c r="F351" t="inlineStr">
        <is>
          <t>ÖSTERGÖTLANDS LÄN</t>
        </is>
      </c>
      <c r="G351" t="inlineStr">
        <is>
          <t>YDRE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46324</v>
      </c>
      <c r="F352" t="inlineStr">
        <is>
          <t>ÖSTERGÖTLANDS LÄN</t>
        </is>
      </c>
      <c r="G352" t="inlineStr">
        <is>
          <t>YDRE</t>
        </is>
      </c>
      <c r="H352" t="inlineStr">
        <is>
          <t>Sveaskog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2079-2022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44576</v>
      </c>
      <c r="E353" s="1" t="n">
        <v>46324</v>
      </c>
      <c r="F353" t="inlineStr">
        <is>
          <t>ÖSTERGÖTLANDS LÄN</t>
        </is>
      </c>
      <c r="G353" t="inlineStr">
        <is>
          <t>YDRE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11566-2023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46324</v>
      </c>
      <c r="F354" t="inlineStr">
        <is>
          <t>ÖSTERGÖTLANDS LÄN</t>
        </is>
      </c>
      <c r="G354" t="inlineStr">
        <is>
          <t>YDRE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44994</v>
      </c>
      <c r="E355" s="1" t="n">
        <v>46324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44635</v>
      </c>
      <c r="E356" s="1" t="n">
        <v>46324</v>
      </c>
      <c r="F356" t="inlineStr">
        <is>
          <t>ÖSTERGÖTLANDS LÄN</t>
        </is>
      </c>
      <c r="G356" t="inlineStr">
        <is>
          <t>YDRE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45199-2024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45575</v>
      </c>
      <c r="E357" s="1" t="n">
        <v>46324</v>
      </c>
      <c r="F357" t="inlineStr">
        <is>
          <t>ÖSTERGÖTLANDS LÄN</t>
        </is>
      </c>
      <c r="G357" t="inlineStr">
        <is>
          <t>YDRE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33680-2022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44789</v>
      </c>
      <c r="E358" s="1" t="n">
        <v>46324</v>
      </c>
      <c r="F358" t="inlineStr">
        <is>
          <t>ÖSTERGÖTLANDS LÄN</t>
        </is>
      </c>
      <c r="G358" t="inlineStr">
        <is>
          <t>YDRE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46304</v>
      </c>
      <c r="E359" s="1" t="n">
        <v>46324</v>
      </c>
      <c r="F359" t="inlineStr">
        <is>
          <t>ÖSTERGÖTLANDS LÄN</t>
        </is>
      </c>
      <c r="G359" t="inlineStr">
        <is>
          <t>YDRE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46308</v>
      </c>
      <c r="E360" s="1" t="n">
        <v>46324</v>
      </c>
      <c r="F360" t="inlineStr">
        <is>
          <t>ÖSTERGÖTLANDS LÄN</t>
        </is>
      </c>
      <c r="G360" t="inlineStr">
        <is>
          <t>YDRE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45365</v>
      </c>
      <c r="E361" s="1" t="n">
        <v>46324</v>
      </c>
      <c r="F361" t="inlineStr">
        <is>
          <t>ÖSTERGÖTLANDS LÄN</t>
        </is>
      </c>
      <c r="G361" t="inlineStr">
        <is>
          <t>YDRE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59812-2022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44908</v>
      </c>
      <c r="E362" s="1" t="n">
        <v>46324</v>
      </c>
      <c r="F362" t="inlineStr">
        <is>
          <t>ÖSTERGÖTLANDS LÄN</t>
        </is>
      </c>
      <c r="G362" t="inlineStr">
        <is>
          <t>YDRE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36711-2023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45153</v>
      </c>
      <c r="E363" s="1" t="n">
        <v>46324</v>
      </c>
      <c r="F363" t="inlineStr">
        <is>
          <t>ÖSTERGÖTLANDS LÄN</t>
        </is>
      </c>
      <c r="G363" t="inlineStr">
        <is>
          <t>YDRE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27543-2024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45474</v>
      </c>
      <c r="E364" s="1" t="n">
        <v>46324</v>
      </c>
      <c r="F364" t="inlineStr">
        <is>
          <t>ÖSTERGÖTLANDS LÄN</t>
        </is>
      </c>
      <c r="G364" t="inlineStr">
        <is>
          <t>YDRE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46324</v>
      </c>
      <c r="F365" t="inlineStr">
        <is>
          <t>ÖSTERGÖTLANDS LÄN</t>
        </is>
      </c>
      <c r="G365" t="inlineStr">
        <is>
          <t>YDRE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46310</v>
      </c>
      <c r="E366" s="1" t="n">
        <v>46324</v>
      </c>
      <c r="F366" t="inlineStr">
        <is>
          <t>ÖSTERGÖTLANDS LÄN</t>
        </is>
      </c>
      <c r="G366" t="inlineStr">
        <is>
          <t>YDRE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61690-2024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45647</v>
      </c>
      <c r="E367" s="1" t="n">
        <v>46324</v>
      </c>
      <c r="F367" t="inlineStr">
        <is>
          <t>ÖSTERGÖTLANDS LÄN</t>
        </is>
      </c>
      <c r="G367" t="inlineStr">
        <is>
          <t>YDRE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46269</v>
      </c>
      <c r="E368" s="1" t="n">
        <v>46324</v>
      </c>
      <c r="F368" t="inlineStr">
        <is>
          <t>ÖSTERGÖTLANDS LÄN</t>
        </is>
      </c>
      <c r="G368" t="inlineStr">
        <is>
          <t>YDRE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46269</v>
      </c>
      <c r="E369" s="1" t="n">
        <v>46324</v>
      </c>
      <c r="F369" t="inlineStr">
        <is>
          <t>ÖSTERGÖTLANDS LÄN</t>
        </is>
      </c>
      <c r="G369" t="inlineStr">
        <is>
          <t>YDRE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45634</v>
      </c>
      <c r="E370" s="1" t="n">
        <v>46324</v>
      </c>
      <c r="F370" t="inlineStr">
        <is>
          <t>ÖSTERGÖTLANDS LÄN</t>
        </is>
      </c>
      <c r="G370" t="inlineStr">
        <is>
          <t>YDRE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46273</v>
      </c>
      <c r="E371" s="1" t="n">
        <v>46324</v>
      </c>
      <c r="F371" t="inlineStr">
        <is>
          <t>ÖSTERGÖTLANDS LÄN</t>
        </is>
      </c>
      <c r="G371" t="inlineStr">
        <is>
          <t>YDRE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46324</v>
      </c>
      <c r="F372" t="inlineStr">
        <is>
          <t>ÖSTERGÖTLANDS LÄN</t>
        </is>
      </c>
      <c r="G372" t="inlineStr">
        <is>
          <t>YDRE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45460</v>
      </c>
      <c r="E373" s="1" t="n">
        <v>46324</v>
      </c>
      <c r="F373" t="inlineStr">
        <is>
          <t>ÖSTERGÖTLANDS LÄN</t>
        </is>
      </c>
      <c r="G373" t="inlineStr">
        <is>
          <t>YDRE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45096</v>
      </c>
      <c r="E374" s="1" t="n">
        <v>46324</v>
      </c>
      <c r="F374" t="inlineStr">
        <is>
          <t>ÖSTERGÖTLANDS LÄN</t>
        </is>
      </c>
      <c r="G374" t="inlineStr">
        <is>
          <t>YDRE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46324</v>
      </c>
      <c r="F375" t="inlineStr">
        <is>
          <t>ÖSTERGÖTLANDS LÄN</t>
        </is>
      </c>
      <c r="G375" t="inlineStr">
        <is>
          <t>YDRE</t>
        </is>
      </c>
      <c r="I375" t="n">
        <v>15.6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63242-2023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45273</v>
      </c>
      <c r="E376" s="1" t="n">
        <v>46324</v>
      </c>
      <c r="F376" t="inlineStr">
        <is>
          <t>ÖSTERGÖTLANDS LÄN</t>
        </is>
      </c>
      <c r="G376" t="inlineStr">
        <is>
          <t>YDRE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44953</v>
      </c>
      <c r="E377" s="1" t="n">
        <v>46324</v>
      </c>
      <c r="F377" t="inlineStr">
        <is>
          <t>ÖSTERGÖTLANDS LÄN</t>
        </is>
      </c>
      <c r="G377" t="inlineStr">
        <is>
          <t>YDRE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37071-2026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46273</v>
      </c>
      <c r="E378" s="1" t="n">
        <v>46324</v>
      </c>
      <c r="F378" t="inlineStr">
        <is>
          <t>ÖSTERGÖTLANDS LÄN</t>
        </is>
      </c>
      <c r="G378" t="inlineStr">
        <is>
          <t>YDRE</t>
        </is>
      </c>
      <c r="I378" t="n">
        <v>6.6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6328-2022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44600</v>
      </c>
      <c r="E379" s="1" t="n">
        <v>46324</v>
      </c>
      <c r="F379" t="inlineStr">
        <is>
          <t>ÖSTERGÖTLANDS LÄN</t>
        </is>
      </c>
      <c r="G379" t="inlineStr">
        <is>
          <t>YDRE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56900-2022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44894</v>
      </c>
      <c r="E380" s="1" t="n">
        <v>46324</v>
      </c>
      <c r="F380" t="inlineStr">
        <is>
          <t>ÖSTERGÖTLANDS LÄN</t>
        </is>
      </c>
      <c r="G380" t="inlineStr">
        <is>
          <t>YDRE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35209-2023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45145</v>
      </c>
      <c r="E381" s="1" t="n">
        <v>46324</v>
      </c>
      <c r="F381" t="inlineStr">
        <is>
          <t>ÖSTERGÖTLANDS LÄN</t>
        </is>
      </c>
      <c r="G381" t="inlineStr">
        <is>
          <t>YDRE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46317</v>
      </c>
      <c r="E382" s="1" t="n">
        <v>46324</v>
      </c>
      <c r="F382" t="inlineStr">
        <is>
          <t>ÖSTERGÖTLANDS LÄN</t>
        </is>
      </c>
      <c r="G382" t="inlineStr">
        <is>
          <t>YDRE</t>
        </is>
      </c>
      <c r="H382" t="inlineStr">
        <is>
          <t>Sveaskog</t>
        </is>
      </c>
      <c r="I382" t="n">
        <v>8.699999999999999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46324</v>
      </c>
      <c r="F383" t="inlineStr">
        <is>
          <t>ÖSTERGÖTLANDS LÄN</t>
        </is>
      </c>
      <c r="G383" t="inlineStr">
        <is>
          <t>YDRE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46314</v>
      </c>
      <c r="E384" s="1" t="n">
        <v>46324</v>
      </c>
      <c r="F384" t="inlineStr">
        <is>
          <t>ÖSTERGÖTLANDS LÄN</t>
        </is>
      </c>
      <c r="G384" t="inlineStr">
        <is>
          <t>YDRE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37342-2026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46275</v>
      </c>
      <c r="E385" s="1" t="n">
        <v>46324</v>
      </c>
      <c r="F385" t="inlineStr">
        <is>
          <t>ÖSTERGÖTLANDS LÄN</t>
        </is>
      </c>
      <c r="G385" t="inlineStr">
        <is>
          <t>YDRE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46324</v>
      </c>
      <c r="F386" t="inlineStr">
        <is>
          <t>ÖSTERGÖTLANDS LÄN</t>
        </is>
      </c>
      <c r="G386" t="inlineStr">
        <is>
          <t>YDRE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46280</v>
      </c>
      <c r="E387" s="1" t="n">
        <v>46324</v>
      </c>
      <c r="F387" t="inlineStr">
        <is>
          <t>ÖSTERGÖTLANDS LÄN</t>
        </is>
      </c>
      <c r="G387" t="inlineStr">
        <is>
          <t>YDRE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38464-2026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46282</v>
      </c>
      <c r="E388" s="1" t="n">
        <v>46324</v>
      </c>
      <c r="F388" t="inlineStr">
        <is>
          <t>ÖSTERGÖTLANDS LÄN</t>
        </is>
      </c>
      <c r="G388" t="inlineStr">
        <is>
          <t>YDRE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45054</v>
      </c>
      <c r="E389" s="1" t="n">
        <v>46324</v>
      </c>
      <c r="F389" t="inlineStr">
        <is>
          <t>ÖSTERGÖTLANDS LÄN</t>
        </is>
      </c>
      <c r="G389" t="inlineStr">
        <is>
          <t>YDRE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61942-2021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44502</v>
      </c>
      <c r="E390" s="1" t="n">
        <v>46324</v>
      </c>
      <c r="F390" t="inlineStr">
        <is>
          <t>ÖSTERGÖTLANDS LÄN</t>
        </is>
      </c>
      <c r="G390" t="inlineStr">
        <is>
          <t>YDRE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44965</v>
      </c>
      <c r="E391" s="1" t="n">
        <v>46324</v>
      </c>
      <c r="F391" t="inlineStr">
        <is>
          <t>ÖSTERGÖTLANDS LÄN</t>
        </is>
      </c>
      <c r="G391" t="inlineStr">
        <is>
          <t>YDRE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44302-2026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46319</v>
      </c>
      <c r="E392" s="1" t="n">
        <v>46324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44552-2026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46321</v>
      </c>
      <c r="E393" s="1" t="n">
        <v>46324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45310</v>
      </c>
      <c r="E394" s="1" t="n">
        <v>46324</v>
      </c>
      <c r="F394" t="inlineStr">
        <is>
          <t>ÖSTERGÖTLANDS LÄN</t>
        </is>
      </c>
      <c r="G394" t="inlineStr">
        <is>
          <t>YDRE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44651-2026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46322</v>
      </c>
      <c r="E395" s="1" t="n">
        <v>46324</v>
      </c>
      <c r="F395" t="inlineStr">
        <is>
          <t>ÖSTERGÖTLANDS LÄN</t>
        </is>
      </c>
      <c r="G395" t="inlineStr">
        <is>
          <t>YDRE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19261-2024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45428</v>
      </c>
      <c r="E396" s="1" t="n">
        <v>46324</v>
      </c>
      <c r="F396" t="inlineStr">
        <is>
          <t>ÖSTERGÖTLANDS LÄN</t>
        </is>
      </c>
      <c r="G396" t="inlineStr">
        <is>
          <t>YDRE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13866-2025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45737</v>
      </c>
      <c r="E397" s="1" t="n">
        <v>46324</v>
      </c>
      <c r="F397" t="inlineStr">
        <is>
          <t>ÖSTERGÖTLANDS LÄN</t>
        </is>
      </c>
      <c r="G397" t="inlineStr">
        <is>
          <t>YDRE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416-2022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44585</v>
      </c>
      <c r="E398" s="1" t="n">
        <v>46324</v>
      </c>
      <c r="F398" t="inlineStr">
        <is>
          <t>ÖSTERGÖTLANDS LÄN</t>
        </is>
      </c>
      <c r="G398" t="inlineStr">
        <is>
          <t>YDRE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2053-2025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45839</v>
      </c>
      <c r="E399" s="1" t="n">
        <v>46324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2604-2025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45916</v>
      </c>
      <c r="E400" s="1" t="n">
        <v>46324</v>
      </c>
      <c r="F400" t="inlineStr">
        <is>
          <t>ÖSTERGÖTLANDS LÄN</t>
        </is>
      </c>
      <c r="G400" t="inlineStr">
        <is>
          <t>YDRE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3063-2025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45964</v>
      </c>
      <c r="E401" s="1" t="n">
        <v>46324</v>
      </c>
      <c r="F401" t="inlineStr">
        <is>
          <t>ÖSTERGÖTLANDS LÄN</t>
        </is>
      </c>
      <c r="G401" t="inlineStr">
        <is>
          <t>YDRE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384-2026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46066</v>
      </c>
      <c r="E402" s="1" t="n">
        <v>46324</v>
      </c>
      <c r="F402" t="inlineStr">
        <is>
          <t>ÖSTERGÖTLANDS LÄN</t>
        </is>
      </c>
      <c r="G402" t="inlineStr">
        <is>
          <t>YDRE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2485-2026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46287</v>
      </c>
      <c r="E403" s="1" t="n">
        <v>46324</v>
      </c>
      <c r="F403" t="inlineStr">
        <is>
          <t>ÖSTERGÖTLANDS LÄN</t>
        </is>
      </c>
      <c r="G403" t="inlineStr">
        <is>
          <t>YDRE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2026-10-29T03:13:49Z</dcterms:created>
  <dcterms:modified xmlns:dcterms="http://purl.org/dc/terms/" xmlns:xsi="http://www.w3.org/2001/XMLSchema-instance" xsi:type="dcterms:W3CDTF">2026-10-29T03:13:49Z</dcterms:modified>
</cp:coreProperties>
</file>