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46193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46193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46193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46193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46193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27469-2026</t>
        </is>
      </c>
      <c r="B7" s="1" t="n">
        <v>46189</v>
      </c>
      <c r="C7" s="1" t="n">
        <v>46193</v>
      </c>
      <c r="D7" t="inlineStr">
        <is>
          <t>ÖSTERGÖTLANDS LÄN</t>
        </is>
      </c>
      <c r="E7" t="inlineStr">
        <is>
          <t>YDRE</t>
        </is>
      </c>
      <c r="G7" t="n">
        <v>1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Svinrot
Gullviva</t>
        </is>
      </c>
      <c r="S7">
        <f>HYPERLINK("https://klasma.github.io/Logging_0512/artfynd/A 27469-2026 artfynd.xlsx", "A 27469-2026")</f>
        <v/>
      </c>
      <c r="T7">
        <f>HYPERLINK("https://klasma.github.io/Logging_0512/kartor/A 27469-2026 karta.png", "A 27469-2026")</f>
        <v/>
      </c>
      <c r="V7">
        <f>HYPERLINK("https://klasma.github.io/Logging_0512/klagomål/A 27469-2026 FSC-klagomål.docx", "A 27469-2026")</f>
        <v/>
      </c>
      <c r="W7">
        <f>HYPERLINK("https://klasma.github.io/Logging_0512/klagomålsmail/A 27469-2026 FSC-klagomål mail.docx", "A 27469-2026")</f>
        <v/>
      </c>
      <c r="X7">
        <f>HYPERLINK("https://klasma.github.io/Logging_0512/tillsyn/A 27469-2026 tillsynsbegäran.docx", "A 27469-2026")</f>
        <v/>
      </c>
      <c r="Y7">
        <f>HYPERLINK("https://klasma.github.io/Logging_0512/tillsynsmail/A 27469-2026 tillsynsbegäran mail.docx", "A 27469-2026")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46193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Vedtrappmossa
Kornig nållav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3293-2026</t>
        </is>
      </c>
      <c r="B9" s="1" t="n">
        <v>46041</v>
      </c>
      <c r="C9" s="1" t="n">
        <v>46193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Liten hornflikmossa
Flikbålmossa
Flagellkvastmossa</t>
        </is>
      </c>
      <c r="S9">
        <f>HYPERLINK("https://klasma.github.io/Logging_0512/artfynd/A 3293-2026 artfynd.xlsx", "A 3293-2026")</f>
        <v/>
      </c>
      <c r="T9">
        <f>HYPERLINK("https://klasma.github.io/Logging_0512/kartor/A 3293-2026 karta.png", "A 3293-2026")</f>
        <v/>
      </c>
      <c r="V9">
        <f>HYPERLINK("https://klasma.github.io/Logging_0512/klagomål/A 3293-2026 FSC-klagomål.docx", "A 3293-2026")</f>
        <v/>
      </c>
      <c r="W9">
        <f>HYPERLINK("https://klasma.github.io/Logging_0512/klagomålsmail/A 3293-2026 FSC-klagomål mail.docx", "A 3293-2026")</f>
        <v/>
      </c>
      <c r="X9">
        <f>HYPERLINK("https://klasma.github.io/Logging_0512/tillsyn/A 3293-2026 tillsynsbegäran.docx", "A 3293-2026")</f>
        <v/>
      </c>
      <c r="Y9">
        <f>HYPERLINK("https://klasma.github.io/Logging_0512/tillsynsmail/A 3293-2026 tillsynsbegäran mail.docx", "A 3293-2026")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46193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46193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58691-2023</t>
        </is>
      </c>
      <c r="B12" s="1" t="n">
        <v>45251</v>
      </c>
      <c r="C12" s="1" t="n">
        <v>46193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Grönsiska</t>
        </is>
      </c>
      <c r="S12">
        <f>HYPERLINK("https://klasma.github.io/Logging_0512/artfynd/A 58691-2023 artfynd.xlsx", "A 58691-2023")</f>
        <v/>
      </c>
      <c r="T12">
        <f>HYPERLINK("https://klasma.github.io/Logging_0512/kartor/A 58691-2023 karta.png", "A 58691-2023")</f>
        <v/>
      </c>
      <c r="V12">
        <f>HYPERLINK("https://klasma.github.io/Logging_0512/klagomål/A 58691-2023 FSC-klagomål.docx", "A 58691-2023")</f>
        <v/>
      </c>
      <c r="W12">
        <f>HYPERLINK("https://klasma.github.io/Logging_0512/klagomålsmail/A 58691-2023 FSC-klagomål mail.docx", "A 58691-2023")</f>
        <v/>
      </c>
      <c r="X12">
        <f>HYPERLINK("https://klasma.github.io/Logging_0512/tillsyn/A 58691-2023 tillsynsbegäran.docx", "A 58691-2023")</f>
        <v/>
      </c>
      <c r="Y12">
        <f>HYPERLINK("https://klasma.github.io/Logging_0512/tillsynsmail/A 58691-2023 tillsynsbegäran mail.docx", "A 58691-2023")</f>
        <v/>
      </c>
      <c r="Z12">
        <f>HYPERLINK("https://klasma.github.io/Logging_0512/fåglar/A 58691-2023 prioriterade fågelarter.docx", "A 58691-2023")</f>
        <v/>
      </c>
    </row>
    <row r="13" ht="15" customHeight="1">
      <c r="A13" t="inlineStr">
        <is>
          <t>A 17526-2024</t>
        </is>
      </c>
      <c r="B13" s="1" t="n">
        <v>45415</v>
      </c>
      <c r="C13" s="1" t="n">
        <v>46193</v>
      </c>
      <c r="D13" t="inlineStr">
        <is>
          <t>ÖSTERGÖTLANDS LÄN</t>
        </is>
      </c>
      <c r="E13" t="inlineStr">
        <is>
          <t>YDRE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Blåsippa</t>
        </is>
      </c>
      <c r="S13">
        <f>HYPERLINK("https://klasma.github.io/Logging_0512/artfynd/A 17526-2024 artfynd.xlsx", "A 17526-2024")</f>
        <v/>
      </c>
      <c r="T13">
        <f>HYPERLINK("https://klasma.github.io/Logging_0512/kartor/A 17526-2024 karta.png", "A 17526-2024")</f>
        <v/>
      </c>
      <c r="V13">
        <f>HYPERLINK("https://klasma.github.io/Logging_0512/klagomål/A 17526-2024 FSC-klagomål.docx", "A 17526-2024")</f>
        <v/>
      </c>
      <c r="W13">
        <f>HYPERLINK("https://klasma.github.io/Logging_0512/klagomålsmail/A 17526-2024 FSC-klagomål mail.docx", "A 17526-2024")</f>
        <v/>
      </c>
      <c r="X13">
        <f>HYPERLINK("https://klasma.github.io/Logging_0512/tillsyn/A 17526-2024 tillsynsbegäran.docx", "A 17526-2024")</f>
        <v/>
      </c>
      <c r="Y13">
        <f>HYPERLINK("https://klasma.github.io/Logging_0512/tillsynsmail/A 17526-2024 tillsynsbegäran mail.docx", "A 17526-2024")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46193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Solvända
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25498-2022</t>
        </is>
      </c>
      <c r="B15" s="1" t="n">
        <v>44732</v>
      </c>
      <c r="C15" s="1" t="n">
        <v>46193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71.09999999999999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Garnlav
Brunpudrad nållav</t>
        </is>
      </c>
      <c r="S15">
        <f>HYPERLINK("https://klasma.github.io/Logging_0512/artfynd/A 25498-2022 artfynd.xlsx", "A 25498-2022")</f>
        <v/>
      </c>
      <c r="T15">
        <f>HYPERLINK("https://klasma.github.io/Logging_0512/kartor/A 25498-2022 karta.png", "A 25498-2022")</f>
        <v/>
      </c>
      <c r="V15">
        <f>HYPERLINK("https://klasma.github.io/Logging_0512/klagomål/A 25498-2022 FSC-klagomål.docx", "A 25498-2022")</f>
        <v/>
      </c>
      <c r="W15">
        <f>HYPERLINK("https://klasma.github.io/Logging_0512/klagomålsmail/A 25498-2022 FSC-klagomål mail.docx", "A 25498-2022")</f>
        <v/>
      </c>
      <c r="X15">
        <f>HYPERLINK("https://klasma.github.io/Logging_0512/tillsyn/A 25498-2022 tillsynsbegäran.docx", "A 25498-2022")</f>
        <v/>
      </c>
      <c r="Y15">
        <f>HYPERLINK("https://klasma.github.io/Logging_0512/tillsynsmail/A 25498-2022 tillsynsbegäran mail.docx", "A 25498-2022")</f>
        <v/>
      </c>
    </row>
    <row r="16" ht="15" customHeight="1">
      <c r="A16" t="inlineStr">
        <is>
          <t>A 23612-2025</t>
        </is>
      </c>
      <c r="B16" s="1" t="n">
        <v>45792</v>
      </c>
      <c r="C16" s="1" t="n">
        <v>46193</v>
      </c>
      <c r="D16" t="inlineStr">
        <is>
          <t>ÖSTERGÖTLANDS LÄN</t>
        </is>
      </c>
      <c r="E16" t="inlineStr">
        <is>
          <t>YDRE</t>
        </is>
      </c>
      <c r="G16" t="n">
        <v>2.1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Blomkålssvamp</t>
        </is>
      </c>
      <c r="S16">
        <f>HYPERLINK("https://klasma.github.io/Logging_0512/artfynd/A 23612-2025 artfynd.xlsx", "A 23612-2025")</f>
        <v/>
      </c>
      <c r="T16">
        <f>HYPERLINK("https://klasma.github.io/Logging_0512/kartor/A 23612-2025 karta.png", "A 23612-2025")</f>
        <v/>
      </c>
      <c r="V16">
        <f>HYPERLINK("https://klasma.github.io/Logging_0512/klagomål/A 23612-2025 FSC-klagomål.docx", "A 23612-2025")</f>
        <v/>
      </c>
      <c r="W16">
        <f>HYPERLINK("https://klasma.github.io/Logging_0512/klagomålsmail/A 23612-2025 FSC-klagomål mail.docx", "A 23612-2025")</f>
        <v/>
      </c>
      <c r="X16">
        <f>HYPERLINK("https://klasma.github.io/Logging_0512/tillsyn/A 23612-2025 tillsynsbegäran.docx", "A 23612-2025")</f>
        <v/>
      </c>
      <c r="Y16">
        <f>HYPERLINK("https://klasma.github.io/Logging_0512/tillsynsmail/A 23612-2025 tillsynsbegäran mail.docx", "A 23612-2025")</f>
        <v/>
      </c>
    </row>
    <row r="17" ht="15" customHeight="1">
      <c r="A17" t="inlineStr">
        <is>
          <t>A 55870-2025</t>
        </is>
      </c>
      <c r="B17" s="1" t="n">
        <v>45973</v>
      </c>
      <c r="C17" s="1" t="n">
        <v>46193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4.4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Västlig njurlav
Grynig filtlav</t>
        </is>
      </c>
      <c r="S17">
        <f>HYPERLINK("https://klasma.github.io/Logging_0512/artfynd/A 55870-2025 artfynd.xlsx", "A 55870-2025")</f>
        <v/>
      </c>
      <c r="T17">
        <f>HYPERLINK("https://klasma.github.io/Logging_0512/kartor/A 55870-2025 karta.png", "A 55870-2025")</f>
        <v/>
      </c>
      <c r="V17">
        <f>HYPERLINK("https://klasma.github.io/Logging_0512/klagomål/A 55870-2025 FSC-klagomål.docx", "A 55870-2025")</f>
        <v/>
      </c>
      <c r="W17">
        <f>HYPERLINK("https://klasma.github.io/Logging_0512/klagomålsmail/A 55870-2025 FSC-klagomål mail.docx", "A 55870-2025")</f>
        <v/>
      </c>
      <c r="X17">
        <f>HYPERLINK("https://klasma.github.io/Logging_0512/tillsyn/A 55870-2025 tillsynsbegäran.docx", "A 55870-2025")</f>
        <v/>
      </c>
      <c r="Y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s="1" t="n">
        <v>45348</v>
      </c>
      <c r="C18" s="1" t="n">
        <v>46193</v>
      </c>
      <c r="D18" t="inlineStr">
        <is>
          <t>ÖSTERGÖTLANDS LÄN</t>
        </is>
      </c>
      <c r="E18" t="inlineStr">
        <is>
          <t>YDRE</t>
        </is>
      </c>
      <c r="G18" t="n">
        <v>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HYPERLINK("https://klasma.github.io/Logging_0512/artfynd/A 7621-2024 artfynd.xlsx", "A 7621-2024")</f>
        <v/>
      </c>
      <c r="T18">
        <f>HYPERLINK("https://klasma.github.io/Logging_0512/kartor/A 7621-2024 karta.png", "A 7621-2024")</f>
        <v/>
      </c>
      <c r="V18">
        <f>HYPERLINK("https://klasma.github.io/Logging_0512/klagomål/A 7621-2024 FSC-klagomål.docx", "A 7621-2024")</f>
        <v/>
      </c>
      <c r="W18">
        <f>HYPERLINK("https://klasma.github.io/Logging_0512/klagomålsmail/A 7621-2024 FSC-klagomål mail.docx", "A 7621-2024")</f>
        <v/>
      </c>
      <c r="X18">
        <f>HYPERLINK("https://klasma.github.io/Logging_0512/tillsyn/A 7621-2024 tillsynsbegäran.docx", "A 7621-2024")</f>
        <v/>
      </c>
      <c r="Y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s="1" t="n">
        <v>45611</v>
      </c>
      <c r="C19" s="1" t="n">
        <v>46193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Ängsstarr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s="1" t="n">
        <v>45091</v>
      </c>
      <c r="C20" s="1" t="n">
        <v>46193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Aspelandsfibbla
Smal guldkornsfibbla</t>
        </is>
      </c>
      <c r="S20">
        <f>HYPERLINK("https://klasma.github.io/Logging_0512/artfynd/A 26030-2023 artfynd.xlsx", "A 26030-2023")</f>
        <v/>
      </c>
      <c r="T20">
        <f>HYPERLINK("https://klasma.github.io/Logging_0512/kartor/A 26030-2023 karta.png", "A 26030-2023")</f>
        <v/>
      </c>
      <c r="V20">
        <f>HYPERLINK("https://klasma.github.io/Logging_0512/klagomål/A 26030-2023 FSC-klagomål.docx", "A 26030-2023")</f>
        <v/>
      </c>
      <c r="W20">
        <f>HYPERLINK("https://klasma.github.io/Logging_0512/klagomålsmail/A 26030-2023 FSC-klagomål mail.docx", "A 26030-2023")</f>
        <v/>
      </c>
      <c r="X20">
        <f>HYPERLINK("https://klasma.github.io/Logging_0512/tillsyn/A 26030-2023 tillsynsbegäran.docx", "A 26030-2023")</f>
        <v/>
      </c>
      <c r="Y20">
        <f>HYPERLINK("https://klasma.github.io/Logging_0512/tillsynsmail/A 26030-2023 tillsynsbegäran mail.docx", "A 26030-2023")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11273-2024</t>
        </is>
      </c>
      <c r="B24" s="1" t="n">
        <v>45371</v>
      </c>
      <c r="C24" s="1" t="n">
        <v>46193</v>
      </c>
      <c r="D24" t="inlineStr">
        <is>
          <t>ÖSTERGÖTLANDS LÄN</t>
        </is>
      </c>
      <c r="E24" t="inlineStr">
        <is>
          <t>YDRE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Lungrot</t>
        </is>
      </c>
      <c r="S24">
        <f>HYPERLINK("https://klasma.github.io/Logging_0512/artfynd/A 11273-2024 artfynd.xlsx", "A 11273-2024")</f>
        <v/>
      </c>
      <c r="T24">
        <f>HYPERLINK("https://klasma.github.io/Logging_0512/kartor/A 11273-2024 karta.png", "A 11273-2024")</f>
        <v/>
      </c>
      <c r="V24">
        <f>HYPERLINK("https://klasma.github.io/Logging_0512/klagomål/A 11273-2024 FSC-klagomål.docx", "A 11273-2024")</f>
        <v/>
      </c>
      <c r="W24">
        <f>HYPERLINK("https://klasma.github.io/Logging_0512/klagomålsmail/A 11273-2024 FSC-klagomål mail.docx", "A 11273-2024")</f>
        <v/>
      </c>
      <c r="X24">
        <f>HYPERLINK("https://klasma.github.io/Logging_0512/tillsyn/A 11273-2024 tillsynsbegäran.docx", "A 11273-2024")</f>
        <v/>
      </c>
      <c r="Y24">
        <f>HYPERLINK("https://klasma.github.io/Logging_0512/tillsynsmail/A 11273-2024 tillsynsbegäran mail.docx", "A 11273-2024")</f>
        <v/>
      </c>
    </row>
    <row r="25" ht="15" customHeight="1">
      <c r="A25" t="inlineStr">
        <is>
          <t>A 45354-2023</t>
        </is>
      </c>
      <c r="B25" s="1" t="n">
        <v>45192</v>
      </c>
      <c r="C25" s="1" t="n">
        <v>46193</v>
      </c>
      <c r="D25" t="inlineStr">
        <is>
          <t>ÖSTERGÖTLANDS LÄN</t>
        </is>
      </c>
      <c r="E25" t="inlineStr">
        <is>
          <t>YDRE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HYPERLINK("https://klasma.github.io/Logging_0512/artfynd/A 45354-2023 artfynd.xlsx", "A 45354-2023")</f>
        <v/>
      </c>
      <c r="T25">
        <f>HYPERLINK("https://klasma.github.io/Logging_0512/kartor/A 45354-2023 karta.png", "A 45354-2023")</f>
        <v/>
      </c>
      <c r="V25">
        <f>HYPERLINK("https://klasma.github.io/Logging_0512/klagomål/A 45354-2023 FSC-klagomål.docx", "A 45354-2023")</f>
        <v/>
      </c>
      <c r="W25">
        <f>HYPERLINK("https://klasma.github.io/Logging_0512/klagomålsmail/A 45354-2023 FSC-klagomål mail.docx", "A 45354-2023")</f>
        <v/>
      </c>
      <c r="X25">
        <f>HYPERLINK("https://klasma.github.io/Logging_0512/tillsyn/A 45354-2023 tillsynsbegäran.docx", "A 45354-2023")</f>
        <v/>
      </c>
      <c r="Y25">
        <f>HYPERLINK("https://klasma.github.io/Logging_0512/tillsynsmail/A 45354-2023 tillsynsbegäran mail.docx", "A 45354-2023")</f>
        <v/>
      </c>
    </row>
    <row r="26" ht="15" customHeight="1">
      <c r="A26" t="inlineStr">
        <is>
          <t>A 19370-2025</t>
        </is>
      </c>
      <c r="B26" s="1" t="n">
        <v>45769</v>
      </c>
      <c r="C26" s="1" t="n">
        <v>46193</v>
      </c>
      <c r="D26" t="inlineStr">
        <is>
          <t>ÖSTERGÖTLANDS LÄN</t>
        </is>
      </c>
      <c r="E26" t="inlineStr">
        <is>
          <t>YDRE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Smal guldkornsfibbla</t>
        </is>
      </c>
      <c r="S26">
        <f>HYPERLINK("https://klasma.github.io/Logging_0512/artfynd/A 19370-2025 artfynd.xlsx", "A 19370-2025")</f>
        <v/>
      </c>
      <c r="T26">
        <f>HYPERLINK("https://klasma.github.io/Logging_0512/kartor/A 19370-2025 karta.png", "A 19370-2025")</f>
        <v/>
      </c>
      <c r="V26">
        <f>HYPERLINK("https://klasma.github.io/Logging_0512/klagomål/A 19370-2025 FSC-klagomål.docx", "A 19370-2025")</f>
        <v/>
      </c>
      <c r="W26">
        <f>HYPERLINK("https://klasma.github.io/Logging_0512/klagomålsmail/A 19370-2025 FSC-klagomål mail.docx", "A 19370-2025")</f>
        <v/>
      </c>
      <c r="X26">
        <f>HYPERLINK("https://klasma.github.io/Logging_0512/tillsyn/A 19370-2025 tillsynsbegäran.docx", "A 19370-2025")</f>
        <v/>
      </c>
      <c r="Y26">
        <f>HYPERLINK("https://klasma.github.io/Logging_0512/tillsynsmail/A 19370-2025 tillsynsbegäran mail.docx", "A 19370-2025")</f>
        <v/>
      </c>
    </row>
    <row r="27" ht="15" customHeight="1">
      <c r="A27" t="inlineStr">
        <is>
          <t>A 53049-2024</t>
        </is>
      </c>
      <c r="B27" s="1" t="n">
        <v>45611</v>
      </c>
      <c r="C27" s="1" t="n">
        <v>46193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Mosippa</t>
        </is>
      </c>
      <c r="S27">
        <f>HYPERLINK("https://klasma.github.io/Logging_0512/artfynd/A 53049-2024 artfynd.xlsx", "A 53049-2024")</f>
        <v/>
      </c>
      <c r="T27">
        <f>HYPERLINK("https://klasma.github.io/Logging_0512/kartor/A 53049-2024 karta.png", "A 53049-2024")</f>
        <v/>
      </c>
      <c r="V27">
        <f>HYPERLINK("https://klasma.github.io/Logging_0512/klagomål/A 53049-2024 FSC-klagomål.docx", "A 53049-2024")</f>
        <v/>
      </c>
      <c r="W27">
        <f>HYPERLINK("https://klasma.github.io/Logging_0512/klagomålsmail/A 53049-2024 FSC-klagomål mail.docx", "A 53049-2024")</f>
        <v/>
      </c>
      <c r="X27">
        <f>HYPERLINK("https://klasma.github.io/Logging_0512/tillsyn/A 53049-2024 tillsynsbegäran.docx", "A 53049-2024")</f>
        <v/>
      </c>
      <c r="Y27">
        <f>HYPERLINK("https://klasma.github.io/Logging_0512/tillsynsmail/A 53049-2024 tillsynsbegäran mail.docx", "A 53049-2024")</f>
        <v/>
      </c>
    </row>
    <row r="28" ht="15" customHeight="1">
      <c r="A28" t="inlineStr">
        <is>
          <t>A 44503-2025</t>
        </is>
      </c>
      <c r="B28" s="1" t="n">
        <v>45916</v>
      </c>
      <c r="C28" s="1" t="n">
        <v>46193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HYPERLINK("https://klasma.github.io/Logging_0512/artfynd/A 44503-2025 artfynd.xlsx", "A 44503-2025")</f>
        <v/>
      </c>
      <c r="T28">
        <f>HYPERLINK("https://klasma.github.io/Logging_0512/kartor/A 44503-2025 karta.png", "A 44503-2025")</f>
        <v/>
      </c>
      <c r="V28">
        <f>HYPERLINK("https://klasma.github.io/Logging_0512/klagomål/A 44503-2025 FSC-klagomål.docx", "A 44503-2025")</f>
        <v/>
      </c>
      <c r="W28">
        <f>HYPERLINK("https://klasma.github.io/Logging_0512/klagomålsmail/A 44503-2025 FSC-klagomål mail.docx", "A 44503-2025")</f>
        <v/>
      </c>
      <c r="X28">
        <f>HYPERLINK("https://klasma.github.io/Logging_0512/tillsyn/A 44503-2025 tillsynsbegäran.docx", "A 44503-2025")</f>
        <v/>
      </c>
      <c r="Y28">
        <f>HYPERLINK("https://klasma.github.io/Logging_0512/tillsynsmail/A 44503-2025 tillsynsbegäran mail.docx", "A 44503-2025")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46193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45771-2025</t>
        </is>
      </c>
      <c r="B30" s="1" t="n">
        <v>45922</v>
      </c>
      <c r="C30" s="1" t="n">
        <v>46193</v>
      </c>
      <c r="D30" t="inlineStr">
        <is>
          <t>ÖSTERGÖTLANDS LÄN</t>
        </is>
      </c>
      <c r="E30" t="inlineStr">
        <is>
          <t>YDRE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HYPERLINK("https://klasma.github.io/Logging_0512/artfynd/A 45771-2025 artfynd.xlsx", "A 45771-2025")</f>
        <v/>
      </c>
      <c r="T30">
        <f>HYPERLINK("https://klasma.github.io/Logging_0512/kartor/A 45771-2025 karta.png", "A 45771-2025")</f>
        <v/>
      </c>
      <c r="V30">
        <f>HYPERLINK("https://klasma.github.io/Logging_0512/klagomål/A 45771-2025 FSC-klagomål.docx", "A 45771-2025")</f>
        <v/>
      </c>
      <c r="W30">
        <f>HYPERLINK("https://klasma.github.io/Logging_0512/klagomålsmail/A 45771-2025 FSC-klagomål mail.docx", "A 45771-2025")</f>
        <v/>
      </c>
      <c r="X30">
        <f>HYPERLINK("https://klasma.github.io/Logging_0512/tillsyn/A 45771-2025 tillsynsbegäran.docx", "A 45771-2025")</f>
        <v/>
      </c>
      <c r="Y30">
        <f>HYPERLINK("https://klasma.github.io/Logging_0512/tillsynsmail/A 45771-2025 tillsynsbegäran mail.docx", "A 45771-2025")</f>
        <v/>
      </c>
    </row>
    <row r="31" ht="15" customHeight="1">
      <c r="A31" t="inlineStr">
        <is>
          <t>A 45815-2025</t>
        </is>
      </c>
      <c r="B31" s="1" t="n">
        <v>45922</v>
      </c>
      <c r="C31" s="1" t="n">
        <v>46193</v>
      </c>
      <c r="D31" t="inlineStr">
        <is>
          <t>ÖSTERGÖTLANDS LÄN</t>
        </is>
      </c>
      <c r="E31" t="inlineStr">
        <is>
          <t>YDRE</t>
        </is>
      </c>
      <c r="G31" t="n">
        <v>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Gullpudra</t>
        </is>
      </c>
      <c r="S31">
        <f>HYPERLINK("https://klasma.github.io/Logging_0512/artfynd/A 45815-2025 artfynd.xlsx", "A 45815-2025")</f>
        <v/>
      </c>
      <c r="T31">
        <f>HYPERLINK("https://klasma.github.io/Logging_0512/kartor/A 45815-2025 karta.png", "A 45815-2025")</f>
        <v/>
      </c>
      <c r="V31">
        <f>HYPERLINK("https://klasma.github.io/Logging_0512/klagomål/A 45815-2025 FSC-klagomål.docx", "A 45815-2025")</f>
        <v/>
      </c>
      <c r="W31">
        <f>HYPERLINK("https://klasma.github.io/Logging_0512/klagomålsmail/A 45815-2025 FSC-klagomål mail.docx", "A 45815-2025")</f>
        <v/>
      </c>
      <c r="X31">
        <f>HYPERLINK("https://klasma.github.io/Logging_0512/tillsyn/A 45815-2025 tillsynsbegäran.docx", "A 45815-2025")</f>
        <v/>
      </c>
      <c r="Y31">
        <f>HYPERLINK("https://klasma.github.io/Logging_0512/tillsynsmail/A 45815-2025 tillsynsbegäran mail.docx", "A 45815-2025")</f>
        <v/>
      </c>
    </row>
    <row r="32" ht="15" customHeight="1">
      <c r="A32" t="inlineStr">
        <is>
          <t>A 16704-2025</t>
        </is>
      </c>
      <c r="B32" s="1" t="n">
        <v>45754</v>
      </c>
      <c r="C32" s="1" t="n">
        <v>46193</v>
      </c>
      <c r="D32" t="inlineStr">
        <is>
          <t>ÖSTERGÖTLANDS LÄN</t>
        </is>
      </c>
      <c r="E32" t="inlineStr">
        <is>
          <t>YDRE</t>
        </is>
      </c>
      <c r="G32" t="n">
        <v>0.5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HYPERLINK("https://klasma.github.io/Logging_0512/artfynd/A 16704-2025 artfynd.xlsx", "A 16704-2025")</f>
        <v/>
      </c>
      <c r="T32">
        <f>HYPERLINK("https://klasma.github.io/Logging_0512/kartor/A 16704-2025 karta.png", "A 16704-2025")</f>
        <v/>
      </c>
      <c r="V32">
        <f>HYPERLINK("https://klasma.github.io/Logging_0512/klagomål/A 16704-2025 FSC-klagomål.docx", "A 16704-2025")</f>
        <v/>
      </c>
      <c r="W32">
        <f>HYPERLINK("https://klasma.github.io/Logging_0512/klagomålsmail/A 16704-2025 FSC-klagomål mail.docx", "A 16704-2025")</f>
        <v/>
      </c>
      <c r="X32">
        <f>HYPERLINK("https://klasma.github.io/Logging_0512/tillsyn/A 16704-2025 tillsynsbegäran.docx", "A 16704-2025")</f>
        <v/>
      </c>
      <c r="Y32">
        <f>HYPERLINK("https://klasma.github.io/Logging_0512/tillsynsmail/A 16704-2025 tillsynsbegäran mail.docx", "A 16704-2025")</f>
        <v/>
      </c>
    </row>
    <row r="33" ht="15" customHeight="1">
      <c r="A33" t="inlineStr">
        <is>
          <t>A 48344-2022</t>
        </is>
      </c>
      <c r="B33" s="1" t="n">
        <v>44858</v>
      </c>
      <c r="C33" s="1" t="n">
        <v>46193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HYPERLINK("https://klasma.github.io/Logging_0512/artfynd/A 48344-2022 artfynd.xlsx", "A 48344-2022")</f>
        <v/>
      </c>
      <c r="T33">
        <f>HYPERLINK("https://klasma.github.io/Logging_0512/kartor/A 48344-2022 karta.png", "A 48344-2022")</f>
        <v/>
      </c>
      <c r="V33">
        <f>HYPERLINK("https://klasma.github.io/Logging_0512/klagomål/A 48344-2022 FSC-klagomål.docx", "A 48344-2022")</f>
        <v/>
      </c>
      <c r="W33">
        <f>HYPERLINK("https://klasma.github.io/Logging_0512/klagomålsmail/A 48344-2022 FSC-klagomål mail.docx", "A 48344-2022")</f>
        <v/>
      </c>
      <c r="X33">
        <f>HYPERLINK("https://klasma.github.io/Logging_0512/tillsyn/A 48344-2022 tillsynsbegäran.docx", "A 48344-2022")</f>
        <v/>
      </c>
      <c r="Y33">
        <f>HYPERLINK("https://klasma.github.io/Logging_0512/tillsynsmail/A 48344-2022 tillsynsbegäran mail.docx", "A 48344-2022")</f>
        <v/>
      </c>
    </row>
    <row r="34" ht="15" customHeight="1">
      <c r="A34" t="inlineStr">
        <is>
          <t>A 54075-2025</t>
        </is>
      </c>
      <c r="B34" s="1" t="n">
        <v>45964</v>
      </c>
      <c r="C34" s="1" t="n">
        <v>46193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HYPERLINK("https://klasma.github.io/Logging_0512/artfynd/A 54075-2025 artfynd.xlsx", "A 54075-2025")</f>
        <v/>
      </c>
      <c r="T34">
        <f>HYPERLINK("https://klasma.github.io/Logging_0512/kartor/A 54075-2025 karta.png", "A 54075-2025")</f>
        <v/>
      </c>
      <c r="V34">
        <f>HYPERLINK("https://klasma.github.io/Logging_0512/klagomål/A 54075-2025 FSC-klagomål.docx", "A 54075-2025")</f>
        <v/>
      </c>
      <c r="W34">
        <f>HYPERLINK("https://klasma.github.io/Logging_0512/klagomålsmail/A 54075-2025 FSC-klagomål mail.docx", "A 54075-2025")</f>
        <v/>
      </c>
      <c r="X34">
        <f>HYPERLINK("https://klasma.github.io/Logging_0512/tillsyn/A 54075-2025 tillsynsbegäran.docx", "A 54075-2025")</f>
        <v/>
      </c>
      <c r="Y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s="1" t="n">
        <v>45965</v>
      </c>
      <c r="C35" s="1" t="n">
        <v>46193</v>
      </c>
      <c r="D35" t="inlineStr">
        <is>
          <t>ÖSTERGÖTLANDS LÄN</t>
        </is>
      </c>
      <c r="E35" t="inlineStr">
        <is>
          <t>YDRE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HYPERLINK("https://klasma.github.io/Logging_0512/artfynd/A 54520-2025 artfynd.xlsx", "A 54520-2025")</f>
        <v/>
      </c>
      <c r="T35">
        <f>HYPERLINK("https://klasma.github.io/Logging_0512/kartor/A 54520-2025 karta.png", "A 54520-2025")</f>
        <v/>
      </c>
      <c r="V35">
        <f>HYPERLINK("https://klasma.github.io/Logging_0512/klagomål/A 54520-2025 FSC-klagomål.docx", "A 54520-2025")</f>
        <v/>
      </c>
      <c r="W35">
        <f>HYPERLINK("https://klasma.github.io/Logging_0512/klagomålsmail/A 54520-2025 FSC-klagomål mail.docx", "A 54520-2025")</f>
        <v/>
      </c>
      <c r="X35">
        <f>HYPERLINK("https://klasma.github.io/Logging_0512/tillsyn/A 54520-2025 tillsynsbegäran.docx", "A 54520-2025")</f>
        <v/>
      </c>
      <c r="Y35">
        <f>HYPERLINK("https://klasma.github.io/Logging_0512/tillsynsmail/A 54520-2025 tillsynsbegäran mail.docx", "A 54520-2025")</f>
        <v/>
      </c>
      <c r="Z35">
        <f>HYPERLINK("https://klasma.github.io/Logging_0512/fåglar/A 54520-2025 prioriterade fågelarter.docx", "A 54520-2025")</f>
        <v/>
      </c>
    </row>
    <row r="36" ht="15" customHeight="1">
      <c r="A36" t="inlineStr">
        <is>
          <t>A 47467-2021</t>
        </is>
      </c>
      <c r="B36" s="1" t="n">
        <v>44447</v>
      </c>
      <c r="C36" s="1" t="n">
        <v>46193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HYPERLINK("https://klasma.github.io/Logging_0512/artfynd/A 47467-2021 artfynd.xlsx", "A 47467-2021")</f>
        <v/>
      </c>
      <c r="T36">
        <f>HYPERLINK("https://klasma.github.io/Logging_0512/kartor/A 47467-2021 karta.png", "A 47467-2021")</f>
        <v/>
      </c>
      <c r="V36">
        <f>HYPERLINK("https://klasma.github.io/Logging_0512/klagomål/A 47467-2021 FSC-klagomål.docx", "A 47467-2021")</f>
        <v/>
      </c>
      <c r="W36">
        <f>HYPERLINK("https://klasma.github.io/Logging_0512/klagomålsmail/A 47467-2021 FSC-klagomål mail.docx", "A 47467-2021")</f>
        <v/>
      </c>
      <c r="X36">
        <f>HYPERLINK("https://klasma.github.io/Logging_0512/tillsyn/A 47467-2021 tillsynsbegäran.docx", "A 47467-2021")</f>
        <v/>
      </c>
      <c r="Y36">
        <f>HYPERLINK("https://klasma.github.io/Logging_0512/tillsynsmail/A 47467-2021 tillsynsbegäran mail.docx", "A 47467-2021")</f>
        <v/>
      </c>
    </row>
    <row r="37" ht="15" customHeight="1">
      <c r="A37" t="inlineStr">
        <is>
          <t>A 4248-2026</t>
        </is>
      </c>
      <c r="B37" s="1" t="n">
        <v>46045</v>
      </c>
      <c r="C37" s="1" t="n">
        <v>46193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HYPERLINK("https://klasma.github.io/Logging_0512/artfynd/A 4248-2026 artfynd.xlsx", "A 4248-2026")</f>
        <v/>
      </c>
      <c r="T37">
        <f>HYPERLINK("https://klasma.github.io/Logging_0512/kartor/A 4248-2026 karta.png", "A 4248-2026")</f>
        <v/>
      </c>
      <c r="V37">
        <f>HYPERLINK("https://klasma.github.io/Logging_0512/klagomål/A 4248-2026 FSC-klagomål.docx", "A 4248-2026")</f>
        <v/>
      </c>
      <c r="W37">
        <f>HYPERLINK("https://klasma.github.io/Logging_0512/klagomålsmail/A 4248-2026 FSC-klagomål mail.docx", "A 4248-2026")</f>
        <v/>
      </c>
      <c r="X37">
        <f>HYPERLINK("https://klasma.github.io/Logging_0512/tillsyn/A 4248-2026 tillsynsbegäran.docx", "A 4248-2026")</f>
        <v/>
      </c>
      <c r="Y37">
        <f>HYPERLINK("https://klasma.github.io/Logging_0512/tillsynsmail/A 4248-2026 tillsynsbegäran mail.docx", "A 4248-2026")</f>
        <v/>
      </c>
      <c r="Z37">
        <f>HYPERLINK("https://klasma.github.io/Logging_0512/fåglar/A 4248-2026 prioriterade fågelarter.docx", "A 4248-2026")</f>
        <v/>
      </c>
    </row>
    <row r="38" ht="15" customHeight="1">
      <c r="A38" t="inlineStr">
        <is>
          <t>A 12669-2025</t>
        </is>
      </c>
      <c r="B38" s="1" t="n">
        <v>45733</v>
      </c>
      <c r="C38" s="1" t="n">
        <v>46193</v>
      </c>
      <c r="D38" t="inlineStr">
        <is>
          <t>ÖSTERGÖTLANDS LÄN</t>
        </is>
      </c>
      <c r="E38" t="inlineStr">
        <is>
          <t>YDRE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HYPERLINK("https://klasma.github.io/Logging_0512/artfynd/A 12669-2025 artfynd.xlsx", "A 12669-2025")</f>
        <v/>
      </c>
      <c r="T38">
        <f>HYPERLINK("https://klasma.github.io/Logging_0512/kartor/A 12669-2025 karta.png", "A 12669-2025")</f>
        <v/>
      </c>
      <c r="V38">
        <f>HYPERLINK("https://klasma.github.io/Logging_0512/klagomål/A 12669-2025 FSC-klagomål.docx", "A 12669-2025")</f>
        <v/>
      </c>
      <c r="W38">
        <f>HYPERLINK("https://klasma.github.io/Logging_0512/klagomålsmail/A 12669-2025 FSC-klagomål mail.docx", "A 12669-2025")</f>
        <v/>
      </c>
      <c r="X38">
        <f>HYPERLINK("https://klasma.github.io/Logging_0512/tillsyn/A 12669-2025 tillsynsbegäran.docx", "A 12669-2025")</f>
        <v/>
      </c>
      <c r="Y38">
        <f>HYPERLINK("https://klasma.github.io/Logging_0512/tillsynsmail/A 12669-2025 tillsynsbegäran mail.docx", "A 12669-2025")</f>
        <v/>
      </c>
    </row>
    <row r="39" ht="15" customHeight="1">
      <c r="A39" t="inlineStr">
        <is>
          <t>A 9051-2026</t>
        </is>
      </c>
      <c r="B39" s="1" t="n">
        <v>46069</v>
      </c>
      <c r="C39" s="1" t="n">
        <v>46193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HYPERLINK("https://klasma.github.io/Logging_0512/artfynd/A 9051-2026 artfynd.xlsx", "A 9051-2026")</f>
        <v/>
      </c>
      <c r="T39">
        <f>HYPERLINK("https://klasma.github.io/Logging_0512/kartor/A 9051-2026 karta.png", "A 9051-2026")</f>
        <v/>
      </c>
      <c r="V39">
        <f>HYPERLINK("https://klasma.github.io/Logging_0512/klagomål/A 9051-2026 FSC-klagomål.docx", "A 9051-2026")</f>
        <v/>
      </c>
      <c r="W39">
        <f>HYPERLINK("https://klasma.github.io/Logging_0512/klagomålsmail/A 9051-2026 FSC-klagomål mail.docx", "A 9051-2026")</f>
        <v/>
      </c>
      <c r="X39">
        <f>HYPERLINK("https://klasma.github.io/Logging_0512/tillsyn/A 9051-2026 tillsynsbegäran.docx", "A 9051-2026")</f>
        <v/>
      </c>
      <c r="Y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s="1" t="n">
        <v>46069</v>
      </c>
      <c r="C40" s="1" t="n">
        <v>46193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HYPERLINK("https://klasma.github.io/Logging_0512/artfynd/A 8923-2026 artfynd.xlsx", "A 8923-2026")</f>
        <v/>
      </c>
      <c r="T40">
        <f>HYPERLINK("https://klasma.github.io/Logging_0512/kartor/A 8923-2026 karta.png", "A 8923-2026")</f>
        <v/>
      </c>
      <c r="V40">
        <f>HYPERLINK("https://klasma.github.io/Logging_0512/klagomål/A 8923-2026 FSC-klagomål.docx", "A 8923-2026")</f>
        <v/>
      </c>
      <c r="W40">
        <f>HYPERLINK("https://klasma.github.io/Logging_0512/klagomålsmail/A 8923-2026 FSC-klagomål mail.docx", "A 8923-2026")</f>
        <v/>
      </c>
      <c r="X40">
        <f>HYPERLINK("https://klasma.github.io/Logging_0512/tillsyn/A 8923-2026 tillsynsbegäran.docx", "A 8923-2026")</f>
        <v/>
      </c>
      <c r="Y40">
        <f>HYPERLINK("https://klasma.github.io/Logging_0512/tillsynsmail/A 8923-2026 tillsynsbegäran mail.docx", "A 8923-2026")</f>
        <v/>
      </c>
    </row>
    <row r="41" ht="15" customHeight="1">
      <c r="A41" t="inlineStr">
        <is>
          <t>A 45765-2025</t>
        </is>
      </c>
      <c r="B41" s="1" t="n">
        <v>45922</v>
      </c>
      <c r="C41" s="1" t="n">
        <v>46193</v>
      </c>
      <c r="D41" t="inlineStr">
        <is>
          <t>ÖSTERGÖTLANDS LÄN</t>
        </is>
      </c>
      <c r="E41" t="inlineStr">
        <is>
          <t>YDRE</t>
        </is>
      </c>
      <c r="G41" t="n">
        <v>10.9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HYPERLINK("https://klasma.github.io/Logging_0512/artfynd/A 45765-2025 artfynd.xlsx", "A 45765-2025")</f>
        <v/>
      </c>
      <c r="T41">
        <f>HYPERLINK("https://klasma.github.io/Logging_0512/kartor/A 45765-2025 karta.png", "A 45765-2025")</f>
        <v/>
      </c>
      <c r="V41">
        <f>HYPERLINK("https://klasma.github.io/Logging_0512/klagomål/A 45765-2025 FSC-klagomål.docx", "A 45765-2025")</f>
        <v/>
      </c>
      <c r="W41">
        <f>HYPERLINK("https://klasma.github.io/Logging_0512/klagomålsmail/A 45765-2025 FSC-klagomål mail.docx", "A 45765-2025")</f>
        <v/>
      </c>
      <c r="X41">
        <f>HYPERLINK("https://klasma.github.io/Logging_0512/tillsyn/A 45765-2025 tillsynsbegäran.docx", "A 45765-2025")</f>
        <v/>
      </c>
      <c r="Y41">
        <f>HYPERLINK("https://klasma.github.io/Logging_0512/tillsynsmail/A 45765-2025 tillsynsbegäran mail.docx", "A 45765-2025")</f>
        <v/>
      </c>
    </row>
    <row r="42" ht="15" customHeight="1">
      <c r="A42" t="inlineStr">
        <is>
          <t>A 11716-2025</t>
        </is>
      </c>
      <c r="B42" s="1" t="n">
        <v>45727</v>
      </c>
      <c r="C42" s="1" t="n">
        <v>46193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Kryddspindling</t>
        </is>
      </c>
      <c r="S42">
        <f>HYPERLINK("https://klasma.github.io/Logging_0512/artfynd/A 11716-2025 artfynd.xlsx", "A 11716-2025")</f>
        <v/>
      </c>
      <c r="T42">
        <f>HYPERLINK("https://klasma.github.io/Logging_0512/kartor/A 11716-2025 karta.png", "A 11716-2025")</f>
        <v/>
      </c>
      <c r="V42">
        <f>HYPERLINK("https://klasma.github.io/Logging_0512/klagomål/A 11716-2025 FSC-klagomål.docx", "A 11716-2025")</f>
        <v/>
      </c>
      <c r="W42">
        <f>HYPERLINK("https://klasma.github.io/Logging_0512/klagomålsmail/A 11716-2025 FSC-klagomål mail.docx", "A 11716-2025")</f>
        <v/>
      </c>
      <c r="X42">
        <f>HYPERLINK("https://klasma.github.io/Logging_0512/tillsyn/A 11716-2025 tillsynsbegäran.docx", "A 11716-2025")</f>
        <v/>
      </c>
      <c r="Y42">
        <f>HYPERLINK("https://klasma.github.io/Logging_0512/tillsynsmail/A 11716-2025 tillsynsbegäran mail.docx", "A 11716-2025")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46193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46193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46193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46193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46193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46193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3374-2022</t>
        </is>
      </c>
      <c r="B49" s="1" t="n">
        <v>44585</v>
      </c>
      <c r="C49" s="1" t="n">
        <v>46193</v>
      </c>
      <c r="D49" t="inlineStr">
        <is>
          <t>ÖSTERGÖTLANDS LÄN</t>
        </is>
      </c>
      <c r="E49" t="inlineStr">
        <is>
          <t>YDRE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59406-2021</t>
        </is>
      </c>
      <c r="B50" s="1" t="n">
        <v>44491</v>
      </c>
      <c r="C50" s="1" t="n">
        <v>46193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46193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46193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46193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46193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62509-2021</t>
        </is>
      </c>
      <c r="B55" s="1" t="n">
        <v>44503</v>
      </c>
      <c r="C55" s="1" t="n">
        <v>46193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18608-2022</t>
        </is>
      </c>
      <c r="B56" s="1" t="n">
        <v>44687</v>
      </c>
      <c r="C56" s="1" t="n">
        <v>46193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46193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46193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46193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46193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46193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46193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46193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46193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53360-2021</t>
        </is>
      </c>
      <c r="B65" s="1" t="n">
        <v>44468</v>
      </c>
      <c r="C65" s="1" t="n">
        <v>46193</v>
      </c>
      <c r="D65" t="inlineStr">
        <is>
          <t>ÖSTERGÖTLANDS LÄN</t>
        </is>
      </c>
      <c r="E65" t="inlineStr">
        <is>
          <t>YDRE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65795-2021</t>
        </is>
      </c>
      <c r="B66" s="1" t="n">
        <v>44516</v>
      </c>
      <c r="C66" s="1" t="n">
        <v>46193</v>
      </c>
      <c r="D66" t="inlineStr">
        <is>
          <t>ÖSTERGÖTLANDS LÄN</t>
        </is>
      </c>
      <c r="E66" t="inlineStr">
        <is>
          <t>YDRE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46193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46193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46193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46193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46193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46193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46193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46193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</v>
      </c>
      <c r="C77" s="1" t="n">
        <v>46193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20158-2022</t>
        </is>
      </c>
      <c r="B78" s="1" t="n">
        <v>44698</v>
      </c>
      <c r="C78" s="1" t="n">
        <v>46193</v>
      </c>
      <c r="D78" t="inlineStr">
        <is>
          <t>ÖSTERGÖTLANDS LÄN</t>
        </is>
      </c>
      <c r="E78" t="inlineStr">
        <is>
          <t>YDRE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4277-2023</t>
        </is>
      </c>
      <c r="B79" s="1" t="n">
        <v>44953</v>
      </c>
      <c r="C79" s="1" t="n">
        <v>46193</v>
      </c>
      <c r="D79" t="inlineStr">
        <is>
          <t>ÖSTERGÖTLANDS LÄN</t>
        </is>
      </c>
      <c r="E79" t="inlineStr">
        <is>
          <t>YDRE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58831-2022</t>
        </is>
      </c>
      <c r="B80" s="1" t="n">
        <v>44903</v>
      </c>
      <c r="C80" s="1" t="n">
        <v>46193</v>
      </c>
      <c r="D80" t="inlineStr">
        <is>
          <t>ÖSTERGÖTLANDS LÄN</t>
        </is>
      </c>
      <c r="E80" t="inlineStr">
        <is>
          <t>YDRE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45395-2022</t>
        </is>
      </c>
      <c r="B81" s="1" t="n">
        <v>44844</v>
      </c>
      <c r="C81" s="1" t="n">
        <v>46193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13935-2022</t>
        </is>
      </c>
      <c r="B82" s="1" t="n">
        <v>44650</v>
      </c>
      <c r="C82" s="1" t="n">
        <v>46193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</v>
      </c>
      <c r="C83" s="1" t="n">
        <v>46193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46193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59407-2021</t>
        </is>
      </c>
      <c r="B85" s="1" t="n">
        <v>44491</v>
      </c>
      <c r="C85" s="1" t="n">
        <v>46193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44741-2021</t>
        </is>
      </c>
      <c r="B86" s="1" t="n">
        <v>44438</v>
      </c>
      <c r="C86" s="1" t="n">
        <v>46193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7619-2024</t>
        </is>
      </c>
      <c r="B87" s="1" t="n">
        <v>45348</v>
      </c>
      <c r="C87" s="1" t="n">
        <v>46193</v>
      </c>
      <c r="D87" t="inlineStr">
        <is>
          <t>ÖSTERGÖTLANDS LÄN</t>
        </is>
      </c>
      <c r="E87" t="inlineStr">
        <is>
          <t>YDRE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71041-2021</t>
        </is>
      </c>
      <c r="B88" s="1" t="n">
        <v>44538</v>
      </c>
      <c r="C88" s="1" t="n">
        <v>46193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6328-2022</t>
        </is>
      </c>
      <c r="B89" s="1" t="n">
        <v>44600</v>
      </c>
      <c r="C89" s="1" t="n">
        <v>46193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71035-2021</t>
        </is>
      </c>
      <c r="B90" s="1" t="n">
        <v>44538</v>
      </c>
      <c r="C90" s="1" t="n">
        <v>46193</v>
      </c>
      <c r="D90" t="inlineStr">
        <is>
          <t>ÖSTERGÖTLANDS LÄN</t>
        </is>
      </c>
      <c r="E90" t="inlineStr">
        <is>
          <t>YDRE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19261-2024</t>
        </is>
      </c>
      <c r="B91" s="1" t="n">
        <v>45428</v>
      </c>
      <c r="C91" s="1" t="n">
        <v>46193</v>
      </c>
      <c r="D91" t="inlineStr">
        <is>
          <t>ÖSTERGÖTLANDS LÄN</t>
        </is>
      </c>
      <c r="E91" t="inlineStr">
        <is>
          <t>YDRE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61690-2024</t>
        </is>
      </c>
      <c r="B92" s="1" t="n">
        <v>45647</v>
      </c>
      <c r="C92" s="1" t="n">
        <v>46193</v>
      </c>
      <c r="D92" t="inlineStr">
        <is>
          <t>ÖSTERGÖTLANDS LÄN</t>
        </is>
      </c>
      <c r="E92" t="inlineStr">
        <is>
          <t>YDRE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61752-2024</t>
        </is>
      </c>
      <c r="B93" s="1" t="n">
        <v>45649</v>
      </c>
      <c r="C93" s="1" t="n">
        <v>46193</v>
      </c>
      <c r="D93" t="inlineStr">
        <is>
          <t>ÖSTERGÖTLANDS LÄN</t>
        </is>
      </c>
      <c r="E93" t="inlineStr">
        <is>
          <t>YDRE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27798-2024</t>
        </is>
      </c>
      <c r="B94" s="1" t="n">
        <v>45475</v>
      </c>
      <c r="C94" s="1" t="n">
        <v>46193</v>
      </c>
      <c r="D94" t="inlineStr">
        <is>
          <t>ÖSTERGÖTLANDS LÄN</t>
        </is>
      </c>
      <c r="E94" t="inlineStr">
        <is>
          <t>YDRE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24938-2022</t>
        </is>
      </c>
      <c r="B95" s="1" t="n">
        <v>44728</v>
      </c>
      <c r="C95" s="1" t="n">
        <v>46193</v>
      </c>
      <c r="D95" t="inlineStr">
        <is>
          <t>ÖSTERGÖTLANDS LÄN</t>
        </is>
      </c>
      <c r="E95" t="inlineStr">
        <is>
          <t>YDRE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42781-2021</t>
        </is>
      </c>
      <c r="B96" s="1" t="n">
        <v>44428</v>
      </c>
      <c r="C96" s="1" t="n">
        <v>46193</v>
      </c>
      <c r="D96" t="inlineStr">
        <is>
          <t>ÖSTERGÖTLANDS LÄN</t>
        </is>
      </c>
      <c r="E96" t="inlineStr">
        <is>
          <t>YDRE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46193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50979-2023</t>
        </is>
      </c>
      <c r="B98" s="1" t="n">
        <v>45218</v>
      </c>
      <c r="C98" s="1" t="n">
        <v>46193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46193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56323-2021</t>
        </is>
      </c>
      <c r="B100" s="1" t="n">
        <v>44480</v>
      </c>
      <c r="C100" s="1" t="n">
        <v>46193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HYPERLINK("https://klasma.github.io/Logging_0512/knärot/A 56323-2021 karta knärot.png", "A 56323-2021")</f>
        <v/>
      </c>
      <c r="V100">
        <f>HYPERLINK("https://klasma.github.io/Logging_0512/klagomål/A 56323-2021 FSC-klagomål.docx", "A 56323-2021")</f>
        <v/>
      </c>
      <c r="W100">
        <f>HYPERLINK("https://klasma.github.io/Logging_0512/klagomålsmail/A 56323-2021 FSC-klagomål mail.docx", "A 56323-2021")</f>
        <v/>
      </c>
      <c r="X100">
        <f>HYPERLINK("https://klasma.github.io/Logging_0512/tillsyn/A 56323-2021 tillsynsbegäran.docx", "A 56323-2021")</f>
        <v/>
      </c>
      <c r="Y100">
        <f>HYPERLINK("https://klasma.github.io/Logging_0512/tillsynsmail/A 56323-2021 tillsynsbegäran mail.docx", "A 56323-2021")</f>
        <v/>
      </c>
    </row>
    <row r="101" ht="15" customHeight="1">
      <c r="A101" t="inlineStr">
        <is>
          <t>A 8606-2024</t>
        </is>
      </c>
      <c r="B101" s="1" t="n">
        <v>45355</v>
      </c>
      <c r="C101" s="1" t="n">
        <v>46193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42103-2021</t>
        </is>
      </c>
      <c r="B102" s="1" t="n">
        <v>44426</v>
      </c>
      <c r="C102" s="1" t="n">
        <v>46193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40988-2024</t>
        </is>
      </c>
      <c r="B103" s="1" t="n">
        <v>45558</v>
      </c>
      <c r="C103" s="1" t="n">
        <v>46193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59811-2022</t>
        </is>
      </c>
      <c r="B104" s="1" t="n">
        <v>44908</v>
      </c>
      <c r="C104" s="1" t="n">
        <v>46193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59816-2022</t>
        </is>
      </c>
      <c r="B105" s="1" t="n">
        <v>44908</v>
      </c>
      <c r="C105" s="1" t="n">
        <v>46193</v>
      </c>
      <c r="D105" t="inlineStr">
        <is>
          <t>ÖSTERGÖTLANDS LÄN</t>
        </is>
      </c>
      <c r="E105" t="inlineStr">
        <is>
          <t>YDRE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61636-2021</t>
        </is>
      </c>
      <c r="B106" s="1" t="n">
        <v>44501</v>
      </c>
      <c r="C106" s="1" t="n">
        <v>46193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70448-2021</t>
        </is>
      </c>
      <c r="B107" s="1" t="n">
        <v>44536</v>
      </c>
      <c r="C107" s="1" t="n">
        <v>46193</v>
      </c>
      <c r="D107" t="inlineStr">
        <is>
          <t>ÖSTERGÖTLANDS LÄN</t>
        </is>
      </c>
      <c r="E107" t="inlineStr">
        <is>
          <t>YDRE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10699-2022</t>
        </is>
      </c>
      <c r="B108" s="1" t="n">
        <v>44624</v>
      </c>
      <c r="C108" s="1" t="n">
        <v>46193</v>
      </c>
      <c r="D108" t="inlineStr">
        <is>
          <t>ÖSTERGÖTLANDS LÄN</t>
        </is>
      </c>
      <c r="E108" t="inlineStr">
        <is>
          <t>YDRE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32016-2024</t>
        </is>
      </c>
      <c r="B109" s="1" t="n">
        <v>45510</v>
      </c>
      <c r="C109" s="1" t="n">
        <v>46193</v>
      </c>
      <c r="D109" t="inlineStr">
        <is>
          <t>ÖSTERGÖTLANDS LÄN</t>
        </is>
      </c>
      <c r="E109" t="inlineStr">
        <is>
          <t>YDRE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6756-2023</t>
        </is>
      </c>
      <c r="B110" s="1" t="n">
        <v>44966</v>
      </c>
      <c r="C110" s="1" t="n">
        <v>46193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8611-2024</t>
        </is>
      </c>
      <c r="B111" s="1" t="n">
        <v>45355</v>
      </c>
      <c r="C111" s="1" t="n">
        <v>46193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44283-2021</t>
        </is>
      </c>
      <c r="B112" s="1" t="n">
        <v>44435</v>
      </c>
      <c r="C112" s="1" t="n">
        <v>46193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16050-2025</t>
        </is>
      </c>
      <c r="B113" s="1" t="n">
        <v>45748</v>
      </c>
      <c r="C113" s="1" t="n">
        <v>46193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27164-2023</t>
        </is>
      </c>
      <c r="B114" s="1" t="n">
        <v>45096</v>
      </c>
      <c r="C114" s="1" t="n">
        <v>46193</v>
      </c>
      <c r="D114" t="inlineStr">
        <is>
          <t>ÖSTERGÖTLANDS LÄN</t>
        </is>
      </c>
      <c r="E114" t="inlineStr">
        <is>
          <t>YDRE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28239-2023</t>
        </is>
      </c>
      <c r="B115" s="1" t="n">
        <v>45099</v>
      </c>
      <c r="C115" s="1" t="n">
        <v>46193</v>
      </c>
      <c r="D115" t="inlineStr">
        <is>
          <t>ÖSTERGÖTLANDS LÄN</t>
        </is>
      </c>
      <c r="E115" t="inlineStr">
        <is>
          <t>YDRE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4271-2023</t>
        </is>
      </c>
      <c r="B116" s="1" t="n">
        <v>44953</v>
      </c>
      <c r="C116" s="1" t="n">
        <v>46193</v>
      </c>
      <c r="D116" t="inlineStr">
        <is>
          <t>ÖSTERGÖTLANDS LÄN</t>
        </is>
      </c>
      <c r="E116" t="inlineStr">
        <is>
          <t>YDRE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4982-2022</t>
        </is>
      </c>
      <c r="B117" s="1" t="n">
        <v>44593</v>
      </c>
      <c r="C117" s="1" t="n">
        <v>46193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9159-2023</t>
        </is>
      </c>
      <c r="B118" s="1" t="n">
        <v>44980</v>
      </c>
      <c r="C118" s="1" t="n">
        <v>46193</v>
      </c>
      <c r="D118" t="inlineStr">
        <is>
          <t>ÖSTERGÖTLANDS LÄN</t>
        </is>
      </c>
      <c r="E118" t="inlineStr">
        <is>
          <t>YDRE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47464-2021</t>
        </is>
      </c>
      <c r="B119" s="1" t="n">
        <v>44447</v>
      </c>
      <c r="C119" s="1" t="n">
        <v>46193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39319-2021</t>
        </is>
      </c>
      <c r="B120" s="1" t="n">
        <v>44413</v>
      </c>
      <c r="C120" s="1" t="n">
        <v>46193</v>
      </c>
      <c r="D120" t="inlineStr">
        <is>
          <t>ÖSTERGÖTLANDS LÄN</t>
        </is>
      </c>
      <c r="E120" t="inlineStr">
        <is>
          <t>YDRE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17291-2024</t>
        </is>
      </c>
      <c r="B121" s="1" t="n">
        <v>45414</v>
      </c>
      <c r="C121" s="1" t="n">
        <v>46193</v>
      </c>
      <c r="D121" t="inlineStr">
        <is>
          <t>ÖSTERGÖTLANDS LÄN</t>
        </is>
      </c>
      <c r="E121" t="inlineStr">
        <is>
          <t>YDRE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53534-2022</t>
        </is>
      </c>
      <c r="B122" s="1" t="n">
        <v>44874</v>
      </c>
      <c r="C122" s="1" t="n">
        <v>46193</v>
      </c>
      <c r="D122" t="inlineStr">
        <is>
          <t>ÖSTERGÖTLANDS LÄN</t>
        </is>
      </c>
      <c r="E122" t="inlineStr">
        <is>
          <t>YDRE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11185-2024</t>
        </is>
      </c>
      <c r="B123" s="1" t="n">
        <v>45371</v>
      </c>
      <c r="C123" s="1" t="n">
        <v>46193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35209-2023</t>
        </is>
      </c>
      <c r="B124" s="1" t="n">
        <v>45145</v>
      </c>
      <c r="C124" s="1" t="n">
        <v>46193</v>
      </c>
      <c r="D124" t="inlineStr">
        <is>
          <t>ÖSTERGÖTLANDS LÄN</t>
        </is>
      </c>
      <c r="E124" t="inlineStr">
        <is>
          <t>YDRE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17968-2024</t>
        </is>
      </c>
      <c r="B125" s="1" t="n">
        <v>45419</v>
      </c>
      <c r="C125" s="1" t="n">
        <v>46193</v>
      </c>
      <c r="D125" t="inlineStr">
        <is>
          <t>ÖSTERGÖTLANDS LÄN</t>
        </is>
      </c>
      <c r="E125" t="inlineStr">
        <is>
          <t>YDRE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24529-2023</t>
        </is>
      </c>
      <c r="B126" s="1" t="n">
        <v>45077</v>
      </c>
      <c r="C126" s="1" t="n">
        <v>46193</v>
      </c>
      <c r="D126" t="inlineStr">
        <is>
          <t>ÖSTERGÖTLANDS LÄN</t>
        </is>
      </c>
      <c r="E126" t="inlineStr">
        <is>
          <t>YDRE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59296-2021</t>
        </is>
      </c>
      <c r="B127" s="1" t="n">
        <v>44490</v>
      </c>
      <c r="C127" s="1" t="n">
        <v>46193</v>
      </c>
      <c r="D127" t="inlineStr">
        <is>
          <t>ÖSTERGÖTLANDS LÄN</t>
        </is>
      </c>
      <c r="E127" t="inlineStr">
        <is>
          <t>YDRE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12569-2023</t>
        </is>
      </c>
      <c r="B128" s="1" t="n">
        <v>45000</v>
      </c>
      <c r="C128" s="1" t="n">
        <v>46193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14101-2022</t>
        </is>
      </c>
      <c r="B129" s="1" t="n">
        <v>44651</v>
      </c>
      <c r="C129" s="1" t="n">
        <v>46193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795-2025</t>
        </is>
      </c>
      <c r="B130" s="1" t="n">
        <v>45665</v>
      </c>
      <c r="C130" s="1" t="n">
        <v>46193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34932-2022</t>
        </is>
      </c>
      <c r="B131" s="1" t="n">
        <v>44796</v>
      </c>
      <c r="C131" s="1" t="n">
        <v>46193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10424-2024</t>
        </is>
      </c>
      <c r="B132" s="1" t="n">
        <v>45365</v>
      </c>
      <c r="C132" s="1" t="n">
        <v>46193</v>
      </c>
      <c r="D132" t="inlineStr">
        <is>
          <t>ÖSTERGÖTLANDS LÄN</t>
        </is>
      </c>
      <c r="E132" t="inlineStr">
        <is>
          <t>YDRE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52074-2023</t>
        </is>
      </c>
      <c r="B133" s="1" t="n">
        <v>45216</v>
      </c>
      <c r="C133" s="1" t="n">
        <v>46193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52076-2023</t>
        </is>
      </c>
      <c r="B134" s="1" t="n">
        <v>45216</v>
      </c>
      <c r="C134" s="1" t="n">
        <v>46193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45194-2021</t>
        </is>
      </c>
      <c r="B135" s="1" t="n">
        <v>44439</v>
      </c>
      <c r="C135" s="1" t="n">
        <v>46193</v>
      </c>
      <c r="D135" t="inlineStr">
        <is>
          <t>ÖSTERGÖTLANDS LÄN</t>
        </is>
      </c>
      <c r="E135" t="inlineStr">
        <is>
          <t>YDRE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11566-2023</t>
        </is>
      </c>
      <c r="B136" s="1" t="n">
        <v>44994</v>
      </c>
      <c r="C136" s="1" t="n">
        <v>46193</v>
      </c>
      <c r="D136" t="inlineStr">
        <is>
          <t>ÖSTERGÖTLANDS LÄN</t>
        </is>
      </c>
      <c r="E136" t="inlineStr">
        <is>
          <t>YDRE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11567-2023</t>
        </is>
      </c>
      <c r="B137" s="1" t="n">
        <v>44994</v>
      </c>
      <c r="C137" s="1" t="n">
        <v>46193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11788-2023</t>
        </is>
      </c>
      <c r="B138" s="1" t="n">
        <v>44994</v>
      </c>
      <c r="C138" s="1" t="n">
        <v>46193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45199-2024</t>
        </is>
      </c>
      <c r="B139" s="1" t="n">
        <v>45575</v>
      </c>
      <c r="C139" s="1" t="n">
        <v>46193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48742-2023</t>
        </is>
      </c>
      <c r="B140" s="1" t="n">
        <v>45208</v>
      </c>
      <c r="C140" s="1" t="n">
        <v>46193</v>
      </c>
      <c r="D140" t="inlineStr">
        <is>
          <t>ÖSTERGÖTLANDS LÄN</t>
        </is>
      </c>
      <c r="E140" t="inlineStr">
        <is>
          <t>YDRE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50328-2024</t>
        </is>
      </c>
      <c r="B141" s="1" t="n">
        <v>45600</v>
      </c>
      <c r="C141" s="1" t="n">
        <v>46193</v>
      </c>
      <c r="D141" t="inlineStr">
        <is>
          <t>ÖSTERGÖTLANDS LÄN</t>
        </is>
      </c>
      <c r="E141" t="inlineStr">
        <is>
          <t>YDRE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49441-2024</t>
        </is>
      </c>
      <c r="B142" s="1" t="n">
        <v>45595</v>
      </c>
      <c r="C142" s="1" t="n">
        <v>46193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36803-2021</t>
        </is>
      </c>
      <c r="B143" s="1" t="n">
        <v>44392</v>
      </c>
      <c r="C143" s="1" t="n">
        <v>46193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61589-2022</t>
        </is>
      </c>
      <c r="B144" s="1" t="n">
        <v>44916</v>
      </c>
      <c r="C144" s="1" t="n">
        <v>46193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63242-2023</t>
        </is>
      </c>
      <c r="B145" s="1" t="n">
        <v>45273</v>
      </c>
      <c r="C145" s="1" t="n">
        <v>46193</v>
      </c>
      <c r="D145" t="inlineStr">
        <is>
          <t>ÖSTERGÖTLANDS LÄN</t>
        </is>
      </c>
      <c r="E145" t="inlineStr">
        <is>
          <t>YDRE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6207-2025</t>
        </is>
      </c>
      <c r="B146" s="1" t="n">
        <v>45698</v>
      </c>
      <c r="C146" s="1" t="n">
        <v>46193</v>
      </c>
      <c r="D146" t="inlineStr">
        <is>
          <t>ÖSTERGÖTLANDS LÄN</t>
        </is>
      </c>
      <c r="E146" t="inlineStr">
        <is>
          <t>YDRE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8616-2024</t>
        </is>
      </c>
      <c r="B147" s="1" t="n">
        <v>45355</v>
      </c>
      <c r="C147" s="1" t="n">
        <v>46193</v>
      </c>
      <c r="D147" t="inlineStr">
        <is>
          <t>ÖSTERGÖTLANDS LÄN</t>
        </is>
      </c>
      <c r="E147" t="inlineStr">
        <is>
          <t>YDRE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56606-2021</t>
        </is>
      </c>
      <c r="B148" s="1" t="n">
        <v>44480</v>
      </c>
      <c r="C148" s="1" t="n">
        <v>46193</v>
      </c>
      <c r="D148" t="inlineStr">
        <is>
          <t>ÖSTERGÖTLANDS LÄN</t>
        </is>
      </c>
      <c r="E148" t="inlineStr">
        <is>
          <t>YDRE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561-2025</t>
        </is>
      </c>
      <c r="B149" s="1" t="n">
        <v>45664</v>
      </c>
      <c r="C149" s="1" t="n">
        <v>46193</v>
      </c>
      <c r="D149" t="inlineStr">
        <is>
          <t>ÖSTERGÖTLANDS LÄN</t>
        </is>
      </c>
      <c r="E149" t="inlineStr">
        <is>
          <t>YDRE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39903-2021</t>
        </is>
      </c>
      <c r="B150" s="1" t="n">
        <v>44417</v>
      </c>
      <c r="C150" s="1" t="n">
        <v>46193</v>
      </c>
      <c r="D150" t="inlineStr">
        <is>
          <t>ÖSTERGÖTLANDS LÄN</t>
        </is>
      </c>
      <c r="E150" t="inlineStr">
        <is>
          <t>YDRE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39906-2021</t>
        </is>
      </c>
      <c r="B151" s="1" t="n">
        <v>44417</v>
      </c>
      <c r="C151" s="1" t="n">
        <v>46193</v>
      </c>
      <c r="D151" t="inlineStr">
        <is>
          <t>ÖSTERGÖTLANDS LÄN</t>
        </is>
      </c>
      <c r="E151" t="inlineStr">
        <is>
          <t>YDRE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27543-2024</t>
        </is>
      </c>
      <c r="B152" s="1" t="n">
        <v>45474</v>
      </c>
      <c r="C152" s="1" t="n">
        <v>46193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49698-2024</t>
        </is>
      </c>
      <c r="B153" s="1" t="n">
        <v>45596</v>
      </c>
      <c r="C153" s="1" t="n">
        <v>46193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24983-2023</t>
        </is>
      </c>
      <c r="B154" s="1" t="n">
        <v>45085</v>
      </c>
      <c r="C154" s="1" t="n">
        <v>46193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1000-2025</t>
        </is>
      </c>
      <c r="B155" s="1" t="n">
        <v>45666</v>
      </c>
      <c r="C155" s="1" t="n">
        <v>46193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32050-2023</t>
        </is>
      </c>
      <c r="B156" s="1" t="n">
        <v>45119</v>
      </c>
      <c r="C156" s="1" t="n">
        <v>46193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39237-2025</t>
        </is>
      </c>
      <c r="B157" s="1" t="n">
        <v>45889</v>
      </c>
      <c r="C157" s="1" t="n">
        <v>46193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565-2025</t>
        </is>
      </c>
      <c r="B158" s="1" t="n">
        <v>45664</v>
      </c>
      <c r="C158" s="1" t="n">
        <v>46193</v>
      </c>
      <c r="D158" t="inlineStr">
        <is>
          <t>ÖSTERGÖTLANDS LÄN</t>
        </is>
      </c>
      <c r="E158" t="inlineStr">
        <is>
          <t>YDRE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63248-2023</t>
        </is>
      </c>
      <c r="B159" s="1" t="n">
        <v>45273</v>
      </c>
      <c r="C159" s="1" t="n">
        <v>46193</v>
      </c>
      <c r="D159" t="inlineStr">
        <is>
          <t>ÖSTERGÖTLANDS LÄN</t>
        </is>
      </c>
      <c r="E159" t="inlineStr">
        <is>
          <t>YDRE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6759-2023</t>
        </is>
      </c>
      <c r="B160" s="1" t="n">
        <v>44966</v>
      </c>
      <c r="C160" s="1" t="n">
        <v>46193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24693-2024</t>
        </is>
      </c>
      <c r="B161" s="1" t="n">
        <v>45460</v>
      </c>
      <c r="C161" s="1" t="n">
        <v>46193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55844-2021</t>
        </is>
      </c>
      <c r="B162" s="1" t="n">
        <v>44476</v>
      </c>
      <c r="C162" s="1" t="n">
        <v>46193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17296-2024</t>
        </is>
      </c>
      <c r="B163" s="1" t="n">
        <v>45414</v>
      </c>
      <c r="C163" s="1" t="n">
        <v>46193</v>
      </c>
      <c r="D163" t="inlineStr">
        <is>
          <t>ÖSTERGÖTLANDS LÄN</t>
        </is>
      </c>
      <c r="E163" t="inlineStr">
        <is>
          <t>YDRE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1033-2025</t>
        </is>
      </c>
      <c r="B164" s="1" t="n">
        <v>45666</v>
      </c>
      <c r="C164" s="1" t="n">
        <v>46193</v>
      </c>
      <c r="D164" t="inlineStr">
        <is>
          <t>ÖSTERGÖTLANDS LÄN</t>
        </is>
      </c>
      <c r="E164" t="inlineStr">
        <is>
          <t>YDRE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47899-2023</t>
        </is>
      </c>
      <c r="B165" s="1" t="n">
        <v>45204</v>
      </c>
      <c r="C165" s="1" t="n">
        <v>46193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11790-2023</t>
        </is>
      </c>
      <c r="B166" s="1" t="n">
        <v>44994</v>
      </c>
      <c r="C166" s="1" t="n">
        <v>46193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11902-2022</t>
        </is>
      </c>
      <c r="B167" s="1" t="n">
        <v>44635</v>
      </c>
      <c r="C167" s="1" t="n">
        <v>46193</v>
      </c>
      <c r="D167" t="inlineStr">
        <is>
          <t>ÖSTERGÖTLANDS LÄN</t>
        </is>
      </c>
      <c r="E167" t="inlineStr">
        <is>
          <t>YDRE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45198-2024</t>
        </is>
      </c>
      <c r="B168" s="1" t="n">
        <v>45575</v>
      </c>
      <c r="C168" s="1" t="n">
        <v>46193</v>
      </c>
      <c r="D168" t="inlineStr">
        <is>
          <t>ÖSTERGÖTLANDS LÄN</t>
        </is>
      </c>
      <c r="E168" t="inlineStr">
        <is>
          <t>YDRE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794-2025</t>
        </is>
      </c>
      <c r="B169" s="1" t="n">
        <v>45665</v>
      </c>
      <c r="C169" s="1" t="n">
        <v>46193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30108-2023</t>
        </is>
      </c>
      <c r="B170" s="1" t="n">
        <v>45110</v>
      </c>
      <c r="C170" s="1" t="n">
        <v>46193</v>
      </c>
      <c r="D170" t="inlineStr">
        <is>
          <t>ÖSTERGÖTLANDS LÄN</t>
        </is>
      </c>
      <c r="E170" t="inlineStr">
        <is>
          <t>YDRE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27159-2023</t>
        </is>
      </c>
      <c r="B171" s="1" t="n">
        <v>45096</v>
      </c>
      <c r="C171" s="1" t="n">
        <v>46193</v>
      </c>
      <c r="D171" t="inlineStr">
        <is>
          <t>ÖSTERGÖTLANDS LÄN</t>
        </is>
      </c>
      <c r="E171" t="inlineStr">
        <is>
          <t>YDRE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41069-2025</t>
        </is>
      </c>
      <c r="B172" s="1" t="n">
        <v>45898</v>
      </c>
      <c r="C172" s="1" t="n">
        <v>46193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50977-2023</t>
        </is>
      </c>
      <c r="B173" s="1" t="n">
        <v>45218</v>
      </c>
      <c r="C173" s="1" t="n">
        <v>46193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49694-2024</t>
        </is>
      </c>
      <c r="B174" s="1" t="n">
        <v>45596</v>
      </c>
      <c r="C174" s="1" t="n">
        <v>46193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15112-2023</t>
        </is>
      </c>
      <c r="B175" s="1" t="n">
        <v>45016</v>
      </c>
      <c r="C175" s="1" t="n">
        <v>46193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54942-2023</t>
        </is>
      </c>
      <c r="B176" s="1" t="n">
        <v>45236</v>
      </c>
      <c r="C176" s="1" t="n">
        <v>46193</v>
      </c>
      <c r="D176" t="inlineStr">
        <is>
          <t>ÖSTERGÖTLANDS LÄN</t>
        </is>
      </c>
      <c r="E176" t="inlineStr">
        <is>
          <t>YDRE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39788-2025</t>
        </is>
      </c>
      <c r="B177" s="1" t="n">
        <v>45891</v>
      </c>
      <c r="C177" s="1" t="n">
        <v>46193</v>
      </c>
      <c r="D177" t="inlineStr">
        <is>
          <t>ÖSTERGÖTLANDS LÄN</t>
        </is>
      </c>
      <c r="E177" t="inlineStr">
        <is>
          <t>YDRE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58413-2024</t>
        </is>
      </c>
      <c r="B178" s="1" t="n">
        <v>45634</v>
      </c>
      <c r="C178" s="1" t="n">
        <v>46193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61753-2024</t>
        </is>
      </c>
      <c r="B179" s="1" t="n">
        <v>45649</v>
      </c>
      <c r="C179" s="1" t="n">
        <v>46193</v>
      </c>
      <c r="D179" t="inlineStr">
        <is>
          <t>ÖSTERGÖTLANDS LÄN</t>
        </is>
      </c>
      <c r="E179" t="inlineStr">
        <is>
          <t>YDRE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13529-2025</t>
        </is>
      </c>
      <c r="B180" s="1" t="n">
        <v>45736</v>
      </c>
      <c r="C180" s="1" t="n">
        <v>46193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1028-2025</t>
        </is>
      </c>
      <c r="B181" s="1" t="n">
        <v>45666</v>
      </c>
      <c r="C181" s="1" t="n">
        <v>46193</v>
      </c>
      <c r="D181" t="inlineStr">
        <is>
          <t>ÖSTERGÖTLANDS LÄN</t>
        </is>
      </c>
      <c r="E181" t="inlineStr">
        <is>
          <t>YDRE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54047-2024</t>
        </is>
      </c>
      <c r="B182" s="1" t="n">
        <v>45616</v>
      </c>
      <c r="C182" s="1" t="n">
        <v>46193</v>
      </c>
      <c r="D182" t="inlineStr">
        <is>
          <t>ÖSTERGÖTLANDS LÄN</t>
        </is>
      </c>
      <c r="E182" t="inlineStr">
        <is>
          <t>YDRE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43100-2025</t>
        </is>
      </c>
      <c r="B183" s="1" t="n">
        <v>45909</v>
      </c>
      <c r="C183" s="1" t="n">
        <v>46193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</v>
      </c>
      <c r="C184" s="1" t="n">
        <v>46193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43234-2025</t>
        </is>
      </c>
      <c r="B185" s="1" t="n">
        <v>45910</v>
      </c>
      <c r="C185" s="1" t="n">
        <v>46193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43231-2025</t>
        </is>
      </c>
      <c r="B186" s="1" t="n">
        <v>45910</v>
      </c>
      <c r="C186" s="1" t="n">
        <v>46193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43232-2025</t>
        </is>
      </c>
      <c r="B187" s="1" t="n">
        <v>45910</v>
      </c>
      <c r="C187" s="1" t="n">
        <v>46193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9158-2025</t>
        </is>
      </c>
      <c r="B188" s="1" t="n">
        <v>45714</v>
      </c>
      <c r="C188" s="1" t="n">
        <v>46193</v>
      </c>
      <c r="D188" t="inlineStr">
        <is>
          <t>ÖSTERGÖTLANDS LÄN</t>
        </is>
      </c>
      <c r="E188" t="inlineStr">
        <is>
          <t>YDRE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38928-2022</t>
        </is>
      </c>
      <c r="B189" s="1" t="n">
        <v>44816</v>
      </c>
      <c r="C189" s="1" t="n">
        <v>46193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49967-2024</t>
        </is>
      </c>
      <c r="B190" s="1" t="n">
        <v>45597</v>
      </c>
      <c r="C190" s="1" t="n">
        <v>46193</v>
      </c>
      <c r="D190" t="inlineStr">
        <is>
          <t>ÖSTERGÖTLANDS LÄN</t>
        </is>
      </c>
      <c r="E190" t="inlineStr">
        <is>
          <t>YDRE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40698-2023</t>
        </is>
      </c>
      <c r="B191" s="1" t="n">
        <v>45170</v>
      </c>
      <c r="C191" s="1" t="n">
        <v>46193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20048-2023</t>
        </is>
      </c>
      <c r="B192" s="1" t="n">
        <v>45054</v>
      </c>
      <c r="C192" s="1" t="n">
        <v>46193</v>
      </c>
      <c r="D192" t="inlineStr">
        <is>
          <t>ÖSTERGÖTLANDS LÄN</t>
        </is>
      </c>
      <c r="E192" t="inlineStr">
        <is>
          <t>YDRE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17181-2025</t>
        </is>
      </c>
      <c r="B193" s="1" t="n">
        <v>45755</v>
      </c>
      <c r="C193" s="1" t="n">
        <v>46193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40692-2023</t>
        </is>
      </c>
      <c r="B194" s="1" t="n">
        <v>45170</v>
      </c>
      <c r="C194" s="1" t="n">
        <v>46193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5287-2025</t>
        </is>
      </c>
      <c r="B195" s="1" t="n">
        <v>45692</v>
      </c>
      <c r="C195" s="1" t="n">
        <v>46193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1-2022</t>
        </is>
      </c>
      <c r="B196" s="1" t="n">
        <v>44562</v>
      </c>
      <c r="C196" s="1" t="n">
        <v>46193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2670-2025</t>
        </is>
      </c>
      <c r="B197" s="1" t="n">
        <v>45677</v>
      </c>
      <c r="C197" s="1" t="n">
        <v>46193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44301-2025</t>
        </is>
      </c>
      <c r="B198" s="1" t="n">
        <v>45916</v>
      </c>
      <c r="C198" s="1" t="n">
        <v>46193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8073-2025</t>
        </is>
      </c>
      <c r="B199" s="1" t="n">
        <v>45707</v>
      </c>
      <c r="C199" s="1" t="n">
        <v>46193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26026-2023</t>
        </is>
      </c>
      <c r="B200" s="1" t="n">
        <v>45091</v>
      </c>
      <c r="C200" s="1" t="n">
        <v>46193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61942-2021</t>
        </is>
      </c>
      <c r="B201" s="1" t="n">
        <v>44502</v>
      </c>
      <c r="C201" s="1" t="n">
        <v>46193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44498-2025</t>
        </is>
      </c>
      <c r="B202" s="1" t="n">
        <v>45916</v>
      </c>
      <c r="C202" s="1" t="n">
        <v>46193</v>
      </c>
      <c r="D202" t="inlineStr">
        <is>
          <t>ÖSTERGÖTLANDS LÄN</t>
        </is>
      </c>
      <c r="E202" t="inlineStr">
        <is>
          <t>YDRE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19769-2024</t>
        </is>
      </c>
      <c r="B203" s="1" t="n">
        <v>45432</v>
      </c>
      <c r="C203" s="1" t="n">
        <v>46193</v>
      </c>
      <c r="D203" t="inlineStr">
        <is>
          <t>ÖSTERGÖTLANDS LÄN</t>
        </is>
      </c>
      <c r="E203" t="inlineStr">
        <is>
          <t>YDRE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44474-2025</t>
        </is>
      </c>
      <c r="B204" s="1" t="n">
        <v>45916</v>
      </c>
      <c r="C204" s="1" t="n">
        <v>46193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59589-2024</t>
        </is>
      </c>
      <c r="B205" s="1" t="n">
        <v>45638</v>
      </c>
      <c r="C205" s="1" t="n">
        <v>46193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17277-2024</t>
        </is>
      </c>
      <c r="B206" s="1" t="n">
        <v>45414</v>
      </c>
      <c r="C206" s="1" t="n">
        <v>46193</v>
      </c>
      <c r="D206" t="inlineStr">
        <is>
          <t>ÖSTERGÖTLANDS LÄN</t>
        </is>
      </c>
      <c r="E206" t="inlineStr">
        <is>
          <t>YDRE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17301-2024</t>
        </is>
      </c>
      <c r="B207" s="1" t="n">
        <v>45414</v>
      </c>
      <c r="C207" s="1" t="n">
        <v>46193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44468-2025</t>
        </is>
      </c>
      <c r="B208" s="1" t="n">
        <v>45916</v>
      </c>
      <c r="C208" s="1" t="n">
        <v>46193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44294-2025</t>
        </is>
      </c>
      <c r="B209" s="1" t="n">
        <v>45916</v>
      </c>
      <c r="C209" s="1" t="n">
        <v>46193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44464-2025</t>
        </is>
      </c>
      <c r="B210" s="1" t="n">
        <v>45916</v>
      </c>
      <c r="C210" s="1" t="n">
        <v>46193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30049-2023</t>
        </is>
      </c>
      <c r="B211" s="1" t="n">
        <v>45110</v>
      </c>
      <c r="C211" s="1" t="n">
        <v>46193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8088-2025</t>
        </is>
      </c>
      <c r="B212" s="1" t="n">
        <v>45707</v>
      </c>
      <c r="C212" s="1" t="n">
        <v>46193</v>
      </c>
      <c r="D212" t="inlineStr">
        <is>
          <t>ÖSTERGÖTLANDS LÄN</t>
        </is>
      </c>
      <c r="E212" t="inlineStr">
        <is>
          <t>YDRE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44993-2025</t>
        </is>
      </c>
      <c r="B213" s="1" t="n">
        <v>45918</v>
      </c>
      <c r="C213" s="1" t="n">
        <v>46193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26101-2024</t>
        </is>
      </c>
      <c r="B214" s="1" t="n">
        <v>45468</v>
      </c>
      <c r="C214" s="1" t="n">
        <v>46193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43335-2025</t>
        </is>
      </c>
      <c r="B215" s="1" t="n">
        <v>45910</v>
      </c>
      <c r="C215" s="1" t="n">
        <v>46193</v>
      </c>
      <c r="D215" t="inlineStr">
        <is>
          <t>ÖSTERGÖTLANDS LÄN</t>
        </is>
      </c>
      <c r="E215" t="inlineStr">
        <is>
          <t>YDRE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45752-2025</t>
        </is>
      </c>
      <c r="B216" s="1" t="n">
        <v>45922</v>
      </c>
      <c r="C216" s="1" t="n">
        <v>46193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30554-2024</t>
        </is>
      </c>
      <c r="B217" s="1" t="n">
        <v>45492</v>
      </c>
      <c r="C217" s="1" t="n">
        <v>46193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46086-2025</t>
        </is>
      </c>
      <c r="B218" s="1" t="n">
        <v>45924</v>
      </c>
      <c r="C218" s="1" t="n">
        <v>46193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46193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56900-2022</t>
        </is>
      </c>
      <c r="B220" s="1" t="n">
        <v>44894</v>
      </c>
      <c r="C220" s="1" t="n">
        <v>46193</v>
      </c>
      <c r="D220" t="inlineStr">
        <is>
          <t>ÖSTERGÖTLANDS LÄN</t>
        </is>
      </c>
      <c r="E220" t="inlineStr">
        <is>
          <t>YDRE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60931-2025</t>
        </is>
      </c>
      <c r="B221" s="1" t="n">
        <v>45999</v>
      </c>
      <c r="C221" s="1" t="n">
        <v>46193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9160-2023</t>
        </is>
      </c>
      <c r="B222" s="1" t="n">
        <v>44980</v>
      </c>
      <c r="C222" s="1" t="n">
        <v>46193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1007-2025</t>
        </is>
      </c>
      <c r="B223" s="1" t="n">
        <v>45666</v>
      </c>
      <c r="C223" s="1" t="n">
        <v>46193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5665-2024</t>
        </is>
      </c>
      <c r="B224" s="1" t="n">
        <v>45334</v>
      </c>
      <c r="C224" s="1" t="n">
        <v>46193</v>
      </c>
      <c r="D224" t="inlineStr">
        <is>
          <t>ÖSTERGÖTLANDS LÄN</t>
        </is>
      </c>
      <c r="E224" t="inlineStr">
        <is>
          <t>YDRE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47515-2025</t>
        </is>
      </c>
      <c r="B225" s="1" t="n">
        <v>45931</v>
      </c>
      <c r="C225" s="1" t="n">
        <v>46193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47514-2025</t>
        </is>
      </c>
      <c r="B226" s="1" t="n">
        <v>45931</v>
      </c>
      <c r="C226" s="1" t="n">
        <v>46193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48026-2025</t>
        </is>
      </c>
      <c r="B227" s="1" t="n">
        <v>45932</v>
      </c>
      <c r="C227" s="1" t="n">
        <v>46193</v>
      </c>
      <c r="D227" t="inlineStr">
        <is>
          <t>ÖSTERGÖTLANDS LÄN</t>
        </is>
      </c>
      <c r="E227" t="inlineStr">
        <is>
          <t>YDRE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27905-2024</t>
        </is>
      </c>
      <c r="B228" s="1" t="n">
        <v>45475</v>
      </c>
      <c r="C228" s="1" t="n">
        <v>46193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9180-2025</t>
        </is>
      </c>
      <c r="B229" s="1" t="n">
        <v>45714</v>
      </c>
      <c r="C229" s="1" t="n">
        <v>46193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38045-2024</t>
        </is>
      </c>
      <c r="B230" s="1" t="n">
        <v>45544</v>
      </c>
      <c r="C230" s="1" t="n">
        <v>46193</v>
      </c>
      <c r="D230" t="inlineStr">
        <is>
          <t>ÖSTERGÖTLANDS LÄN</t>
        </is>
      </c>
      <c r="E230" t="inlineStr">
        <is>
          <t>YDRE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9997-2025</t>
        </is>
      </c>
      <c r="B231" s="1" t="n">
        <v>45719</v>
      </c>
      <c r="C231" s="1" t="n">
        <v>46193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18.2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10414-2024</t>
        </is>
      </c>
      <c r="B232" s="1" t="n">
        <v>45365</v>
      </c>
      <c r="C232" s="1" t="n">
        <v>46193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49895-2025</t>
        </is>
      </c>
      <c r="B233" s="1" t="n">
        <v>45940</v>
      </c>
      <c r="C233" s="1" t="n">
        <v>46193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49451-2025</t>
        </is>
      </c>
      <c r="B234" s="1" t="n">
        <v>45938</v>
      </c>
      <c r="C234" s="1" t="n">
        <v>46193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49452-2025</t>
        </is>
      </c>
      <c r="B235" s="1" t="n">
        <v>45938</v>
      </c>
      <c r="C235" s="1" t="n">
        <v>46193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49450-2025</t>
        </is>
      </c>
      <c r="B236" s="1" t="n">
        <v>45938</v>
      </c>
      <c r="C236" s="1" t="n">
        <v>46193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49890-2025</t>
        </is>
      </c>
      <c r="B237" s="1" t="n">
        <v>45940</v>
      </c>
      <c r="C237" s="1" t="n">
        <v>46193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24137-2025</t>
        </is>
      </c>
      <c r="B238" s="1" t="n">
        <v>45796</v>
      </c>
      <c r="C238" s="1" t="n">
        <v>46193</v>
      </c>
      <c r="D238" t="inlineStr">
        <is>
          <t>ÖSTERGÖTLANDS LÄN</t>
        </is>
      </c>
      <c r="E238" t="inlineStr">
        <is>
          <t>YDRE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59812-2022</t>
        </is>
      </c>
      <c r="B239" s="1" t="n">
        <v>44908</v>
      </c>
      <c r="C239" s="1" t="n">
        <v>46193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56313-2021</t>
        </is>
      </c>
      <c r="B240" s="1" t="n">
        <v>44480</v>
      </c>
      <c r="C240" s="1" t="n">
        <v>46193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50018-2025</t>
        </is>
      </c>
      <c r="B241" s="1" t="n">
        <v>45943</v>
      </c>
      <c r="C241" s="1" t="n">
        <v>46193</v>
      </c>
      <c r="D241" t="inlineStr">
        <is>
          <t>ÖSTERGÖTLANDS LÄN</t>
        </is>
      </c>
      <c r="E241" t="inlineStr">
        <is>
          <t>YDRE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24140-2025</t>
        </is>
      </c>
      <c r="B242" s="1" t="n">
        <v>45796</v>
      </c>
      <c r="C242" s="1" t="n">
        <v>46193</v>
      </c>
      <c r="D242" t="inlineStr">
        <is>
          <t>ÖSTERGÖTLANDS LÄN</t>
        </is>
      </c>
      <c r="E242" t="inlineStr">
        <is>
          <t>YDRE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51153-2022</t>
        </is>
      </c>
      <c r="B243" s="1" t="n">
        <v>44868</v>
      </c>
      <c r="C243" s="1" t="n">
        <v>46193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61205-2023</t>
        </is>
      </c>
      <c r="B244" s="1" t="n">
        <v>45264</v>
      </c>
      <c r="C244" s="1" t="n">
        <v>46193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11493-2025</t>
        </is>
      </c>
      <c r="B245" s="1" t="n">
        <v>45726</v>
      </c>
      <c r="C245" s="1" t="n">
        <v>46193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36711-2023</t>
        </is>
      </c>
      <c r="B246" s="1" t="n">
        <v>45153</v>
      </c>
      <c r="C246" s="1" t="n">
        <v>46193</v>
      </c>
      <c r="D246" t="inlineStr">
        <is>
          <t>ÖSTERGÖTLANDS LÄN</t>
        </is>
      </c>
      <c r="E246" t="inlineStr">
        <is>
          <t>YDRE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50792-2025</t>
        </is>
      </c>
      <c r="B247" s="1" t="n">
        <v>45946</v>
      </c>
      <c r="C247" s="1" t="n">
        <v>46193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62859-2023</t>
        </is>
      </c>
      <c r="B248" s="1" t="n">
        <v>45272</v>
      </c>
      <c r="C248" s="1" t="n">
        <v>46193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13866-2025</t>
        </is>
      </c>
      <c r="B249" s="1" t="n">
        <v>45737</v>
      </c>
      <c r="C249" s="1" t="n">
        <v>46193</v>
      </c>
      <c r="D249" t="inlineStr">
        <is>
          <t>ÖSTERGÖTLANDS LÄN</t>
        </is>
      </c>
      <c r="E249" t="inlineStr">
        <is>
          <t>YDRE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7064-2025</t>
        </is>
      </c>
      <c r="B250" s="1" t="n">
        <v>45701</v>
      </c>
      <c r="C250" s="1" t="n">
        <v>46193</v>
      </c>
      <c r="D250" t="inlineStr">
        <is>
          <t>ÖSTERGÖTLANDS LÄN</t>
        </is>
      </c>
      <c r="E250" t="inlineStr">
        <is>
          <t>YDRE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26603-2026</t>
        </is>
      </c>
      <c r="B251" s="1" t="n">
        <v>46183</v>
      </c>
      <c r="C251" s="1" t="n">
        <v>46193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45875-2024</t>
        </is>
      </c>
      <c r="B252" s="1" t="n">
        <v>45580</v>
      </c>
      <c r="C252" s="1" t="n">
        <v>46193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7051-2025</t>
        </is>
      </c>
      <c r="B253" s="1" t="n">
        <v>45701</v>
      </c>
      <c r="C253" s="1" t="n">
        <v>46193</v>
      </c>
      <c r="D253" t="inlineStr">
        <is>
          <t>ÖSTERGÖTLANDS LÄN</t>
        </is>
      </c>
      <c r="E253" t="inlineStr">
        <is>
          <t>YDRE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25844-2023</t>
        </is>
      </c>
      <c r="B254" s="1" t="n">
        <v>45090</v>
      </c>
      <c r="C254" s="1" t="n">
        <v>46193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52389-2025</t>
        </is>
      </c>
      <c r="B255" s="1" t="n">
        <v>45954</v>
      </c>
      <c r="C255" s="1" t="n">
        <v>46193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11785-2023</t>
        </is>
      </c>
      <c r="B256" s="1" t="n">
        <v>44994</v>
      </c>
      <c r="C256" s="1" t="n">
        <v>46193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52397-2025</t>
        </is>
      </c>
      <c r="B257" s="1" t="n">
        <v>45954</v>
      </c>
      <c r="C257" s="1" t="n">
        <v>46193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55867-2023</t>
        </is>
      </c>
      <c r="B258" s="1" t="n">
        <v>45239</v>
      </c>
      <c r="C258" s="1" t="n">
        <v>46193</v>
      </c>
      <c r="D258" t="inlineStr">
        <is>
          <t>ÖSTERGÖTLANDS LÄN</t>
        </is>
      </c>
      <c r="E258" t="inlineStr">
        <is>
          <t>YDRE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21064-2026</t>
        </is>
      </c>
      <c r="B259" s="1" t="n">
        <v>46146</v>
      </c>
      <c r="C259" s="1" t="n">
        <v>46193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53369-2025</t>
        </is>
      </c>
      <c r="B260" s="1" t="n">
        <v>45959</v>
      </c>
      <c r="C260" s="1" t="n">
        <v>46193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53389-2025</t>
        </is>
      </c>
      <c r="B261" s="1" t="n">
        <v>45959</v>
      </c>
      <c r="C261" s="1" t="n">
        <v>46193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57290-2021</t>
        </is>
      </c>
      <c r="B262" s="1" t="n">
        <v>44483</v>
      </c>
      <c r="C262" s="1" t="n">
        <v>46193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54066-2025</t>
        </is>
      </c>
      <c r="B263" s="1" t="n">
        <v>45964</v>
      </c>
      <c r="C263" s="1" t="n">
        <v>46193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7026-2025</t>
        </is>
      </c>
      <c r="B264" s="1" t="n">
        <v>45701</v>
      </c>
      <c r="C264" s="1" t="n">
        <v>46193</v>
      </c>
      <c r="D264" t="inlineStr">
        <is>
          <t>ÖSTERGÖTLANDS LÄN</t>
        </is>
      </c>
      <c r="E264" t="inlineStr">
        <is>
          <t>YDRE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54059-2025</t>
        </is>
      </c>
      <c r="B265" s="1" t="n">
        <v>45964</v>
      </c>
      <c r="C265" s="1" t="n">
        <v>46193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54063-2025</t>
        </is>
      </c>
      <c r="B266" s="1" t="n">
        <v>45964</v>
      </c>
      <c r="C266" s="1" t="n">
        <v>46193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54602-2025</t>
        </is>
      </c>
      <c r="B267" s="1" t="n">
        <v>45965</v>
      </c>
      <c r="C267" s="1" t="n">
        <v>46193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54544-2025</t>
        </is>
      </c>
      <c r="B268" s="1" t="n">
        <v>45965</v>
      </c>
      <c r="C268" s="1" t="n">
        <v>46193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54564-2025</t>
        </is>
      </c>
      <c r="B269" s="1" t="n">
        <v>45965</v>
      </c>
      <c r="C269" s="1" t="n">
        <v>46193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54529-2025</t>
        </is>
      </c>
      <c r="B270" s="1" t="n">
        <v>45965</v>
      </c>
      <c r="C270" s="1" t="n">
        <v>46193</v>
      </c>
      <c r="D270" t="inlineStr">
        <is>
          <t>ÖSTERGÖTLANDS LÄN</t>
        </is>
      </c>
      <c r="E270" t="inlineStr">
        <is>
          <t>YDRE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1176-2022</t>
        </is>
      </c>
      <c r="B271" s="1" t="n">
        <v>44572</v>
      </c>
      <c r="C271" s="1" t="n">
        <v>46193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54516-2025</t>
        </is>
      </c>
      <c r="B272" s="1" t="n">
        <v>45965</v>
      </c>
      <c r="C272" s="1" t="n">
        <v>46193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11163-2023</t>
        </is>
      </c>
      <c r="B273" s="1" t="n">
        <v>44987</v>
      </c>
      <c r="C273" s="1" t="n">
        <v>46193</v>
      </c>
      <c r="D273" t="inlineStr">
        <is>
          <t>ÖSTERGÖTLANDS LÄN</t>
        </is>
      </c>
      <c r="E273" t="inlineStr">
        <is>
          <t>YDRE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54575-2025</t>
        </is>
      </c>
      <c r="B274" s="1" t="n">
        <v>45965</v>
      </c>
      <c r="C274" s="1" t="n">
        <v>46193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54569-2025</t>
        </is>
      </c>
      <c r="B275" s="1" t="n">
        <v>45965</v>
      </c>
      <c r="C275" s="1" t="n">
        <v>46193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54513-2025</t>
        </is>
      </c>
      <c r="B276" s="1" t="n">
        <v>45965</v>
      </c>
      <c r="C276" s="1" t="n">
        <v>46193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54555-2025</t>
        </is>
      </c>
      <c r="B277" s="1" t="n">
        <v>45965</v>
      </c>
      <c r="C277" s="1" t="n">
        <v>46193</v>
      </c>
      <c r="D277" t="inlineStr">
        <is>
          <t>ÖSTERGÖTLANDS LÄN</t>
        </is>
      </c>
      <c r="E277" t="inlineStr">
        <is>
          <t>YDRE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42343-2022</t>
        </is>
      </c>
      <c r="B278" s="1" t="n">
        <v>44831</v>
      </c>
      <c r="C278" s="1" t="n">
        <v>46193</v>
      </c>
      <c r="D278" t="inlineStr">
        <is>
          <t>ÖSTERGÖTLANDS LÄN</t>
        </is>
      </c>
      <c r="E278" t="inlineStr">
        <is>
          <t>YDRE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47338-2024</t>
        </is>
      </c>
      <c r="B279" s="1" t="n">
        <v>45587</v>
      </c>
      <c r="C279" s="1" t="n">
        <v>46193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28959-2025</t>
        </is>
      </c>
      <c r="B280" s="1" t="n">
        <v>45821</v>
      </c>
      <c r="C280" s="1" t="n">
        <v>46193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68983-2021</t>
        </is>
      </c>
      <c r="B281" s="1" t="n">
        <v>44530</v>
      </c>
      <c r="C281" s="1" t="n">
        <v>46193</v>
      </c>
      <c r="D281" t="inlineStr">
        <is>
          <t>ÖSTERGÖTLANDS LÄN</t>
        </is>
      </c>
      <c r="E281" t="inlineStr">
        <is>
          <t>YDRE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5843-2024</t>
        </is>
      </c>
      <c r="B282" s="1" t="n">
        <v>45335</v>
      </c>
      <c r="C282" s="1" t="n">
        <v>46193</v>
      </c>
      <c r="D282" t="inlineStr">
        <is>
          <t>ÖSTERGÖTLANDS LÄN</t>
        </is>
      </c>
      <c r="E282" t="inlineStr">
        <is>
          <t>YDRE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21063-2026</t>
        </is>
      </c>
      <c r="B283" s="1" t="n">
        <v>46146</v>
      </c>
      <c r="C283" s="1" t="n">
        <v>46193</v>
      </c>
      <c r="D283" t="inlineStr">
        <is>
          <t>ÖSTERGÖTLANDS LÄN</t>
        </is>
      </c>
      <c r="E283" t="inlineStr">
        <is>
          <t>YDRE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21069-2026</t>
        </is>
      </c>
      <c r="B284" s="1" t="n">
        <v>46146</v>
      </c>
      <c r="C284" s="1" t="n">
        <v>46193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21070-2026</t>
        </is>
      </c>
      <c r="B285" s="1" t="n">
        <v>46146</v>
      </c>
      <c r="C285" s="1" t="n">
        <v>46193</v>
      </c>
      <c r="D285" t="inlineStr">
        <is>
          <t>ÖSTERGÖTLANDS LÄN</t>
        </is>
      </c>
      <c r="E285" t="inlineStr">
        <is>
          <t>YDRE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30721-2025</t>
        </is>
      </c>
      <c r="B286" s="1" t="n">
        <v>45831</v>
      </c>
      <c r="C286" s="1" t="n">
        <v>46193</v>
      </c>
      <c r="D286" t="inlineStr">
        <is>
          <t>ÖSTERGÖTLANDS LÄN</t>
        </is>
      </c>
      <c r="E286" t="inlineStr">
        <is>
          <t>YDRE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30557-2025</t>
        </is>
      </c>
      <c r="B287" s="1" t="n">
        <v>45831</v>
      </c>
      <c r="C287" s="1" t="n">
        <v>46193</v>
      </c>
      <c r="D287" t="inlineStr">
        <is>
          <t>ÖSTERGÖTLANDS LÄN</t>
        </is>
      </c>
      <c r="E287" t="inlineStr">
        <is>
          <t>YDRE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30726-2025</t>
        </is>
      </c>
      <c r="B288" s="1" t="n">
        <v>45831</v>
      </c>
      <c r="C288" s="1" t="n">
        <v>46193</v>
      </c>
      <c r="D288" t="inlineStr">
        <is>
          <t>ÖSTERGÖTLANDS LÄN</t>
        </is>
      </c>
      <c r="E288" t="inlineStr">
        <is>
          <t>YDRE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30752-2025</t>
        </is>
      </c>
      <c r="B289" s="1" t="n">
        <v>45831</v>
      </c>
      <c r="C289" s="1" t="n">
        <v>46193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30531-2025</t>
        </is>
      </c>
      <c r="B290" s="1" t="n">
        <v>45831</v>
      </c>
      <c r="C290" s="1" t="n">
        <v>46193</v>
      </c>
      <c r="D290" t="inlineStr">
        <is>
          <t>ÖSTERGÖTLANDS LÄN</t>
        </is>
      </c>
      <c r="E290" t="inlineStr">
        <is>
          <t>YDRE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30559-2025</t>
        </is>
      </c>
      <c r="B291" s="1" t="n">
        <v>45831</v>
      </c>
      <c r="C291" s="1" t="n">
        <v>46193</v>
      </c>
      <c r="D291" t="inlineStr">
        <is>
          <t>ÖSTERGÖTLANDS LÄN</t>
        </is>
      </c>
      <c r="E291" t="inlineStr">
        <is>
          <t>YDRE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30548-2025</t>
        </is>
      </c>
      <c r="B292" s="1" t="n">
        <v>45831</v>
      </c>
      <c r="C292" s="1" t="n">
        <v>46193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30759-2025</t>
        </is>
      </c>
      <c r="B293" s="1" t="n">
        <v>45831</v>
      </c>
      <c r="C293" s="1" t="n">
        <v>46193</v>
      </c>
      <c r="D293" t="inlineStr">
        <is>
          <t>ÖSTERGÖTLANDS LÄN</t>
        </is>
      </c>
      <c r="E293" t="inlineStr">
        <is>
          <t>YDRE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30551-2025</t>
        </is>
      </c>
      <c r="B294" s="1" t="n">
        <v>45831</v>
      </c>
      <c r="C294" s="1" t="n">
        <v>46193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14953-2024</t>
        </is>
      </c>
      <c r="B295" s="1" t="n">
        <v>45398</v>
      </c>
      <c r="C295" s="1" t="n">
        <v>46193</v>
      </c>
      <c r="D295" t="inlineStr">
        <is>
          <t>ÖSTERGÖTLANDS LÄN</t>
        </is>
      </c>
      <c r="E295" t="inlineStr">
        <is>
          <t>YDRE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30126-2023</t>
        </is>
      </c>
      <c r="B296" s="1" t="n">
        <v>45110</v>
      </c>
      <c r="C296" s="1" t="n">
        <v>46193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21117-2026</t>
        </is>
      </c>
      <c r="B297" s="1" t="n">
        <v>46146</v>
      </c>
      <c r="C297" s="1" t="n">
        <v>46193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32635-2025</t>
        </is>
      </c>
      <c r="B298" s="1" t="n">
        <v>45838</v>
      </c>
      <c r="C298" s="1" t="n">
        <v>46193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34181-2023</t>
        </is>
      </c>
      <c r="B299" s="1" t="n">
        <v>45138</v>
      </c>
      <c r="C299" s="1" t="n">
        <v>46193</v>
      </c>
      <c r="D299" t="inlineStr">
        <is>
          <t>ÖSTERGÖTLANDS LÄN</t>
        </is>
      </c>
      <c r="E299" t="inlineStr">
        <is>
          <t>YDRE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62815-2021</t>
        </is>
      </c>
      <c r="B300" s="1" t="n">
        <v>44504</v>
      </c>
      <c r="C300" s="1" t="n">
        <v>46193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22961-2025</t>
        </is>
      </c>
      <c r="B301" s="1" t="n">
        <v>45790</v>
      </c>
      <c r="C301" s="1" t="n">
        <v>46193</v>
      </c>
      <c r="D301" t="inlineStr">
        <is>
          <t>ÖSTERGÖTLANDS LÄN</t>
        </is>
      </c>
      <c r="E301" t="inlineStr">
        <is>
          <t>YDRE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37567-2023</t>
        </is>
      </c>
      <c r="B302" s="1" t="n">
        <v>45159</v>
      </c>
      <c r="C302" s="1" t="n">
        <v>46193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26784-2025</t>
        </is>
      </c>
      <c r="B303" s="1" t="n">
        <v>45810</v>
      </c>
      <c r="C303" s="1" t="n">
        <v>46193</v>
      </c>
      <c r="D303" t="inlineStr">
        <is>
          <t>ÖSTERGÖTLANDS LÄN</t>
        </is>
      </c>
      <c r="E303" t="inlineStr">
        <is>
          <t>YDRE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14184-2022</t>
        </is>
      </c>
      <c r="B304" s="1" t="n">
        <v>44651</v>
      </c>
      <c r="C304" s="1" t="n">
        <v>46193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62485-2021</t>
        </is>
      </c>
      <c r="B305" s="1" t="n">
        <v>44503</v>
      </c>
      <c r="C305" s="1" t="n">
        <v>46193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46689-2024</t>
        </is>
      </c>
      <c r="B306" s="1" t="n">
        <v>45583</v>
      </c>
      <c r="C306" s="1" t="n">
        <v>46193</v>
      </c>
      <c r="D306" t="inlineStr">
        <is>
          <t>ÖSTERGÖTLANDS LÄN</t>
        </is>
      </c>
      <c r="E306" t="inlineStr">
        <is>
          <t>YDRE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21067-2026</t>
        </is>
      </c>
      <c r="B307" s="1" t="n">
        <v>46146</v>
      </c>
      <c r="C307" s="1" t="n">
        <v>46193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60138-2025</t>
        </is>
      </c>
      <c r="B308" s="1" t="n">
        <v>45994</v>
      </c>
      <c r="C308" s="1" t="n">
        <v>46193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60131-2025</t>
        </is>
      </c>
      <c r="B309" s="1" t="n">
        <v>45994</v>
      </c>
      <c r="C309" s="1" t="n">
        <v>46193</v>
      </c>
      <c r="D309" t="inlineStr">
        <is>
          <t>ÖSTERGÖTLANDS LÄN</t>
        </is>
      </c>
      <c r="E309" t="inlineStr">
        <is>
          <t>YDRE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60135-2025</t>
        </is>
      </c>
      <c r="B310" s="1" t="n">
        <v>45994</v>
      </c>
      <c r="C310" s="1" t="n">
        <v>46193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60149-2025</t>
        </is>
      </c>
      <c r="B311" s="1" t="n">
        <v>45994</v>
      </c>
      <c r="C311" s="1" t="n">
        <v>46193</v>
      </c>
      <c r="D311" t="inlineStr">
        <is>
          <t>ÖSTERGÖTLANDS LÄN</t>
        </is>
      </c>
      <c r="E311" t="inlineStr">
        <is>
          <t>YDRE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20540-2024</t>
        </is>
      </c>
      <c r="B312" s="1" t="n">
        <v>45436</v>
      </c>
      <c r="C312" s="1" t="n">
        <v>46193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19397-2025</t>
        </is>
      </c>
      <c r="B313" s="1" t="n">
        <v>45769</v>
      </c>
      <c r="C313" s="1" t="n">
        <v>46193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7306-2022</t>
        </is>
      </c>
      <c r="B314" s="1" t="n">
        <v>44606</v>
      </c>
      <c r="C314" s="1" t="n">
        <v>46193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40676-2023</t>
        </is>
      </c>
      <c r="B315" s="1" t="n">
        <v>45170</v>
      </c>
      <c r="C315" s="1" t="n">
        <v>46193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28915-2023</t>
        </is>
      </c>
      <c r="B316" s="1" t="n">
        <v>45104</v>
      </c>
      <c r="C316" s="1" t="n">
        <v>46193</v>
      </c>
      <c r="D316" t="inlineStr">
        <is>
          <t>ÖSTERGÖTLANDS LÄN</t>
        </is>
      </c>
      <c r="E316" t="inlineStr">
        <is>
          <t>YDRE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61494-2025</t>
        </is>
      </c>
      <c r="B317" s="1" t="n">
        <v>46001</v>
      </c>
      <c r="C317" s="1" t="n">
        <v>46193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20050-2023</t>
        </is>
      </c>
      <c r="B318" s="1" t="n">
        <v>45054</v>
      </c>
      <c r="C318" s="1" t="n">
        <v>46193</v>
      </c>
      <c r="D318" t="inlineStr">
        <is>
          <t>ÖSTERGÖTLANDS LÄN</t>
        </is>
      </c>
      <c r="E318" t="inlineStr">
        <is>
          <t>YDRE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62245-2025</t>
        </is>
      </c>
      <c r="B319" s="1" t="n">
        <v>46006</v>
      </c>
      <c r="C319" s="1" t="n">
        <v>46193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62244-2025</t>
        </is>
      </c>
      <c r="B320" s="1" t="n">
        <v>46006</v>
      </c>
      <c r="C320" s="1" t="n">
        <v>46193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62453-2025</t>
        </is>
      </c>
      <c r="B321" s="1" t="n">
        <v>46007</v>
      </c>
      <c r="C321" s="1" t="n">
        <v>46193</v>
      </c>
      <c r="D321" t="inlineStr">
        <is>
          <t>ÖSTERGÖTLANDS LÄN</t>
        </is>
      </c>
      <c r="E321" t="inlineStr">
        <is>
          <t>YDRE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62448-2025</t>
        </is>
      </c>
      <c r="B322" s="1" t="n">
        <v>46007</v>
      </c>
      <c r="C322" s="1" t="n">
        <v>46193</v>
      </c>
      <c r="D322" t="inlineStr">
        <is>
          <t>ÖSTERGÖTLANDS LÄN</t>
        </is>
      </c>
      <c r="E322" t="inlineStr">
        <is>
          <t>YDRE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62446-2025</t>
        </is>
      </c>
      <c r="B323" s="1" t="n">
        <v>46007</v>
      </c>
      <c r="C323" s="1" t="n">
        <v>46193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62441-2025</t>
        </is>
      </c>
      <c r="B324" s="1" t="n">
        <v>46007</v>
      </c>
      <c r="C324" s="1" t="n">
        <v>46193</v>
      </c>
      <c r="D324" t="inlineStr">
        <is>
          <t>ÖSTERGÖTLANDS LÄN</t>
        </is>
      </c>
      <c r="E324" t="inlineStr">
        <is>
          <t>YDRE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63264-2025</t>
        </is>
      </c>
      <c r="B325" s="1" t="n">
        <v>46010</v>
      </c>
      <c r="C325" s="1" t="n">
        <v>46193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63232-2025</t>
        </is>
      </c>
      <c r="B326" s="1" t="n">
        <v>46010</v>
      </c>
      <c r="C326" s="1" t="n">
        <v>46193</v>
      </c>
      <c r="D326" t="inlineStr">
        <is>
          <t>ÖSTERGÖTLANDS LÄN</t>
        </is>
      </c>
      <c r="E326" t="inlineStr">
        <is>
          <t>YDRE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63252-2025</t>
        </is>
      </c>
      <c r="B327" s="1" t="n">
        <v>46010</v>
      </c>
      <c r="C327" s="1" t="n">
        <v>46193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63237-2025</t>
        </is>
      </c>
      <c r="B328" s="1" t="n">
        <v>46010</v>
      </c>
      <c r="C328" s="1" t="n">
        <v>46193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63536-2025</t>
        </is>
      </c>
      <c r="B329" s="1" t="n">
        <v>46013</v>
      </c>
      <c r="C329" s="1" t="n">
        <v>46193</v>
      </c>
      <c r="D329" t="inlineStr">
        <is>
          <t>ÖSTERGÖTLANDS LÄN</t>
        </is>
      </c>
      <c r="E329" t="inlineStr">
        <is>
          <t>YDRE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63538-2025</t>
        </is>
      </c>
      <c r="B330" s="1" t="n">
        <v>46013</v>
      </c>
      <c r="C330" s="1" t="n">
        <v>46193</v>
      </c>
      <c r="D330" t="inlineStr">
        <is>
          <t>ÖSTERGÖTLANDS LÄN</t>
        </is>
      </c>
      <c r="E330" t="inlineStr">
        <is>
          <t>YDRE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63544-2025</t>
        </is>
      </c>
      <c r="B331" s="1" t="n">
        <v>46013</v>
      </c>
      <c r="C331" s="1" t="n">
        <v>46193</v>
      </c>
      <c r="D331" t="inlineStr">
        <is>
          <t>ÖSTERGÖTLANDS LÄN</t>
        </is>
      </c>
      <c r="E331" t="inlineStr">
        <is>
          <t>YDRE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29127-2023</t>
        </is>
      </c>
      <c r="B332" s="1" t="n">
        <v>45105</v>
      </c>
      <c r="C332" s="1" t="n">
        <v>46193</v>
      </c>
      <c r="D332" t="inlineStr">
        <is>
          <t>ÖSTERGÖTLANDS LÄN</t>
        </is>
      </c>
      <c r="E332" t="inlineStr">
        <is>
          <t>YDRE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27700-2026</t>
        </is>
      </c>
      <c r="B333" s="1" t="n">
        <v>46190</v>
      </c>
      <c r="C333" s="1" t="n">
        <v>46193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45449-2023</t>
        </is>
      </c>
      <c r="B334" s="1" t="n">
        <v>45194</v>
      </c>
      <c r="C334" s="1" t="n">
        <v>46193</v>
      </c>
      <c r="D334" t="inlineStr">
        <is>
          <t>ÖSTERGÖTLANDS LÄN</t>
        </is>
      </c>
      <c r="E334" t="inlineStr">
        <is>
          <t>YDRE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27874-2026</t>
        </is>
      </c>
      <c r="B335" s="1" t="n">
        <v>46191</v>
      </c>
      <c r="C335" s="1" t="n">
        <v>46193</v>
      </c>
      <c r="D335" t="inlineStr">
        <is>
          <t>ÖSTERGÖTLANDS LÄN</t>
        </is>
      </c>
      <c r="E335" t="inlineStr">
        <is>
          <t>YDRE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63998-2025</t>
        </is>
      </c>
      <c r="B336" s="1" t="n">
        <v>46021</v>
      </c>
      <c r="C336" s="1" t="n">
        <v>46193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63994-2025</t>
        </is>
      </c>
      <c r="B337" s="1" t="n">
        <v>46021</v>
      </c>
      <c r="C337" s="1" t="n">
        <v>46193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14645-2022</t>
        </is>
      </c>
      <c r="B338" s="1" t="n">
        <v>44655</v>
      </c>
      <c r="C338" s="1" t="n">
        <v>46193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18432-2025</t>
        </is>
      </c>
      <c r="B339" s="1" t="n">
        <v>45762</v>
      </c>
      <c r="C339" s="1" t="n">
        <v>46193</v>
      </c>
      <c r="D339" t="inlineStr">
        <is>
          <t>ÖSTERGÖTLANDS LÄN</t>
        </is>
      </c>
      <c r="E339" t="inlineStr">
        <is>
          <t>YDRE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33680-2022</t>
        </is>
      </c>
      <c r="B340" s="1" t="n">
        <v>44789</v>
      </c>
      <c r="C340" s="1" t="n">
        <v>46193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64001-2025</t>
        </is>
      </c>
      <c r="B341" s="1" t="n">
        <v>46021</v>
      </c>
      <c r="C341" s="1" t="n">
        <v>46193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2079-2022</t>
        </is>
      </c>
      <c r="B342" s="1" t="n">
        <v>44576</v>
      </c>
      <c r="C342" s="1" t="n">
        <v>46193</v>
      </c>
      <c r="D342" t="inlineStr">
        <is>
          <t>ÖSTERGÖTLANDS LÄN</t>
        </is>
      </c>
      <c r="E342" t="inlineStr">
        <is>
          <t>YDRE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17861-2025</t>
        </is>
      </c>
      <c r="B343" s="1" t="n">
        <v>45758</v>
      </c>
      <c r="C343" s="1" t="n">
        <v>46193</v>
      </c>
      <c r="D343" t="inlineStr">
        <is>
          <t>ÖSTERGÖTLANDS LÄN</t>
        </is>
      </c>
      <c r="E343" t="inlineStr">
        <is>
          <t>YDRE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20158-2024</t>
        </is>
      </c>
      <c r="B344" s="1" t="n">
        <v>45434</v>
      </c>
      <c r="C344" s="1" t="n">
        <v>46193</v>
      </c>
      <c r="D344" t="inlineStr">
        <is>
          <t>ÖSTERGÖTLANDS LÄN</t>
        </is>
      </c>
      <c r="E344" t="inlineStr">
        <is>
          <t>YDRE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7047-2025</t>
        </is>
      </c>
      <c r="B345" s="1" t="n">
        <v>45701</v>
      </c>
      <c r="C345" s="1" t="n">
        <v>46193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24637-2024</t>
        </is>
      </c>
      <c r="B346" s="1" t="n">
        <v>45460</v>
      </c>
      <c r="C346" s="1" t="n">
        <v>46193</v>
      </c>
      <c r="D346" t="inlineStr">
        <is>
          <t>ÖSTERGÖTLANDS LÄN</t>
        </is>
      </c>
      <c r="E346" t="inlineStr">
        <is>
          <t>YDRE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2745-2026</t>
        </is>
      </c>
      <c r="B347" s="1" t="n">
        <v>46038</v>
      </c>
      <c r="C347" s="1" t="n">
        <v>46193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2439-2026</t>
        </is>
      </c>
      <c r="B348" s="1" t="n">
        <v>46036</v>
      </c>
      <c r="C348" s="1" t="n">
        <v>46193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27737-2022</t>
        </is>
      </c>
      <c r="B349" s="1" t="n">
        <v>44743</v>
      </c>
      <c r="C349" s="1" t="n">
        <v>46193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4170-2026</t>
        </is>
      </c>
      <c r="B350" s="1" t="n">
        <v>46044</v>
      </c>
      <c r="C350" s="1" t="n">
        <v>46193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4249-2026</t>
        </is>
      </c>
      <c r="B351" s="1" t="n">
        <v>46045</v>
      </c>
      <c r="C351" s="1" t="n">
        <v>46193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4251-2026</t>
        </is>
      </c>
      <c r="B352" s="1" t="n">
        <v>46045</v>
      </c>
      <c r="C352" s="1" t="n">
        <v>46193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37568-2023</t>
        </is>
      </c>
      <c r="B353" s="1" t="n">
        <v>45159</v>
      </c>
      <c r="C353" s="1" t="n">
        <v>46193</v>
      </c>
      <c r="D353" t="inlineStr">
        <is>
          <t>ÖSTERGÖTLANDS LÄN</t>
        </is>
      </c>
      <c r="E353" t="inlineStr">
        <is>
          <t>YDRE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28991-2022</t>
        </is>
      </c>
      <c r="B354" s="1" t="n">
        <v>44749</v>
      </c>
      <c r="C354" s="1" t="n">
        <v>46193</v>
      </c>
      <c r="D354" t="inlineStr">
        <is>
          <t>ÖSTERGÖTLANDS LÄN</t>
        </is>
      </c>
      <c r="E354" t="inlineStr">
        <is>
          <t>YDRE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17309-2024</t>
        </is>
      </c>
      <c r="B355" s="1" t="n">
        <v>45414</v>
      </c>
      <c r="C355" s="1" t="n">
        <v>46193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9155-2025</t>
        </is>
      </c>
      <c r="B356" s="1" t="n">
        <v>45714</v>
      </c>
      <c r="C356" s="1" t="n">
        <v>46193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6293-2026</t>
        </is>
      </c>
      <c r="B357" s="1" t="n">
        <v>46055</v>
      </c>
      <c r="C357" s="1" t="n">
        <v>46193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63830-2023</t>
        </is>
      </c>
      <c r="B358" s="1" t="n">
        <v>45278</v>
      </c>
      <c r="C358" s="1" t="n">
        <v>46193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6905-2026</t>
        </is>
      </c>
      <c r="B359" s="1" t="n">
        <v>46057</v>
      </c>
      <c r="C359" s="1" t="n">
        <v>46193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7276-2026</t>
        </is>
      </c>
      <c r="B360" s="1" t="n">
        <v>46058</v>
      </c>
      <c r="C360" s="1" t="n">
        <v>46193</v>
      </c>
      <c r="D360" t="inlineStr">
        <is>
          <t>ÖSTERGÖTLANDS LÄN</t>
        </is>
      </c>
      <c r="E360" t="inlineStr">
        <is>
          <t>YDRE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7628-2026</t>
        </is>
      </c>
      <c r="B361" s="1" t="n">
        <v>46062</v>
      </c>
      <c r="C361" s="1" t="n">
        <v>46193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7619-2026</t>
        </is>
      </c>
      <c r="B362" s="1" t="n">
        <v>46062</v>
      </c>
      <c r="C362" s="1" t="n">
        <v>46193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7641-2026</t>
        </is>
      </c>
      <c r="B363" s="1" t="n">
        <v>46062</v>
      </c>
      <c r="C363" s="1" t="n">
        <v>46193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21982-2022</t>
        </is>
      </c>
      <c r="B364" s="1" t="n">
        <v>44711</v>
      </c>
      <c r="C364" s="1" t="n">
        <v>46193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16289-2022</t>
        </is>
      </c>
      <c r="B365" s="1" t="n">
        <v>44670</v>
      </c>
      <c r="C365" s="1" t="n">
        <v>46193</v>
      </c>
      <c r="D365" t="inlineStr">
        <is>
          <t>ÖSTERGÖTLANDS LÄN</t>
        </is>
      </c>
      <c r="E365" t="inlineStr">
        <is>
          <t>YDRE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1222-2024</t>
        </is>
      </c>
      <c r="B366" s="1" t="n">
        <v>45302</v>
      </c>
      <c r="C366" s="1" t="n">
        <v>46193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2347-2024</t>
        </is>
      </c>
      <c r="B367" s="1" t="n">
        <v>45310</v>
      </c>
      <c r="C367" s="1" t="n">
        <v>46193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55395-2023</t>
        </is>
      </c>
      <c r="B368" s="1" t="n">
        <v>45231</v>
      </c>
      <c r="C368" s="1" t="n">
        <v>46193</v>
      </c>
      <c r="D368" t="inlineStr">
        <is>
          <t>ÖSTERGÖTLANDS LÄN</t>
        </is>
      </c>
      <c r="E368" t="inlineStr">
        <is>
          <t>YDRE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9026-2026</t>
        </is>
      </c>
      <c r="B369" s="1" t="n">
        <v>46069</v>
      </c>
      <c r="C369" s="1" t="n">
        <v>46193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61262-2023</t>
        </is>
      </c>
      <c r="B370" s="1" t="n">
        <v>45261</v>
      </c>
      <c r="C370" s="1" t="n">
        <v>46193</v>
      </c>
      <c r="D370" t="inlineStr">
        <is>
          <t>ÖSTERGÖTLANDS LÄN</t>
        </is>
      </c>
      <c r="E370" t="inlineStr">
        <is>
          <t>YDRE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9054-2026</t>
        </is>
      </c>
      <c r="B371" s="1" t="n">
        <v>46069</v>
      </c>
      <c r="C371" s="1" t="n">
        <v>46193</v>
      </c>
      <c r="D371" t="inlineStr">
        <is>
          <t>ÖSTERGÖTLANDS LÄN</t>
        </is>
      </c>
      <c r="E371" t="inlineStr">
        <is>
          <t>YDRE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8986-2026</t>
        </is>
      </c>
      <c r="B372" s="1" t="n">
        <v>46069</v>
      </c>
      <c r="C372" s="1" t="n">
        <v>46193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61257-2023</t>
        </is>
      </c>
      <c r="B373" s="1" t="n">
        <v>45261</v>
      </c>
      <c r="C373" s="1" t="n">
        <v>46193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9409-2026</t>
        </is>
      </c>
      <c r="B374" s="1" t="n">
        <v>46071</v>
      </c>
      <c r="C374" s="1" t="n">
        <v>46193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9381-2026</t>
        </is>
      </c>
      <c r="B375" s="1" t="n">
        <v>46071</v>
      </c>
      <c r="C375" s="1" t="n">
        <v>46193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1890-2023</t>
        </is>
      </c>
      <c r="B376" s="1" t="n">
        <v>44939</v>
      </c>
      <c r="C376" s="1" t="n">
        <v>46193</v>
      </c>
      <c r="D376" t="inlineStr">
        <is>
          <t>ÖSTERGÖTLANDS LÄN</t>
        </is>
      </c>
      <c r="E376" t="inlineStr">
        <is>
          <t>YDRE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36616-2024</t>
        </is>
      </c>
      <c r="B377" s="1" t="n">
        <v>45537</v>
      </c>
      <c r="C377" s="1" t="n">
        <v>46193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10385-2026</t>
        </is>
      </c>
      <c r="B378" s="1" t="n">
        <v>46077</v>
      </c>
      <c r="C378" s="1" t="n">
        <v>46193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10288-2026</t>
        </is>
      </c>
      <c r="B379" s="1" t="n">
        <v>46076</v>
      </c>
      <c r="C379" s="1" t="n">
        <v>46193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10307-2026</t>
        </is>
      </c>
      <c r="B380" s="1" t="n">
        <v>46076</v>
      </c>
      <c r="C380" s="1" t="n">
        <v>46193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45447-2023</t>
        </is>
      </c>
      <c r="B381" s="1" t="n">
        <v>45194</v>
      </c>
      <c r="C381" s="1" t="n">
        <v>46193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71524-2021</t>
        </is>
      </c>
      <c r="B382" s="1" t="n">
        <v>44538</v>
      </c>
      <c r="C382" s="1" t="n">
        <v>46193</v>
      </c>
      <c r="D382" t="inlineStr">
        <is>
          <t>ÖSTERGÖTLANDS LÄN</t>
        </is>
      </c>
      <c r="E382" t="inlineStr">
        <is>
          <t>YDRE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10402-2023</t>
        </is>
      </c>
      <c r="B383" s="1" t="n">
        <v>44987</v>
      </c>
      <c r="C383" s="1" t="n">
        <v>46193</v>
      </c>
      <c r="D383" t="inlineStr">
        <is>
          <t>ÖSTERGÖTLANDS LÄN</t>
        </is>
      </c>
      <c r="E383" t="inlineStr">
        <is>
          <t>YDRE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58414-2024</t>
        </is>
      </c>
      <c r="B384" s="1" t="n">
        <v>45634</v>
      </c>
      <c r="C384" s="1" t="n">
        <v>46193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1862-2025</t>
        </is>
      </c>
      <c r="B385" s="1" t="n">
        <v>45671</v>
      </c>
      <c r="C385" s="1" t="n">
        <v>46193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9162-2023</t>
        </is>
      </c>
      <c r="B386" s="1" t="n">
        <v>44980</v>
      </c>
      <c r="C386" s="1" t="n">
        <v>46193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16205-2024</t>
        </is>
      </c>
      <c r="B387" s="1" t="n">
        <v>45406</v>
      </c>
      <c r="C387" s="1" t="n">
        <v>46193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6408-2023</t>
        </is>
      </c>
      <c r="B388" s="1" t="n">
        <v>44965</v>
      </c>
      <c r="C388" s="1" t="n">
        <v>46193</v>
      </c>
      <c r="D388" t="inlineStr">
        <is>
          <t>ÖSTERGÖTLANDS LÄN</t>
        </is>
      </c>
      <c r="E388" t="inlineStr">
        <is>
          <t>YDRE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46193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645-2026</t>
        </is>
      </c>
      <c r="B390" s="1" t="n">
        <v>46029</v>
      </c>
      <c r="C390" s="1" t="n">
        <v>46193</v>
      </c>
      <c r="D390" t="inlineStr">
        <is>
          <t>ÖSTERGÖTLANDS LÄN</t>
        </is>
      </c>
      <c r="E390" t="inlineStr">
        <is>
          <t>YDRE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</v>
      </c>
      <c r="C391" s="1" t="n">
        <v>46193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5840-2024</t>
        </is>
      </c>
      <c r="B392" s="1" t="n">
        <v>45335</v>
      </c>
      <c r="C392" s="1" t="n">
        <v>46193</v>
      </c>
      <c r="D392" t="inlineStr">
        <is>
          <t>ÖSTERGÖTLANDS LÄN</t>
        </is>
      </c>
      <c r="E392" t="inlineStr">
        <is>
          <t>YDRE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13689-2026</t>
        </is>
      </c>
      <c r="B393" s="1" t="n">
        <v>46097</v>
      </c>
      <c r="C393" s="1" t="n">
        <v>46193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60244-2023</t>
        </is>
      </c>
      <c r="B394" s="1" t="n">
        <v>45257</v>
      </c>
      <c r="C394" s="1" t="n">
        <v>46193</v>
      </c>
      <c r="D394" t="inlineStr">
        <is>
          <t>ÖSTERGÖTLANDS LÄN</t>
        </is>
      </c>
      <c r="E394" t="inlineStr">
        <is>
          <t>YDRE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4624-2022</t>
        </is>
      </c>
      <c r="B395" s="1" t="n">
        <v>44592</v>
      </c>
      <c r="C395" s="1" t="n">
        <v>46193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14143-2026</t>
        </is>
      </c>
      <c r="B396" s="1" t="n">
        <v>46099</v>
      </c>
      <c r="C396" s="1" t="n">
        <v>46193</v>
      </c>
      <c r="D396" t="inlineStr">
        <is>
          <t>ÖSTERGÖTLANDS LÄN</t>
        </is>
      </c>
      <c r="E396" t="inlineStr">
        <is>
          <t>YDRE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14600-2026</t>
        </is>
      </c>
      <c r="B397" s="1" t="n">
        <v>46101</v>
      </c>
      <c r="C397" s="1" t="n">
        <v>46193</v>
      </c>
      <c r="D397" t="inlineStr">
        <is>
          <t>ÖSTERGÖTLANDS LÄN</t>
        </is>
      </c>
      <c r="E397" t="inlineStr">
        <is>
          <t>YDRE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14604-2026</t>
        </is>
      </c>
      <c r="B398" s="1" t="n">
        <v>46101</v>
      </c>
      <c r="C398" s="1" t="n">
        <v>46193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15638-2026</t>
        </is>
      </c>
      <c r="B399" s="1" t="n">
        <v>46106</v>
      </c>
      <c r="C399" s="1" t="n">
        <v>46193</v>
      </c>
      <c r="D399" t="inlineStr">
        <is>
          <t>ÖSTERGÖTLANDS LÄN</t>
        </is>
      </c>
      <c r="E399" t="inlineStr">
        <is>
          <t>YDRE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22175-2026</t>
        </is>
      </c>
      <c r="B400" s="1" t="n">
        <v>46153</v>
      </c>
      <c r="C400" s="1" t="n">
        <v>46193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22312-2026</t>
        </is>
      </c>
      <c r="B401" s="1" t="n">
        <v>46154</v>
      </c>
      <c r="C401" s="1" t="n">
        <v>46193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17184-2026</t>
        </is>
      </c>
      <c r="B402" s="1" t="n">
        <v>46116</v>
      </c>
      <c r="C402" s="1" t="n">
        <v>46193</v>
      </c>
      <c r="D402" t="inlineStr">
        <is>
          <t>ÖSTERGÖTLANDS LÄN</t>
        </is>
      </c>
      <c r="E402" t="inlineStr">
        <is>
          <t>YDRE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17385-2026</t>
        </is>
      </c>
      <c r="B403" s="1" t="n">
        <v>46119</v>
      </c>
      <c r="C403" s="1" t="n">
        <v>46193</v>
      </c>
      <c r="D403" t="inlineStr">
        <is>
          <t>ÖSTERGÖTLANDS LÄN</t>
        </is>
      </c>
      <c r="E403" t="inlineStr">
        <is>
          <t>YDRE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17384-2026</t>
        </is>
      </c>
      <c r="B404" s="1" t="n">
        <v>46119</v>
      </c>
      <c r="C404" s="1" t="n">
        <v>46193</v>
      </c>
      <c r="D404" t="inlineStr">
        <is>
          <t>ÖSTERGÖTLANDS LÄN</t>
        </is>
      </c>
      <c r="E404" t="inlineStr">
        <is>
          <t>YDRE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17705-2026</t>
        </is>
      </c>
      <c r="B405" s="1" t="n">
        <v>46121</v>
      </c>
      <c r="C405" s="1" t="n">
        <v>46193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18181-2026</t>
        </is>
      </c>
      <c r="B406" s="1" t="n">
        <v>46125</v>
      </c>
      <c r="C406" s="1" t="n">
        <v>46193</v>
      </c>
      <c r="D406" t="inlineStr">
        <is>
          <t>ÖSTERGÖTLANDS LÄN</t>
        </is>
      </c>
      <c r="E406" t="inlineStr">
        <is>
          <t>YDRE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18151-2026</t>
        </is>
      </c>
      <c r="B407" s="1" t="n">
        <v>46125</v>
      </c>
      <c r="C407" s="1" t="n">
        <v>46193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54510-2025</t>
        </is>
      </c>
      <c r="B408" s="1" t="n">
        <v>45965</v>
      </c>
      <c r="C408" s="1" t="n">
        <v>46193</v>
      </c>
      <c r="D408" t="inlineStr">
        <is>
          <t>ÖSTERGÖTLANDS LÄN</t>
        </is>
      </c>
      <c r="E408" t="inlineStr">
        <is>
          <t>YDRE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18416-2026</t>
        </is>
      </c>
      <c r="B409" s="1" t="n">
        <v>46126</v>
      </c>
      <c r="C409" s="1" t="n">
        <v>46193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24780-2026</t>
        </is>
      </c>
      <c r="B410" s="1" t="n">
        <v>46171</v>
      </c>
      <c r="C410" s="1" t="n">
        <v>46193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57590-2023</t>
        </is>
      </c>
      <c r="B411" s="1" t="n">
        <v>45246</v>
      </c>
      <c r="C411" s="1" t="n">
        <v>46193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33589-2025</t>
        </is>
      </c>
      <c r="B412" s="1" t="n">
        <v>45841</v>
      </c>
      <c r="C412" s="1" t="n">
        <v>46193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30770-2025</t>
        </is>
      </c>
      <c r="B413" s="1" t="n">
        <v>45831</v>
      </c>
      <c r="C413" s="1" t="n">
        <v>46193</v>
      </c>
      <c r="D413" t="inlineStr">
        <is>
          <t>ÖSTERGÖTLANDS LÄN</t>
        </is>
      </c>
      <c r="E413" t="inlineStr">
        <is>
          <t>YDRE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54549-2025</t>
        </is>
      </c>
      <c r="B414" s="1" t="n">
        <v>45965</v>
      </c>
      <c r="C414" s="1" t="n">
        <v>46193</v>
      </c>
      <c r="D414" t="inlineStr">
        <is>
          <t>ÖSTERGÖTLANDS LÄN</t>
        </is>
      </c>
      <c r="E414" t="inlineStr">
        <is>
          <t>YDRE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36676-2025</t>
        </is>
      </c>
      <c r="B415" s="1" t="n">
        <v>45871</v>
      </c>
      <c r="C415" s="1" t="n">
        <v>46193</v>
      </c>
      <c r="D415" t="inlineStr">
        <is>
          <t>ÖSTERGÖTLANDS LÄN</t>
        </is>
      </c>
      <c r="E415" t="inlineStr">
        <is>
          <t>YDRE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25473-2026</t>
        </is>
      </c>
      <c r="B416" s="1" t="n">
        <v>46177</v>
      </c>
      <c r="C416" s="1" t="n">
        <v>46193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30544-2025</t>
        </is>
      </c>
      <c r="B417" s="1" t="n">
        <v>45831</v>
      </c>
      <c r="C417" s="1" t="n">
        <v>46193</v>
      </c>
      <c r="D417" t="inlineStr">
        <is>
          <t>ÖSTERGÖTLANDS LÄN</t>
        </is>
      </c>
      <c r="E417" t="inlineStr">
        <is>
          <t>YDRE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30766-2025</t>
        </is>
      </c>
      <c r="B418" s="1" t="n">
        <v>45831</v>
      </c>
      <c r="C418" s="1" t="n">
        <v>46193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23760-2025</t>
        </is>
      </c>
      <c r="B419" s="1" t="n">
        <v>45793</v>
      </c>
      <c r="C419" s="1" t="n">
        <v>46193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44555-2025</t>
        </is>
      </c>
      <c r="B420" s="1" t="n">
        <v>45917</v>
      </c>
      <c r="C420" s="1" t="n">
        <v>46193</v>
      </c>
      <c r="D420" t="inlineStr">
        <is>
          <t>ÖSTERGÖTLANDS LÄN</t>
        </is>
      </c>
      <c r="E420" t="inlineStr">
        <is>
          <t>YDRE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30535-2025</t>
        </is>
      </c>
      <c r="B421" s="1" t="n">
        <v>45831</v>
      </c>
      <c r="C421" s="1" t="n">
        <v>46193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44505-2025</t>
        </is>
      </c>
      <c r="B422" s="1" t="n">
        <v>45916</v>
      </c>
      <c r="C422" s="1" t="n">
        <v>46193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2026-06-20T00:47:16Z</dcterms:created>
  <dcterms:modified xmlns:dcterms="http://purl.org/dc/terms/" xmlns:xsi="http://www.w3.org/2001/XMLSchema-instance" xsi:type="dcterms:W3CDTF">2026-06-20T00:47:16Z</dcterms:modified>
</cp:coreProperties>
</file>