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46226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46226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46226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46226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46226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46226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46226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46226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46226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46226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46226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46226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46226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46226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46226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46226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46226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46226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46226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46226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46226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46226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9051-2026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46226</v>
      </c>
      <c r="F27" t="inlineStr">
        <is>
          <t>ÖSTERGÖTLANDS LÄN</t>
        </is>
      </c>
      <c r="G27" t="inlineStr">
        <is>
          <t>YDRE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HYPERLINK("https://klasma.github.io/Logging_0512/artfynd/A 9051-2026 artfynd.xlsx", "A 9051-2026")</f>
        <v/>
      </c>
      <c r="X27">
        <f>HYPERLINK("https://klasma.github.io/Logging_0512/kartor/A 9051-2026 karta.png", "A 9051-2026")</f>
        <v/>
      </c>
      <c r="Y27">
        <f>HYPERLINK("https://klasma.github.io/Logging_0512/kartor_geotiff/A 9051-2026 georefererad karta.tif", "A 9051-2026")</f>
        <v/>
      </c>
      <c r="AA27">
        <f>HYPERLINK("https://klasma.github.io/Logging_0512/klagomål/A 9051-2026 FSC-klagomål.docx", "A 9051-2026")</f>
        <v/>
      </c>
      <c r="AB27">
        <f>HYPERLINK("https://klasma.github.io/Logging_0512/klagomålsmail/A 9051-2026 FSC-klagomål mail.docx", "A 9051-2026")</f>
        <v/>
      </c>
      <c r="AC27">
        <f>HYPERLINK("https://klasma.github.io/Logging_0512/tillsyn/A 9051-2026 tillsynsbegäran.docx", "A 9051-2026")</f>
        <v/>
      </c>
      <c r="AD27">
        <f>HYPERLINK("https://klasma.github.io/Logging_0512/tillsynsmail/A 9051-2026 tillsynsbegäran mail.docx", "A 9051-2026")</f>
        <v/>
      </c>
    </row>
    <row r="28" ht="15" customHeight="1">
      <c r="A28" t="inlineStr">
        <is>
          <t>A 8923-2026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46226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8923-2026 artfynd.xlsx", "A 8923-2026")</f>
        <v/>
      </c>
      <c r="X28">
        <f>HYPERLINK("https://klasma.github.io/Logging_0512/kartor/A 8923-2026 karta.png", "A 8923-2026")</f>
        <v/>
      </c>
      <c r="Y28">
        <f>HYPERLINK("https://klasma.github.io/Logging_0512/kartor_geotiff/A 8923-2026 georefererad karta.tif", "A 8923-2026")</f>
        <v/>
      </c>
      <c r="AA28">
        <f>HYPERLINK("https://klasma.github.io/Logging_0512/klagomål/A 8923-2026 FSC-klagomål.docx", "A 8923-2026")</f>
        <v/>
      </c>
      <c r="AB28">
        <f>HYPERLINK("https://klasma.github.io/Logging_0512/klagomålsmail/A 8923-2026 FSC-klagomål mail.docx", "A 8923-2026")</f>
        <v/>
      </c>
      <c r="AC28">
        <f>HYPERLINK("https://klasma.github.io/Logging_0512/tillsyn/A 8923-2026 tillsynsbegäran.docx", "A 8923-2026")</f>
        <v/>
      </c>
      <c r="AD28">
        <f>HYPERLINK("https://klasma.github.io/Logging_0512/tillsynsmail/A 8923-2026 tillsynsbegäran mail.docx", "A 8923-2026")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46226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46226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54520-2025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45965</v>
      </c>
      <c r="E31" s="1" t="n">
        <v>46226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HYPERLINK("https://klasma.github.io/Logging_0512/artfynd/A 54520-2025 artfynd.xlsx", "A 54520-2025")</f>
        <v/>
      </c>
      <c r="X31">
        <f>HYPERLINK("https://klasma.github.io/Logging_0512/kartor/A 54520-2025 karta.png", "A 54520-2025")</f>
        <v/>
      </c>
      <c r="Y31">
        <f>HYPERLINK("https://klasma.github.io/Logging_0512/kartor_geotiff/A 54520-2025 georefererad karta.tif", "A 54520-2025")</f>
        <v/>
      </c>
      <c r="AA31">
        <f>HYPERLINK("https://klasma.github.io/Logging_0512/klagomål/A 54520-2025 FSC-klagomål.docx", "A 54520-2025")</f>
        <v/>
      </c>
      <c r="AB31">
        <f>HYPERLINK("https://klasma.github.io/Logging_0512/klagomålsmail/A 54520-2025 FSC-klagomål mail.docx", "A 54520-2025")</f>
        <v/>
      </c>
      <c r="AC31">
        <f>HYPERLINK("https://klasma.github.io/Logging_0512/tillsyn/A 54520-2025 tillsynsbegäran.docx", "A 54520-2025")</f>
        <v/>
      </c>
      <c r="AD31">
        <f>HYPERLINK("https://klasma.github.io/Logging_0512/tillsynsmail/A 54520-2025 tillsynsbegäran mail.docx", "A 54520-2025")</f>
        <v/>
      </c>
      <c r="AE31">
        <f>HYPERLINK("https://klasma.github.io/Logging_0512/fåglar/A 54520-2025 prioriterade fågelarter.docx", "A 54520-2025")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46226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19370-2025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46226</v>
      </c>
      <c r="F33" t="inlineStr">
        <is>
          <t>ÖSTERGÖTLANDS LÄN</t>
        </is>
      </c>
      <c r="G33" t="inlineStr">
        <is>
          <t>YDRE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Smal guldkornsfibbla</t>
        </is>
      </c>
      <c r="W33">
        <f>HYPERLINK("https://klasma.github.io/Logging_0512/artfynd/A 19370-2025 artfynd.xlsx", "A 19370-2025")</f>
        <v/>
      </c>
      <c r="X33">
        <f>HYPERLINK("https://klasma.github.io/Logging_0512/kartor/A 19370-2025 karta.png", "A 19370-2025")</f>
        <v/>
      </c>
      <c r="Y33">
        <f>HYPERLINK("https://klasma.github.io/Logging_0512/kartor_geotiff/A 19370-2025 georefererad karta.tif", "A 19370-2025")</f>
        <v/>
      </c>
      <c r="AA33">
        <f>HYPERLINK("https://klasma.github.io/Logging_0512/klagomål/A 19370-2025 FSC-klagomål.docx", "A 19370-2025")</f>
        <v/>
      </c>
      <c r="AB33">
        <f>HYPERLINK("https://klasma.github.io/Logging_0512/klagomålsmail/A 19370-2025 FSC-klagomål mail.docx", "A 19370-2025")</f>
        <v/>
      </c>
      <c r="AC33">
        <f>HYPERLINK("https://klasma.github.io/Logging_0512/tillsyn/A 19370-2025 tillsynsbegäran.docx", "A 19370-2025")</f>
        <v/>
      </c>
      <c r="AD33">
        <f>HYPERLINK("https://klasma.github.io/Logging_0512/tillsynsmail/A 19370-2025 tillsynsbegäran mail.docx", "A 19370-2025")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46226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46226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46226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46226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41907-2024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46226</v>
      </c>
      <c r="F38" t="inlineStr">
        <is>
          <t>ÖSTERGÖTLANDS LÄN</t>
        </is>
      </c>
      <c r="G38" t="inlineStr">
        <is>
          <t>YDRE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HYPERLINK("https://klasma.github.io/Logging_0512/artfynd/A 41907-2024 artfynd.xlsx", "A 41907-2024")</f>
        <v/>
      </c>
      <c r="X38">
        <f>HYPERLINK("https://klasma.github.io/Logging_0512/kartor/A 41907-2024 karta.png", "A 41907-2024")</f>
        <v/>
      </c>
      <c r="Y38">
        <f>HYPERLINK("https://klasma.github.io/Logging_0512/kartor_geotiff/A 41907-2024 georefererad karta.tif", "A 41907-2024")</f>
        <v/>
      </c>
      <c r="AA38">
        <f>HYPERLINK("https://klasma.github.io/Logging_0512/klagomål/A 41907-2024 FSC-klagomål.docx", "A 41907-2024")</f>
        <v/>
      </c>
      <c r="AB38">
        <f>HYPERLINK("https://klasma.github.io/Logging_0512/klagomålsmail/A 41907-2024 FSC-klagomål mail.docx", "A 41907-2024")</f>
        <v/>
      </c>
      <c r="AC38">
        <f>HYPERLINK("https://klasma.github.io/Logging_0512/tillsyn/A 41907-2024 tillsynsbegäran.docx", "A 41907-2024")</f>
        <v/>
      </c>
      <c r="AD38">
        <f>HYPERLINK("https://klasma.github.io/Logging_0512/tillsynsmail/A 41907-2024 tillsynsbegäran mail.docx", "A 41907-2024")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46226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46226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46226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46226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46226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46226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46226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46226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46226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46226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46226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46226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46226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46226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46226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46226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46226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46226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46226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46226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46226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46226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46226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46226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46226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46226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46226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46226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46226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46226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46226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46226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46226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46226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46226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46226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46226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46226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46226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46226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46226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46226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46226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46226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46226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46226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46226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46226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46226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46226</v>
      </c>
      <c r="F90" t="inlineStr">
        <is>
          <t>ÖSTERGÖTLANDS LÄN</t>
        </is>
      </c>
      <c r="G90" t="inlineStr">
        <is>
          <t>YDRE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45432</v>
      </c>
      <c r="E91" s="1" t="n">
        <v>46226</v>
      </c>
      <c r="F91" t="inlineStr">
        <is>
          <t>ÖSTERGÖTLANDS LÄN</t>
        </is>
      </c>
      <c r="G91" t="inlineStr">
        <is>
          <t>YDRE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46226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71524-2021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46226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46226</v>
      </c>
      <c r="F94" t="inlineStr">
        <is>
          <t>ÖSTERGÖTLANDS LÄN</t>
        </is>
      </c>
      <c r="G94" t="inlineStr">
        <is>
          <t>YDRE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46226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45714</v>
      </c>
      <c r="E96" s="1" t="n">
        <v>46226</v>
      </c>
      <c r="F96" t="inlineStr">
        <is>
          <t>ÖSTERGÖTLANDS LÄN</t>
        </is>
      </c>
      <c r="G96" t="inlineStr">
        <is>
          <t>YDRE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46226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45596</v>
      </c>
      <c r="E98" s="1" t="n">
        <v>46226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46226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46226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46226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46226</v>
      </c>
      <c r="F102" t="inlineStr">
        <is>
          <t>ÖSTERGÖTLANDS LÄN</t>
        </is>
      </c>
      <c r="G102" t="inlineStr">
        <is>
          <t>YDRE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46226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46226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46226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44283-2021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46226</v>
      </c>
      <c r="F106" t="inlineStr">
        <is>
          <t>ÖSTERGÖTLANDS LÄN</t>
        </is>
      </c>
      <c r="G106" t="inlineStr">
        <is>
          <t>YDRE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46226</v>
      </c>
      <c r="F107" t="inlineStr">
        <is>
          <t>ÖSTERGÖTLANDS LÄN</t>
        </is>
      </c>
      <c r="G107" t="inlineStr">
        <is>
          <t>YDRE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46226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46226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46226</v>
      </c>
      <c r="F110" t="inlineStr">
        <is>
          <t>ÖSTERGÖTLANDS LÄN</t>
        </is>
      </c>
      <c r="G110" t="inlineStr">
        <is>
          <t>YDRE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46226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46226</v>
      </c>
      <c r="F112" t="inlineStr">
        <is>
          <t>ÖSTERGÖTLANDS LÄN</t>
        </is>
      </c>
      <c r="G112" t="inlineStr">
        <is>
          <t>YDRE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46226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46226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46226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48742-2023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46226</v>
      </c>
      <c r="F116" t="inlineStr">
        <is>
          <t>ÖSTERGÖTLANDS LÄN</t>
        </is>
      </c>
      <c r="G116" t="inlineStr">
        <is>
          <t>YDRE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46226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46226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46226</v>
      </c>
      <c r="F119" t="inlineStr">
        <is>
          <t>ÖSTERGÖTLANDS LÄN</t>
        </is>
      </c>
      <c r="G119" t="inlineStr">
        <is>
          <t>YDRE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46226</v>
      </c>
      <c r="F120" t="inlineStr">
        <is>
          <t>ÖSTERGÖTLANDS LÄN</t>
        </is>
      </c>
      <c r="G120" t="inlineStr">
        <is>
          <t>YDRE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46226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46226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46226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46226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46226</v>
      </c>
      <c r="F125" t="inlineStr">
        <is>
          <t>ÖSTERGÖTLANDS LÄN</t>
        </is>
      </c>
      <c r="G125" t="inlineStr">
        <is>
          <t>YDRE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46069</v>
      </c>
      <c r="E126" s="1" t="n">
        <v>46226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44504</v>
      </c>
      <c r="E127" s="1" t="n">
        <v>46226</v>
      </c>
      <c r="F127" t="inlineStr">
        <is>
          <t>ÖSTERGÖTLANDS LÄN</t>
        </is>
      </c>
      <c r="G127" t="inlineStr">
        <is>
          <t>YDRE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46226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46226</v>
      </c>
      <c r="F129" t="inlineStr">
        <is>
          <t>ÖSTERGÖTLANDS LÄN</t>
        </is>
      </c>
      <c r="G129" t="inlineStr">
        <is>
          <t>YDRE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46226</v>
      </c>
      <c r="F130" t="inlineStr">
        <is>
          <t>ÖSTERGÖTLANDS LÄN</t>
        </is>
      </c>
      <c r="G130" t="inlineStr">
        <is>
          <t>YDRE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17309-2024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45414</v>
      </c>
      <c r="E131" s="1" t="n">
        <v>46226</v>
      </c>
      <c r="F131" t="inlineStr">
        <is>
          <t>ÖSTERGÖTLANDS LÄN</t>
        </is>
      </c>
      <c r="G131" t="inlineStr">
        <is>
          <t>YDRE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46226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46226</v>
      </c>
      <c r="F133" t="inlineStr">
        <is>
          <t>ÖSTERGÖTLANDS LÄN</t>
        </is>
      </c>
      <c r="G133" t="inlineStr">
        <is>
          <t>YDRE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46226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46226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46226</v>
      </c>
      <c r="F136" t="inlineStr">
        <is>
          <t>ÖSTERGÖTLANDS LÄN</t>
        </is>
      </c>
      <c r="G136" t="inlineStr">
        <is>
          <t>YDRE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46226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46226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46226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44447</v>
      </c>
      <c r="E140" s="1" t="n">
        <v>46226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46226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46226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62485-2021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46226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46226</v>
      </c>
      <c r="F144" t="inlineStr">
        <is>
          <t>ÖSTERGÖTLANDS LÄN</t>
        </is>
      </c>
      <c r="G144" t="inlineStr">
        <is>
          <t>YDRE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46226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46226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46226</v>
      </c>
      <c r="F147" t="inlineStr">
        <is>
          <t>ÖSTERGÖTLANDS LÄN</t>
        </is>
      </c>
      <c r="G147" t="inlineStr">
        <is>
          <t>YDRE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46226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46226</v>
      </c>
      <c r="F149" t="inlineStr">
        <is>
          <t>ÖSTERGÖTLANDS LÄN</t>
        </is>
      </c>
      <c r="G149" t="inlineStr">
        <is>
          <t>YDRE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45910</v>
      </c>
      <c r="E150" s="1" t="n">
        <v>46226</v>
      </c>
      <c r="F150" t="inlineStr">
        <is>
          <t>ÖSTERGÖTLANDS LÄN</t>
        </is>
      </c>
      <c r="G150" t="inlineStr">
        <is>
          <t>YDRE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44743</v>
      </c>
      <c r="E151" s="1" t="n">
        <v>46226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44749</v>
      </c>
      <c r="E152" s="1" t="n">
        <v>46226</v>
      </c>
      <c r="F152" t="inlineStr">
        <is>
          <t>ÖSTERGÖTLANDS LÄN</t>
        </is>
      </c>
      <c r="G152" t="inlineStr">
        <is>
          <t>YDRE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46226</v>
      </c>
      <c r="F153" t="inlineStr">
        <is>
          <t>ÖSTERGÖTLANDS LÄN</t>
        </is>
      </c>
      <c r="G153" t="inlineStr">
        <is>
          <t>YDRE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39903-2021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44417</v>
      </c>
      <c r="E154" s="1" t="n">
        <v>46226</v>
      </c>
      <c r="F154" t="inlineStr">
        <is>
          <t>ÖSTERGÖTLANDS LÄN</t>
        </is>
      </c>
      <c r="G154" t="inlineStr">
        <is>
          <t>YDRE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39906-2021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44417</v>
      </c>
      <c r="E155" s="1" t="n">
        <v>46226</v>
      </c>
      <c r="F155" t="inlineStr">
        <is>
          <t>ÖSTERGÖTLANDS LÄN</t>
        </is>
      </c>
      <c r="G155" t="inlineStr">
        <is>
          <t>YDRE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46226</v>
      </c>
      <c r="F156" t="inlineStr">
        <is>
          <t>ÖSTERGÖTLANDS LÄN</t>
        </is>
      </c>
      <c r="G156" t="inlineStr">
        <is>
          <t>YDRE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46226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46226</v>
      </c>
      <c r="F158" t="inlineStr">
        <is>
          <t>ÖSTERGÖTLANDS LÄN</t>
        </is>
      </c>
      <c r="G158" t="inlineStr">
        <is>
          <t>YDRE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46226</v>
      </c>
      <c r="F159" t="inlineStr">
        <is>
          <t>ÖSTERGÖTLANDS LÄN</t>
        </is>
      </c>
      <c r="G159" t="inlineStr">
        <is>
          <t>YDRE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46226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46226</v>
      </c>
      <c r="F161" t="inlineStr">
        <is>
          <t>ÖSTERGÖTLANDS LÄN</t>
        </is>
      </c>
      <c r="G161" t="inlineStr">
        <is>
          <t>YDRE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46226</v>
      </c>
      <c r="F162" t="inlineStr">
        <is>
          <t>ÖSTERGÖTLANDS LÄN</t>
        </is>
      </c>
      <c r="G162" t="inlineStr">
        <is>
          <t>YDRE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46226</v>
      </c>
      <c r="F163" t="inlineStr">
        <is>
          <t>ÖSTERGÖTLANDS LÄN</t>
        </is>
      </c>
      <c r="G163" t="inlineStr">
        <is>
          <t>YDRE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46226</v>
      </c>
      <c r="F164" t="inlineStr">
        <is>
          <t>ÖSTERGÖTLANDS LÄN</t>
        </is>
      </c>
      <c r="G164" t="inlineStr">
        <is>
          <t>YDRE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46226</v>
      </c>
      <c r="F165" t="inlineStr">
        <is>
          <t>ÖSTERGÖTLANDS LÄN</t>
        </is>
      </c>
      <c r="G165" t="inlineStr">
        <is>
          <t>YDRE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46226</v>
      </c>
      <c r="F166" t="inlineStr">
        <is>
          <t>ÖSTERGÖTLANDS LÄN</t>
        </is>
      </c>
      <c r="G166" t="inlineStr">
        <is>
          <t>YDRE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46226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14143-2026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46226</v>
      </c>
      <c r="F168" t="inlineStr">
        <is>
          <t>ÖSTERGÖTLANDS LÄN</t>
        </is>
      </c>
      <c r="G168" t="inlineStr">
        <is>
          <t>YDRE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46226</v>
      </c>
      <c r="F169" t="inlineStr">
        <is>
          <t>ÖSTERGÖTLANDS LÄN</t>
        </is>
      </c>
      <c r="G169" t="inlineStr">
        <is>
          <t>YDRE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46226</v>
      </c>
      <c r="F170" t="inlineStr">
        <is>
          <t>ÖSTERGÖTLANDS LÄN</t>
        </is>
      </c>
      <c r="G170" t="inlineStr">
        <is>
          <t>YDRE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46226</v>
      </c>
      <c r="F171" t="inlineStr">
        <is>
          <t>ÖSTERGÖTLANDS LÄN</t>
        </is>
      </c>
      <c r="G171" t="inlineStr">
        <is>
          <t>YDRE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46226</v>
      </c>
      <c r="F172" t="inlineStr">
        <is>
          <t>ÖSTERGÖTLANDS LÄN</t>
        </is>
      </c>
      <c r="G172" t="inlineStr">
        <is>
          <t>YDRE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46226</v>
      </c>
      <c r="F173" t="inlineStr">
        <is>
          <t>ÖSTERGÖTLANDS LÄN</t>
        </is>
      </c>
      <c r="G173" t="inlineStr">
        <is>
          <t>YDRE</t>
        </is>
      </c>
      <c r="I173" t="n">
        <v>9.9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30548-2025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46226</v>
      </c>
      <c r="F174" t="inlineStr">
        <is>
          <t>ÖSTERGÖTLANDS LÄN</t>
        </is>
      </c>
      <c r="G174" t="inlineStr">
        <is>
          <t>YDRE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46226</v>
      </c>
      <c r="F175" t="inlineStr">
        <is>
          <t>ÖSTERGÖTLANDS LÄN</t>
        </is>
      </c>
      <c r="G175" t="inlineStr">
        <is>
          <t>YDRE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46226</v>
      </c>
      <c r="F176" t="inlineStr">
        <is>
          <t>ÖSTERGÖTLANDS LÄN</t>
        </is>
      </c>
      <c r="G176" t="inlineStr">
        <is>
          <t>YDRE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46226</v>
      </c>
      <c r="F177" t="inlineStr">
        <is>
          <t>ÖSTERGÖTLANDS LÄN</t>
        </is>
      </c>
      <c r="G177" t="inlineStr">
        <is>
          <t>YDRE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46226</v>
      </c>
      <c r="F178" t="inlineStr">
        <is>
          <t>ÖSTERGÖTLANDS LÄN</t>
        </is>
      </c>
      <c r="G178" t="inlineStr">
        <is>
          <t>YDRE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46226</v>
      </c>
      <c r="F179" t="inlineStr">
        <is>
          <t>ÖSTERGÖTLANDS LÄN</t>
        </is>
      </c>
      <c r="G179" t="inlineStr">
        <is>
          <t>YDRE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46226</v>
      </c>
      <c r="F180" t="inlineStr">
        <is>
          <t>ÖSTERGÖTLANDS LÄN</t>
        </is>
      </c>
      <c r="G180" t="inlineStr">
        <is>
          <t>YDRE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46086-2025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45924</v>
      </c>
      <c r="E181" s="1" t="n">
        <v>46226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46226</v>
      </c>
      <c r="F182" t="inlineStr">
        <is>
          <t>ÖSTERGÖTLANDS LÄN</t>
        </is>
      </c>
      <c r="G182" t="inlineStr">
        <is>
          <t>YDRE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45666</v>
      </c>
      <c r="E183" s="1" t="n">
        <v>46226</v>
      </c>
      <c r="F183" t="inlineStr">
        <is>
          <t>ÖSTERGÖTLANDS LÄN</t>
        </is>
      </c>
      <c r="G183" t="inlineStr">
        <is>
          <t>YDRE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46226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46226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46226</v>
      </c>
      <c r="F186" t="inlineStr">
        <is>
          <t>ÖSTERGÖTLANDS LÄN</t>
        </is>
      </c>
      <c r="G186" t="inlineStr">
        <is>
          <t>YDRE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46226</v>
      </c>
      <c r="F187" t="inlineStr">
        <is>
          <t>ÖSTERGÖTLANDS LÄN</t>
        </is>
      </c>
      <c r="G187" t="inlineStr">
        <is>
          <t>YDRE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56313-2021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44480</v>
      </c>
      <c r="E188" s="1" t="n">
        <v>46226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46226</v>
      </c>
      <c r="F189" t="inlineStr">
        <is>
          <t>ÖSTERGÖTLANDS LÄN</t>
        </is>
      </c>
      <c r="G189" t="inlineStr">
        <is>
          <t>YDRE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46116</v>
      </c>
      <c r="E190" s="1" t="n">
        <v>46226</v>
      </c>
      <c r="F190" t="inlineStr">
        <is>
          <t>ÖSTERGÖTLANDS LÄN</t>
        </is>
      </c>
      <c r="G190" t="inlineStr">
        <is>
          <t>YDRE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17385-2026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46226</v>
      </c>
      <c r="F191" t="inlineStr">
        <is>
          <t>ÖSTERGÖTLANDS LÄN</t>
        </is>
      </c>
      <c r="G191" t="inlineStr">
        <is>
          <t>YDRE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46226</v>
      </c>
      <c r="F192" t="inlineStr">
        <is>
          <t>ÖSTERGÖTLANDS LÄN</t>
        </is>
      </c>
      <c r="G192" t="inlineStr">
        <is>
          <t>YDRE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46226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46226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46226</v>
      </c>
      <c r="F195" t="inlineStr">
        <is>
          <t>ÖSTERGÖTLANDS LÄN</t>
        </is>
      </c>
      <c r="G195" t="inlineStr">
        <is>
          <t>YDRE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46226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17705-2026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46226</v>
      </c>
      <c r="F197" t="inlineStr">
        <is>
          <t>ÖSTERGÖTLANDS LÄN</t>
        </is>
      </c>
      <c r="G197" t="inlineStr">
        <is>
          <t>YDRE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46226</v>
      </c>
      <c r="F198" t="inlineStr">
        <is>
          <t>ÖSTERGÖTLANDS LÄN</t>
        </is>
      </c>
      <c r="G198" t="inlineStr">
        <is>
          <t>YDRE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46226</v>
      </c>
      <c r="F199" t="inlineStr">
        <is>
          <t>ÖSTERGÖTLANDS LÄN</t>
        </is>
      </c>
      <c r="G199" t="inlineStr">
        <is>
          <t>YDRE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46226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46226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46226</v>
      </c>
      <c r="F202" t="inlineStr">
        <is>
          <t>ÖSTERGÖTLANDS LÄN</t>
        </is>
      </c>
      <c r="G202" t="inlineStr">
        <is>
          <t>YDRE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46126</v>
      </c>
      <c r="E203" s="1" t="n">
        <v>46226</v>
      </c>
      <c r="F203" t="inlineStr">
        <is>
          <t>ÖSTERGÖTLANDS LÄN</t>
        </is>
      </c>
      <c r="G203" t="inlineStr">
        <is>
          <t>YDRE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46226</v>
      </c>
      <c r="F204" t="inlineStr">
        <is>
          <t>ÖSTERGÖTLANDS LÄN</t>
        </is>
      </c>
      <c r="G204" t="inlineStr">
        <is>
          <t>YDRE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46226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32635-2025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45838</v>
      </c>
      <c r="E206" s="1" t="n">
        <v>46226</v>
      </c>
      <c r="F206" t="inlineStr">
        <is>
          <t>ÖSTERGÖTLANDS LÄN</t>
        </is>
      </c>
      <c r="G206" t="inlineStr">
        <is>
          <t>YDRE</t>
        </is>
      </c>
      <c r="H206" t="inlineStr">
        <is>
          <t>Övriga Aktiebolag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9159-2023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46226</v>
      </c>
      <c r="F207" t="inlineStr">
        <is>
          <t>ÖSTERGÖTLANDS LÄN</t>
        </is>
      </c>
      <c r="G207" t="inlineStr">
        <is>
          <t>YDRE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46226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46226</v>
      </c>
      <c r="F209" t="inlineStr">
        <is>
          <t>ÖSTERGÖTLANDS LÄN</t>
        </is>
      </c>
      <c r="G209" t="inlineStr">
        <is>
          <t>YDRE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46226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46226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44576</v>
      </c>
      <c r="E212" s="1" t="n">
        <v>46226</v>
      </c>
      <c r="F212" t="inlineStr">
        <is>
          <t>ÖSTERGÖTLANDS LÄN</t>
        </is>
      </c>
      <c r="G212" t="inlineStr">
        <is>
          <t>YDRE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46226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46226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46226</v>
      </c>
      <c r="F215" t="inlineStr">
        <is>
          <t>ÖSTERGÖTLANDS LÄN</t>
        </is>
      </c>
      <c r="G215" t="inlineStr">
        <is>
          <t>YDRE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44635</v>
      </c>
      <c r="E216" s="1" t="n">
        <v>46226</v>
      </c>
      <c r="F216" t="inlineStr">
        <is>
          <t>ÖSTERGÖTLANDS LÄN</t>
        </is>
      </c>
      <c r="G216" t="inlineStr">
        <is>
          <t>YDRE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46226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46226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44789</v>
      </c>
      <c r="E219" s="1" t="n">
        <v>46226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46226</v>
      </c>
      <c r="F220" t="inlineStr">
        <is>
          <t>ÖSTERGÖTLANDS LÄN</t>
        </is>
      </c>
      <c r="G220" t="inlineStr">
        <is>
          <t>YDRE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46226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46226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46226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46226</v>
      </c>
      <c r="F224" t="inlineStr">
        <is>
          <t>ÖSTERGÖTLANDS LÄN</t>
        </is>
      </c>
      <c r="G224" t="inlineStr">
        <is>
          <t>YDRE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46226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46226</v>
      </c>
      <c r="F226" t="inlineStr">
        <is>
          <t>ÖSTERGÖTLANDS LÄN</t>
        </is>
      </c>
      <c r="G226" t="inlineStr">
        <is>
          <t>YDRE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46226</v>
      </c>
      <c r="F227" t="inlineStr">
        <is>
          <t>ÖSTERGÖTLANDS LÄN</t>
        </is>
      </c>
      <c r="G227" t="inlineStr">
        <is>
          <t>YDRE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46226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46226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46226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46226</v>
      </c>
      <c r="F231" t="inlineStr">
        <is>
          <t>ÖSTERGÖTLANDS LÄN</t>
        </is>
      </c>
      <c r="G231" t="inlineStr">
        <is>
          <t>YDRE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46226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46226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46226</v>
      </c>
      <c r="F234" t="inlineStr">
        <is>
          <t>ÖSTERGÖTLANDS LÄN</t>
        </is>
      </c>
      <c r="G234" t="inlineStr">
        <is>
          <t>YDRE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46226</v>
      </c>
      <c r="F235" t="inlineStr">
        <is>
          <t>ÖSTERGÖTLANDS LÄN</t>
        </is>
      </c>
      <c r="G235" t="inlineStr">
        <is>
          <t>YDRE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44908</v>
      </c>
      <c r="E236" s="1" t="n">
        <v>46226</v>
      </c>
      <c r="F236" t="inlineStr">
        <is>
          <t>ÖSTERGÖTLANDS LÄN</t>
        </is>
      </c>
      <c r="G236" t="inlineStr">
        <is>
          <t>YDRE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45616</v>
      </c>
      <c r="E237" s="1" t="n">
        <v>46226</v>
      </c>
      <c r="F237" t="inlineStr">
        <is>
          <t>ÖSTERGÖTLANDS LÄN</t>
        </is>
      </c>
      <c r="G237" t="inlineStr">
        <is>
          <t>YDRE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45153</v>
      </c>
      <c r="E238" s="1" t="n">
        <v>46226</v>
      </c>
      <c r="F238" t="inlineStr">
        <is>
          <t>ÖSTERGÖTLANDS LÄN</t>
        </is>
      </c>
      <c r="G238" t="inlineStr">
        <is>
          <t>YDRE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46226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46226</v>
      </c>
      <c r="F240" t="inlineStr">
        <is>
          <t>ÖSTERGÖTLANDS LÄN</t>
        </is>
      </c>
      <c r="G240" t="inlineStr">
        <is>
          <t>YDRE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46226</v>
      </c>
      <c r="F241" t="inlineStr">
        <is>
          <t>ÖSTERGÖTLANDS LÄN</t>
        </is>
      </c>
      <c r="G241" t="inlineStr">
        <is>
          <t>YDRE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46226</v>
      </c>
      <c r="F242" t="inlineStr">
        <is>
          <t>ÖSTERGÖTLANDS LÄN</t>
        </is>
      </c>
      <c r="G242" t="inlineStr">
        <is>
          <t>YDRE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45871</v>
      </c>
      <c r="E243" s="1" t="n">
        <v>46226</v>
      </c>
      <c r="F243" t="inlineStr">
        <is>
          <t>ÖSTERGÖTLANDS LÄN</t>
        </is>
      </c>
      <c r="G243" t="inlineStr">
        <is>
          <t>YDRE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46226</v>
      </c>
      <c r="F244" t="inlineStr">
        <is>
          <t>ÖSTERGÖTLANDS LÄN</t>
        </is>
      </c>
      <c r="G244" t="inlineStr">
        <is>
          <t>YDRE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46226</v>
      </c>
      <c r="F245" t="inlineStr">
        <is>
          <t>ÖSTERGÖTLANDS LÄN</t>
        </is>
      </c>
      <c r="G245" t="inlineStr">
        <is>
          <t>YDRE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46226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46226</v>
      </c>
      <c r="F247" t="inlineStr">
        <is>
          <t>ÖSTERGÖTLANDS LÄN</t>
        </is>
      </c>
      <c r="G247" t="inlineStr">
        <is>
          <t>YDRE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46226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45647</v>
      </c>
      <c r="E249" s="1" t="n">
        <v>46226</v>
      </c>
      <c r="F249" t="inlineStr">
        <is>
          <t>ÖSTERGÖTLANDS LÄN</t>
        </is>
      </c>
      <c r="G249" t="inlineStr">
        <is>
          <t>YDRE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45634</v>
      </c>
      <c r="E250" s="1" t="n">
        <v>46226</v>
      </c>
      <c r="F250" t="inlineStr">
        <is>
          <t>ÖSTERGÖTLANDS LÄN</t>
        </is>
      </c>
      <c r="G250" t="inlineStr">
        <is>
          <t>YDRE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45406</v>
      </c>
      <c r="E251" s="1" t="n">
        <v>46226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46226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46226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46226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46226</v>
      </c>
      <c r="F255" t="inlineStr">
        <is>
          <t>ÖSTERGÖTLANDS LÄN</t>
        </is>
      </c>
      <c r="G255" t="inlineStr">
        <is>
          <t>YDRE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46226</v>
      </c>
      <c r="F256" t="inlineStr">
        <is>
          <t>ÖSTERGÖTLANDS LÄN</t>
        </is>
      </c>
      <c r="G256" t="inlineStr">
        <is>
          <t>YDRE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46226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46226</v>
      </c>
      <c r="F258" t="inlineStr">
        <is>
          <t>ÖSTERGÖTLANDS LÄN</t>
        </is>
      </c>
      <c r="G258" t="inlineStr">
        <is>
          <t>YDRE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63242-2023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45273</v>
      </c>
      <c r="E259" s="1" t="n">
        <v>46226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46226</v>
      </c>
      <c r="F260" t="inlineStr">
        <is>
          <t>ÖSTERGÖTLANDS LÄN</t>
        </is>
      </c>
      <c r="G260" t="inlineStr">
        <is>
          <t>YDRE</t>
        </is>
      </c>
      <c r="H260" t="inlineStr">
        <is>
          <t>Övriga Aktiebolag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46226</v>
      </c>
      <c r="F261" t="inlineStr">
        <is>
          <t>ÖSTERGÖTLANDS LÄN</t>
        </is>
      </c>
      <c r="G261" t="inlineStr">
        <is>
          <t>YDRE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46226</v>
      </c>
      <c r="F262" t="inlineStr">
        <is>
          <t>ÖSTERGÖTLANDS LÄN</t>
        </is>
      </c>
      <c r="G262" t="inlineStr">
        <is>
          <t>YDRE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56900-2022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44894</v>
      </c>
      <c r="E263" s="1" t="n">
        <v>46226</v>
      </c>
      <c r="F263" t="inlineStr">
        <is>
          <t>ÖSTERGÖTLANDS LÄN</t>
        </is>
      </c>
      <c r="G263" t="inlineStr">
        <is>
          <t>YDRE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56323-2021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44480</v>
      </c>
      <c r="E264" s="1" t="n">
        <v>46226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  <c r="Z264">
        <f>HYPERLINK("https://klasma.github.io/Logging_0512/knärot/A 56323-2021 karta knärot.png", "A 56323-2021")</f>
        <v/>
      </c>
      <c r="AA264">
        <f>HYPERLINK("https://klasma.github.io/Logging_0512/klagomål/A 56323-2021 FSC-klagomål.docx", "A 56323-2021")</f>
        <v/>
      </c>
      <c r="AB264">
        <f>HYPERLINK("https://klasma.github.io/Logging_0512/klagomålsmail/A 56323-2021 FSC-klagomål mail.docx", "A 56323-2021")</f>
        <v/>
      </c>
      <c r="AC264">
        <f>HYPERLINK("https://klasma.github.io/Logging_0512/tillsyn/A 56323-2021 tillsynsbegäran.docx", "A 56323-2021")</f>
        <v/>
      </c>
      <c r="AD264">
        <f>HYPERLINK("https://klasma.github.io/Logging_0512/tillsynsmail/A 56323-2021 tillsynsbegäran mail.docx", "A 56323-2021")</f>
        <v/>
      </c>
    </row>
    <row r="265" ht="15" customHeight="1">
      <c r="A265" t="inlineStr">
        <is>
          <t>A 35209-2023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46226</v>
      </c>
      <c r="F265" t="inlineStr">
        <is>
          <t>ÖSTERGÖTLANDS LÄN</t>
        </is>
      </c>
      <c r="G265" t="inlineStr">
        <is>
          <t>YDRE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46226</v>
      </c>
      <c r="F266" t="inlineStr">
        <is>
          <t>ÖSTERGÖTLANDS LÄN</t>
        </is>
      </c>
      <c r="G266" t="inlineStr">
        <is>
          <t>YDRE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46226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46226</v>
      </c>
      <c r="F268" t="inlineStr">
        <is>
          <t>ÖSTERGÖTLANDS LÄN</t>
        </is>
      </c>
      <c r="G268" t="inlineStr">
        <is>
          <t>YDRE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46226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46007</v>
      </c>
      <c r="E270" s="1" t="n">
        <v>46226</v>
      </c>
      <c r="F270" t="inlineStr">
        <is>
          <t>ÖSTERGÖTLANDS LÄN</t>
        </is>
      </c>
      <c r="G270" t="inlineStr">
        <is>
          <t>YDRE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46007</v>
      </c>
      <c r="E271" s="1" t="n">
        <v>46226</v>
      </c>
      <c r="F271" t="inlineStr">
        <is>
          <t>ÖSTERGÖTLANDS LÄN</t>
        </is>
      </c>
      <c r="G271" t="inlineStr">
        <is>
          <t>YDRE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46226</v>
      </c>
      <c r="F272" t="inlineStr">
        <is>
          <t>ÖSTERGÖTLANDS LÄN</t>
        </is>
      </c>
      <c r="G272" t="inlineStr">
        <is>
          <t>YDRE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46226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46226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46226</v>
      </c>
      <c r="F275" t="inlineStr">
        <is>
          <t>ÖSTERGÖTLANDS LÄN</t>
        </is>
      </c>
      <c r="G275" t="inlineStr">
        <is>
          <t>YDRE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63232-2025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46226</v>
      </c>
      <c r="F276" t="inlineStr">
        <is>
          <t>ÖSTERGÖTLANDS LÄN</t>
        </is>
      </c>
      <c r="G276" t="inlineStr">
        <is>
          <t>YDRE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46226</v>
      </c>
      <c r="F277" t="inlineStr">
        <is>
          <t>ÖSTERGÖTLANDS LÄN</t>
        </is>
      </c>
      <c r="G277" t="inlineStr">
        <is>
          <t>YDRE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46226</v>
      </c>
      <c r="F278" t="inlineStr">
        <is>
          <t>ÖSTERGÖTLANDS LÄN</t>
        </is>
      </c>
      <c r="G278" t="inlineStr">
        <is>
          <t>YDRE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46226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46226</v>
      </c>
      <c r="F280" t="inlineStr">
        <is>
          <t>ÖSTERGÖTLANDS LÄN</t>
        </is>
      </c>
      <c r="G280" t="inlineStr">
        <is>
          <t>YDRE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46226</v>
      </c>
      <c r="F281" t="inlineStr">
        <is>
          <t>ÖSTERGÖTLANDS LÄN</t>
        </is>
      </c>
      <c r="G281" t="inlineStr">
        <is>
          <t>YDRE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46226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46226</v>
      </c>
      <c r="F283" t="inlineStr">
        <is>
          <t>ÖSTERGÖTLANDS LÄN</t>
        </is>
      </c>
      <c r="G283" t="inlineStr">
        <is>
          <t>YDRE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46226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46226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46226</v>
      </c>
      <c r="F286" t="inlineStr">
        <is>
          <t>ÖSTERGÖTLANDS LÄN</t>
        </is>
      </c>
      <c r="G286" t="inlineStr">
        <is>
          <t>YDRE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63998-2025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46021</v>
      </c>
      <c r="E287" s="1" t="n">
        <v>46226</v>
      </c>
      <c r="F287" t="inlineStr">
        <is>
          <t>ÖSTERGÖTLANDS LÄN</t>
        </is>
      </c>
      <c r="G287" t="inlineStr">
        <is>
          <t>YDRE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46226</v>
      </c>
      <c r="F288" t="inlineStr">
        <is>
          <t>ÖSTERGÖTLANDS LÄN</t>
        </is>
      </c>
      <c r="G288" t="inlineStr">
        <is>
          <t>YDRE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45054</v>
      </c>
      <c r="E289" s="1" t="n">
        <v>46226</v>
      </c>
      <c r="F289" t="inlineStr">
        <is>
          <t>ÖSTERGÖTLANDS LÄN</t>
        </is>
      </c>
      <c r="G289" t="inlineStr">
        <is>
          <t>YDRE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44502</v>
      </c>
      <c r="E290" s="1" t="n">
        <v>46226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46226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46226</v>
      </c>
      <c r="F292" t="inlineStr">
        <is>
          <t>ÖSTERGÖTLANDS LÄN</t>
        </is>
      </c>
      <c r="G292" t="inlineStr">
        <is>
          <t>YDRE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27700-2026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46190</v>
      </c>
      <c r="E293" s="1" t="n">
        <v>46226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45310</v>
      </c>
      <c r="E294" s="1" t="n">
        <v>46226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19261-2024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45428</v>
      </c>
      <c r="E295" s="1" t="n">
        <v>46226</v>
      </c>
      <c r="F295" t="inlineStr">
        <is>
          <t>ÖSTERGÖTLANDS LÄN</t>
        </is>
      </c>
      <c r="G295" t="inlineStr">
        <is>
          <t>YDRE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46226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46226</v>
      </c>
      <c r="F297" t="inlineStr">
        <is>
          <t>ÖSTERGÖTLANDS LÄN</t>
        </is>
      </c>
      <c r="G297" t="inlineStr">
        <is>
          <t>YDRE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22175-2026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46226</v>
      </c>
      <c r="F298" t="inlineStr">
        <is>
          <t>ÖSTERGÖTLANDS LÄN</t>
        </is>
      </c>
      <c r="G298" t="inlineStr">
        <is>
          <t>YDRE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22312-2026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46154</v>
      </c>
      <c r="E299" s="1" t="n">
        <v>46226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46226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45449-2023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45194</v>
      </c>
      <c r="E301" s="1" t="n">
        <v>46226</v>
      </c>
      <c r="F301" t="inlineStr">
        <is>
          <t>ÖSTERGÖTLANDS LÄN</t>
        </is>
      </c>
      <c r="G301" t="inlineStr">
        <is>
          <t>YDRE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46226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46226</v>
      </c>
      <c r="F303" t="inlineStr">
        <is>
          <t>ÖSTERGÖTLANDS LÄN</t>
        </is>
      </c>
      <c r="G303" t="inlineStr">
        <is>
          <t>YDRE</t>
        </is>
      </c>
      <c r="H303" t="inlineStr">
        <is>
          <t>Sveaskog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46226</v>
      </c>
      <c r="F304" t="inlineStr">
        <is>
          <t>ÖSTERGÖTLANDS LÄN</t>
        </is>
      </c>
      <c r="G304" t="inlineStr">
        <is>
          <t>YDRE</t>
        </is>
      </c>
      <c r="H304" t="inlineStr">
        <is>
          <t>Kyrkan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46226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46226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45194-2021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44439</v>
      </c>
      <c r="E307" s="1" t="n">
        <v>46226</v>
      </c>
      <c r="F307" t="inlineStr">
        <is>
          <t>ÖSTERGÖTLANDS LÄN</t>
        </is>
      </c>
      <c r="G307" t="inlineStr">
        <is>
          <t>YDRE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44562</v>
      </c>
      <c r="E308" s="1" t="n">
        <v>46226</v>
      </c>
      <c r="F308" t="inlineStr">
        <is>
          <t>ÖSTERGÖTLANDS LÄN</t>
        </is>
      </c>
      <c r="G308" t="inlineStr">
        <is>
          <t>YDRE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46055</v>
      </c>
      <c r="E309" s="1" t="n">
        <v>46226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62859-2023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45272</v>
      </c>
      <c r="E310" s="1" t="n">
        <v>46226</v>
      </c>
      <c r="F310" t="inlineStr">
        <is>
          <t>ÖSTERGÖTLANDS LÄN</t>
        </is>
      </c>
      <c r="G310" t="inlineStr">
        <is>
          <t>YDRE</t>
        </is>
      </c>
      <c r="H310" t="inlineStr">
        <is>
          <t>Övriga Aktiebolag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46226</v>
      </c>
      <c r="F311" t="inlineStr">
        <is>
          <t>ÖSTERGÖTLANDS LÄN</t>
        </is>
      </c>
      <c r="G311" t="inlineStr">
        <is>
          <t>YDRE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45414</v>
      </c>
      <c r="E312" s="1" t="n">
        <v>46226</v>
      </c>
      <c r="F312" t="inlineStr">
        <is>
          <t>ÖSTERGÖTLANDS LÄN</t>
        </is>
      </c>
      <c r="G312" t="inlineStr">
        <is>
          <t>YDRE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46226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46226</v>
      </c>
      <c r="F314" t="inlineStr">
        <is>
          <t>ÖSTERGÖTLANDS LÄN</t>
        </is>
      </c>
      <c r="G314" t="inlineStr">
        <is>
          <t>YDRE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70448-2021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44536</v>
      </c>
      <c r="E315" s="1" t="n">
        <v>46226</v>
      </c>
      <c r="F315" t="inlineStr">
        <is>
          <t>ÖSTERGÖTLANDS LÄN</t>
        </is>
      </c>
      <c r="G315" t="inlineStr">
        <is>
          <t>YDRE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45701</v>
      </c>
      <c r="E316" s="1" t="n">
        <v>46226</v>
      </c>
      <c r="F316" t="inlineStr">
        <is>
          <t>ÖSTERGÖTLANDS LÄN</t>
        </is>
      </c>
      <c r="G316" t="inlineStr">
        <is>
          <t>YDRE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44428</v>
      </c>
      <c r="E317" s="1" t="n">
        <v>46226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46226</v>
      </c>
      <c r="F318" t="inlineStr">
        <is>
          <t>ÖSTERGÖTLANDS LÄN</t>
        </is>
      </c>
      <c r="G318" t="inlineStr">
        <is>
          <t>YDRE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46202</v>
      </c>
      <c r="E319" s="1" t="n">
        <v>46226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46226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46226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59816-2022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46226</v>
      </c>
      <c r="F322" t="inlineStr">
        <is>
          <t>ÖSTERGÖTLANDS LÄN</t>
        </is>
      </c>
      <c r="G322" t="inlineStr">
        <is>
          <t>YDRE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46226</v>
      </c>
      <c r="F323" t="inlineStr">
        <is>
          <t>ÖSTERGÖTLANDS LÄN</t>
        </is>
      </c>
      <c r="G323" t="inlineStr">
        <is>
          <t>YDRE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46038</v>
      </c>
      <c r="E324" s="1" t="n">
        <v>46226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46226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24780-2026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46171</v>
      </c>
      <c r="E326" s="1" t="n">
        <v>46226</v>
      </c>
      <c r="F326" t="inlineStr">
        <is>
          <t>ÖSTERGÖTLANDS LÄN</t>
        </is>
      </c>
      <c r="G326" t="inlineStr">
        <is>
          <t>YDRE</t>
        </is>
      </c>
      <c r="H326" t="inlineStr">
        <is>
          <t>Övriga Aktiebolag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46226</v>
      </c>
      <c r="F327" t="inlineStr">
        <is>
          <t>ÖSTERGÖTLANDS LÄN</t>
        </is>
      </c>
      <c r="G327" t="inlineStr">
        <is>
          <t>YDRE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46226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46226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46226</v>
      </c>
      <c r="F330" t="inlineStr">
        <is>
          <t>ÖSTERGÖTLANDS LÄN</t>
        </is>
      </c>
      <c r="G330" t="inlineStr">
        <is>
          <t>YDRE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46226</v>
      </c>
      <c r="F331" t="inlineStr">
        <is>
          <t>ÖSTERGÖTLANDS LÄN</t>
        </is>
      </c>
      <c r="G331" t="inlineStr">
        <is>
          <t>YDRE</t>
        </is>
      </c>
      <c r="H331" t="inlineStr">
        <is>
          <t>Övriga Aktiebolag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46226</v>
      </c>
      <c r="F332" t="inlineStr">
        <is>
          <t>ÖSTERGÖTLANDS LÄN</t>
        </is>
      </c>
      <c r="G332" t="inlineStr">
        <is>
          <t>YDRE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46226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45583</v>
      </c>
      <c r="E334" s="1" t="n">
        <v>46226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46226</v>
      </c>
      <c r="F335" t="inlineStr">
        <is>
          <t>ÖSTERGÖTLANDS LÄN</t>
        </is>
      </c>
      <c r="G335" t="inlineStr">
        <is>
          <t>YDRE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45595</v>
      </c>
      <c r="E336" s="1" t="n">
        <v>46226</v>
      </c>
      <c r="F336" t="inlineStr">
        <is>
          <t>ÖSTERGÖTLANDS LÄN</t>
        </is>
      </c>
      <c r="G336" t="inlineStr">
        <is>
          <t>YDRE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46226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44572</v>
      </c>
      <c r="E338" s="1" t="n">
        <v>46226</v>
      </c>
      <c r="F338" t="inlineStr">
        <is>
          <t>ÖSTERGÖTLANDS LÄN</t>
        </is>
      </c>
      <c r="G338" t="inlineStr">
        <is>
          <t>YDRE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59407-2021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44491</v>
      </c>
      <c r="E339" s="1" t="n">
        <v>46226</v>
      </c>
      <c r="F339" t="inlineStr">
        <is>
          <t>ÖSTERGÖTLANDS LÄN</t>
        </is>
      </c>
      <c r="G339" t="inlineStr">
        <is>
          <t>YDRE</t>
        </is>
      </c>
      <c r="H339" t="inlineStr">
        <is>
          <t>Sveaskog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61636-2021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44501</v>
      </c>
      <c r="E340" s="1" t="n">
        <v>46226</v>
      </c>
      <c r="F340" t="inlineStr">
        <is>
          <t>ÖSTERGÖTLANDS LÄN</t>
        </is>
      </c>
      <c r="G340" t="inlineStr">
        <is>
          <t>YDRE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46226</v>
      </c>
      <c r="F341" t="inlineStr">
        <is>
          <t>ÖSTERGÖTLANDS LÄN</t>
        </is>
      </c>
      <c r="G341" t="inlineStr">
        <is>
          <t>YDRE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46226</v>
      </c>
      <c r="F342" t="inlineStr">
        <is>
          <t>ÖSTERGÖTLANDS LÄN</t>
        </is>
      </c>
      <c r="G342" t="inlineStr">
        <is>
          <t>YDRE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46226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44874</v>
      </c>
      <c r="E344" s="1" t="n">
        <v>46226</v>
      </c>
      <c r="F344" t="inlineStr">
        <is>
          <t>ÖSTERGÖTLANDS LÄN</t>
        </is>
      </c>
      <c r="G344" t="inlineStr">
        <is>
          <t>YDRE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21982-2022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44711</v>
      </c>
      <c r="E345" s="1" t="n">
        <v>46226</v>
      </c>
      <c r="F345" t="inlineStr">
        <is>
          <t>ÖSTERGÖTLANDS LÄN</t>
        </is>
      </c>
      <c r="G345" t="inlineStr">
        <is>
          <t>YDRE</t>
        </is>
      </c>
      <c r="H345" t="inlineStr">
        <is>
          <t>Övriga Aktiebolag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45649</v>
      </c>
      <c r="E346" s="1" t="n">
        <v>46226</v>
      </c>
      <c r="F346" t="inlineStr">
        <is>
          <t>ÖSTERGÖTLANDS LÄN</t>
        </is>
      </c>
      <c r="G346" t="inlineStr">
        <is>
          <t>YDRE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46226</v>
      </c>
      <c r="F347" t="inlineStr">
        <is>
          <t>ÖSTERGÖTLANDS LÄN</t>
        </is>
      </c>
      <c r="G347" t="inlineStr">
        <is>
          <t>YDRE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45580</v>
      </c>
      <c r="E348" s="1" t="n">
        <v>46226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46226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46226</v>
      </c>
      <c r="F350" t="inlineStr">
        <is>
          <t>ÖSTERGÖTLANDS LÄN</t>
        </is>
      </c>
      <c r="G350" t="inlineStr">
        <is>
          <t>YDRE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45664</v>
      </c>
      <c r="E351" s="1" t="n">
        <v>46226</v>
      </c>
      <c r="F351" t="inlineStr">
        <is>
          <t>ÖSTERGÖTLANDS LÄN</t>
        </is>
      </c>
      <c r="G351" t="inlineStr">
        <is>
          <t>YDRE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44741-2021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44438</v>
      </c>
      <c r="E352" s="1" t="n">
        <v>46226</v>
      </c>
      <c r="F352" t="inlineStr">
        <is>
          <t>ÖSTERGÖTLANDS LÄN</t>
        </is>
      </c>
      <c r="G352" t="inlineStr">
        <is>
          <t>YDRE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46226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68983-2021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44530</v>
      </c>
      <c r="E354" s="1" t="n">
        <v>46226</v>
      </c>
      <c r="F354" t="inlineStr">
        <is>
          <t>ÖSTERGÖTLANDS LÄN</t>
        </is>
      </c>
      <c r="G354" t="inlineStr">
        <is>
          <t>YDRE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46226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45649</v>
      </c>
      <c r="E356" s="1" t="n">
        <v>46226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45398</v>
      </c>
      <c r="E357" s="1" t="n">
        <v>46226</v>
      </c>
      <c r="F357" t="inlineStr">
        <is>
          <t>ÖSTERGÖTLANDS LÄN</t>
        </is>
      </c>
      <c r="G357" t="inlineStr">
        <is>
          <t>YDRE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46226</v>
      </c>
      <c r="F358" t="inlineStr">
        <is>
          <t>ÖSTERGÖTLANDS LÄN</t>
        </is>
      </c>
      <c r="G358" t="inlineStr">
        <is>
          <t>YDRE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46226</v>
      </c>
      <c r="F359" t="inlineStr">
        <is>
          <t>ÖSTERGÖTLANDS LÄN</t>
        </is>
      </c>
      <c r="G359" t="inlineStr">
        <is>
          <t>YDRE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46226</v>
      </c>
      <c r="F360" t="inlineStr">
        <is>
          <t>ÖSTERGÖTLANDS LÄN</t>
        </is>
      </c>
      <c r="G360" t="inlineStr">
        <is>
          <t>YDRE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46226</v>
      </c>
      <c r="F361" t="inlineStr">
        <is>
          <t>ÖSTERGÖTLANDS LÄN</t>
        </is>
      </c>
      <c r="G361" t="inlineStr">
        <is>
          <t>YDRE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46226</v>
      </c>
      <c r="F362" t="inlineStr">
        <is>
          <t>ÖSTERGÖTLANDS LÄN</t>
        </is>
      </c>
      <c r="G362" t="inlineStr">
        <is>
          <t>YDRE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59589-2024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45638</v>
      </c>
      <c r="E363" s="1" t="n">
        <v>46226</v>
      </c>
      <c r="F363" t="inlineStr">
        <is>
          <t>ÖSTERGÖTLANDS LÄN</t>
        </is>
      </c>
      <c r="G363" t="inlineStr">
        <is>
          <t>YDRE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46226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45334</v>
      </c>
      <c r="E365" s="1" t="n">
        <v>46226</v>
      </c>
      <c r="F365" t="inlineStr">
        <is>
          <t>ÖSTERGÖTLANDS LÄN</t>
        </is>
      </c>
      <c r="G365" t="inlineStr">
        <is>
          <t>YDRE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38928-2022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44816</v>
      </c>
      <c r="E366" s="1" t="n">
        <v>46226</v>
      </c>
      <c r="F366" t="inlineStr">
        <is>
          <t>ÖSTERGÖTLANDS LÄN</t>
        </is>
      </c>
      <c r="G366" t="inlineStr">
        <is>
          <t>YDRE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46226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44655</v>
      </c>
      <c r="E368" s="1" t="n">
        <v>46226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45348</v>
      </c>
      <c r="E369" s="1" t="n">
        <v>46226</v>
      </c>
      <c r="F369" t="inlineStr">
        <is>
          <t>ÖSTERGÖTLANDS LÄN</t>
        </is>
      </c>
      <c r="G369" t="inlineStr">
        <is>
          <t>YDRE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46226</v>
      </c>
      <c r="F370" t="inlineStr">
        <is>
          <t>ÖSTERGÖTLANDS LÄN</t>
        </is>
      </c>
      <c r="G370" t="inlineStr">
        <is>
          <t>YDRE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46226</v>
      </c>
      <c r="F371" t="inlineStr">
        <is>
          <t>ÖSTERGÖTLANDS LÄN</t>
        </is>
      </c>
      <c r="G371" t="inlineStr">
        <is>
          <t>YDRE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46226</v>
      </c>
      <c r="F372" t="inlineStr">
        <is>
          <t>ÖSTERGÖTLANDS LÄN</t>
        </is>
      </c>
      <c r="G372" t="inlineStr">
        <is>
          <t>YDRE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9162-2023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46226</v>
      </c>
      <c r="F373" t="inlineStr">
        <is>
          <t>ÖSTERGÖTLANDS LÄN</t>
        </is>
      </c>
      <c r="G373" t="inlineStr">
        <is>
          <t>YDRE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59805-2022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46226</v>
      </c>
      <c r="F374" t="inlineStr">
        <is>
          <t>ÖSTERGÖTLANDS LÄN</t>
        </is>
      </c>
      <c r="G374" t="inlineStr">
        <is>
          <t>YDRE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45634</v>
      </c>
      <c r="E375" s="1" t="n">
        <v>46226</v>
      </c>
      <c r="F375" t="inlineStr">
        <is>
          <t>ÖSTERGÖTLANDS LÄN</t>
        </is>
      </c>
      <c r="G375" t="inlineStr">
        <is>
          <t>YDRE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46226</v>
      </c>
      <c r="F376" t="inlineStr">
        <is>
          <t>ÖSTERGÖTLANDS LÄN</t>
        </is>
      </c>
      <c r="G376" t="inlineStr">
        <is>
          <t>YDRE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46226</v>
      </c>
      <c r="F377" t="inlineStr">
        <is>
          <t>ÖSTERGÖTLANDS LÄN</t>
        </is>
      </c>
      <c r="G377" t="inlineStr">
        <is>
          <t>YDRE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14184-2022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44651</v>
      </c>
      <c r="E378" s="1" t="n">
        <v>46226</v>
      </c>
      <c r="F378" t="inlineStr">
        <is>
          <t>ÖSTERGÖTLANDS LÄN</t>
        </is>
      </c>
      <c r="G378" t="inlineStr">
        <is>
          <t>YDRE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45395-2022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44844</v>
      </c>
      <c r="E379" s="1" t="n">
        <v>46226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46226</v>
      </c>
      <c r="F380" t="inlineStr">
        <is>
          <t>ÖSTERGÖTLANDS LÄN</t>
        </is>
      </c>
      <c r="G380" t="inlineStr">
        <is>
          <t>YDRE</t>
        </is>
      </c>
      <c r="I380" t="n">
        <v>17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46226</v>
      </c>
      <c r="F381" t="inlineStr">
        <is>
          <t>ÖSTERGÖTLANDS LÄN</t>
        </is>
      </c>
      <c r="G381" t="inlineStr">
        <is>
          <t>YDRE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46226</v>
      </c>
      <c r="F382" t="inlineStr">
        <is>
          <t>ÖSTERGÖTLANDS LÄN</t>
        </is>
      </c>
      <c r="G382" t="inlineStr">
        <is>
          <t>YDRE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46226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45054</v>
      </c>
      <c r="E384" s="1" t="n">
        <v>46226</v>
      </c>
      <c r="F384" t="inlineStr">
        <is>
          <t>ÖSTERGÖTLANDS LÄN</t>
        </is>
      </c>
      <c r="G384" t="inlineStr">
        <is>
          <t>YDRE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45755</v>
      </c>
      <c r="E385" s="1" t="n">
        <v>46226</v>
      </c>
      <c r="F385" t="inlineStr">
        <is>
          <t>ÖSTERGÖTLANDS LÄN</t>
        </is>
      </c>
      <c r="G385" t="inlineStr">
        <is>
          <t>YDRE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44994</v>
      </c>
      <c r="E386" s="1" t="n">
        <v>46226</v>
      </c>
      <c r="F386" t="inlineStr">
        <is>
          <t>ÖSTERGÖTLANDS LÄN</t>
        </is>
      </c>
      <c r="G386" t="inlineStr">
        <is>
          <t>YDRE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46226</v>
      </c>
      <c r="F387" t="inlineStr">
        <is>
          <t>ÖSTERGÖTLANDS LÄN</t>
        </is>
      </c>
      <c r="G387" t="inlineStr">
        <is>
          <t>YDRE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45692</v>
      </c>
      <c r="E388" s="1" t="n">
        <v>46226</v>
      </c>
      <c r="F388" t="inlineStr">
        <is>
          <t>ÖSTERGÖTLANDS LÄN</t>
        </is>
      </c>
      <c r="G388" t="inlineStr">
        <is>
          <t>YDRE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44670</v>
      </c>
      <c r="E389" s="1" t="n">
        <v>46226</v>
      </c>
      <c r="F389" t="inlineStr">
        <is>
          <t>ÖSTERGÖTLANDS LÄN</t>
        </is>
      </c>
      <c r="G389" t="inlineStr">
        <is>
          <t>YDRE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44953</v>
      </c>
      <c r="E390" s="1" t="n">
        <v>46226</v>
      </c>
      <c r="F390" t="inlineStr">
        <is>
          <t>ÖSTERGÖTLANDS LÄN</t>
        </is>
      </c>
      <c r="G390" t="inlineStr">
        <is>
          <t>YDRE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14101-2022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44651</v>
      </c>
      <c r="E391" s="1" t="n">
        <v>46226</v>
      </c>
      <c r="F391" t="inlineStr">
        <is>
          <t>ÖSTERGÖTLANDS LÄN</t>
        </is>
      </c>
      <c r="G391" t="inlineStr">
        <is>
          <t>YDRE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45671</v>
      </c>
      <c r="E392" s="1" t="n">
        <v>46226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59296-2021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44490</v>
      </c>
      <c r="E393" s="1" t="n">
        <v>46226</v>
      </c>
      <c r="F393" t="inlineStr">
        <is>
          <t>ÖSTERGÖTLANDS LÄN</t>
        </is>
      </c>
      <c r="G393" t="inlineStr">
        <is>
          <t>YDRE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46226</v>
      </c>
      <c r="F394" t="inlineStr">
        <is>
          <t>ÖSTERGÖTLANDS LÄN</t>
        </is>
      </c>
      <c r="G394" t="inlineStr">
        <is>
          <t>YDRE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45096</v>
      </c>
      <c r="E395" s="1" t="n">
        <v>46226</v>
      </c>
      <c r="F395" t="inlineStr">
        <is>
          <t>ÖSTERGÖTLANDS LÄN</t>
        </is>
      </c>
      <c r="G395" t="inlineStr">
        <is>
          <t>YDRE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46226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45736</v>
      </c>
      <c r="E397" s="1" t="n">
        <v>46226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45748</v>
      </c>
      <c r="E398" s="1" t="n">
        <v>46226</v>
      </c>
      <c r="F398" t="inlineStr">
        <is>
          <t>ÖSTERGÖTLANDS LÄN</t>
        </is>
      </c>
      <c r="G398" t="inlineStr">
        <is>
          <t>YDRE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61205-2023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45264</v>
      </c>
      <c r="E399" s="1" t="n">
        <v>46226</v>
      </c>
      <c r="F399" t="inlineStr">
        <is>
          <t>ÖSTERGÖTLANDS LÄN</t>
        </is>
      </c>
      <c r="G399" t="inlineStr">
        <is>
          <t>YDRE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57290-2021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46226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45492</v>
      </c>
      <c r="E401" s="1" t="n">
        <v>46226</v>
      </c>
      <c r="F401" t="inlineStr">
        <is>
          <t>ÖSTERGÖTLANDS LÄN</t>
        </is>
      </c>
      <c r="G401" t="inlineStr">
        <is>
          <t>YDRE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46226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46226</v>
      </c>
      <c r="F403" t="inlineStr">
        <is>
          <t>ÖSTERGÖTLANDS LÄN</t>
        </is>
      </c>
      <c r="G403" t="inlineStr">
        <is>
          <t>YDRE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46226</v>
      </c>
      <c r="F404" t="inlineStr">
        <is>
          <t>ÖSTERGÖTLANDS LÄN</t>
        </is>
      </c>
      <c r="G404" t="inlineStr">
        <is>
          <t>YDRE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46226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45719</v>
      </c>
      <c r="E406" s="1" t="n">
        <v>46226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18.2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27905-2024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46226</v>
      </c>
      <c r="F407" t="inlineStr">
        <is>
          <t>ÖSTERGÖTLANDS LÄN</t>
        </is>
      </c>
      <c r="G407" t="inlineStr">
        <is>
          <t>YDRE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10414-2024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45365</v>
      </c>
      <c r="E408" s="1" t="n">
        <v>46226</v>
      </c>
      <c r="F408" t="inlineStr">
        <is>
          <t>ÖSTERGÖTLANDS LÄN</t>
        </is>
      </c>
      <c r="G408" t="inlineStr">
        <is>
          <t>YDRE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24137-2025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45796</v>
      </c>
      <c r="E409" s="1" t="n">
        <v>46226</v>
      </c>
      <c r="F409" t="inlineStr">
        <is>
          <t>ÖSTERGÖTLANDS LÄN</t>
        </is>
      </c>
      <c r="G409" t="inlineStr">
        <is>
          <t>YDRE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46226</v>
      </c>
      <c r="F410" t="inlineStr">
        <is>
          <t>ÖSTERGÖTLANDS LÄN</t>
        </is>
      </c>
      <c r="G410" t="inlineStr">
        <is>
          <t>YDRE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46226</v>
      </c>
      <c r="F411" t="inlineStr">
        <is>
          <t>ÖSTERGÖTLANDS LÄN</t>
        </is>
      </c>
      <c r="G411" t="inlineStr">
        <is>
          <t>YDRE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45239</v>
      </c>
      <c r="E412" s="1" t="n">
        <v>46226</v>
      </c>
      <c r="F412" t="inlineStr">
        <is>
          <t>ÖSTERGÖTLANDS LÄN</t>
        </is>
      </c>
      <c r="G412" t="inlineStr">
        <is>
          <t>YDRE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46226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46226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46226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46226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46226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46226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46226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2026-07-23T01:45:27Z</dcterms:created>
  <dcterms:modified xmlns:dcterms="http://purl.org/dc/terms/" xmlns:xsi="http://www.w3.org/2001/XMLSchema-instance" xsi:type="dcterms:W3CDTF">2026-07-23T01:45:28Z</dcterms:modified>
</cp:coreProperties>
</file>