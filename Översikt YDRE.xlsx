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46248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t="n">
        <v>20</v>
      </c>
      <c r="V3" s="2" t="inlineStr">
        <is>
          <t>Garnlav
Knärot
Brunpudrad nållav
Vedtrappmossa
Grönpyrola
Skinnlav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46248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46248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46248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27469-2026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46189</v>
      </c>
      <c r="E7" s="1" t="n">
        <v>46248</v>
      </c>
      <c r="F7" t="inlineStr">
        <is>
          <t>ÖSTERGÖTLANDS LÄN</t>
        </is>
      </c>
      <c r="G7" t="inlineStr">
        <is>
          <t>YDRE</t>
        </is>
      </c>
      <c r="I7" t="n">
        <v>1</v>
      </c>
      <c r="J7" t="n">
        <v>1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Svinrot
Gullviva</t>
        </is>
      </c>
      <c r="W7">
        <f>HYPERLINK("https://klasma.github.io/Logging_0512/artfynd/A 27469-2026 artfynd.xlsx", "A 27469-2026")</f>
        <v/>
      </c>
      <c r="X7">
        <f>HYPERLINK("https://klasma.github.io/Logging_0512/kartor/A 27469-2026 karta.png", "A 27469-2026")</f>
        <v/>
      </c>
      <c r="Y7">
        <f>HYPERLINK("https://klasma.github.io/Logging_0512/kartor_geotiff/A 27469-2026 georefererad karta.tif", "A 27469-2026")</f>
        <v/>
      </c>
      <c r="AA7">
        <f>HYPERLINK("https://klasma.github.io/Logging_0512/klagomål/A 27469-2026 FSC-klagomål.docx", "A 27469-2026")</f>
        <v/>
      </c>
      <c r="AB7">
        <f>HYPERLINK("https://klasma.github.io/Logging_0512/klagomålsmail/A 27469-2026 FSC-klagomål mail.docx", "A 27469-2026")</f>
        <v/>
      </c>
      <c r="AC7">
        <f>HYPERLINK("https://klasma.github.io/Logging_0512/tillsyn/A 27469-2026 tillsynsbegäran.docx", "A 27469-2026")</f>
        <v/>
      </c>
      <c r="AD7">
        <f>HYPERLINK("https://klasma.github.io/Logging_0512/tillsynsmail/A 27469-2026 tillsynsbegäran mail.docx", "A 27469-2026")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46248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46248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46248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Crepis tectorum subsp. tectorum
Tallticka</t>
        </is>
      </c>
      <c r="W10">
        <f>HYPERLINK("https://klasma.github.io/Logging_0512/artfynd/A 63961-2021 artfynd.xlsx", "A 63961-2021")</f>
        <v/>
      </c>
      <c r="X10">
        <f>HYPERLINK("https://klasma.github.io/Logging_0512/kartor/A 63961-2021 karta.png", "A 63961-2021")</f>
        <v/>
      </c>
      <c r="Y10">
        <f>HYPERLINK("https://klasma.github.io/Logging_0512/kartor_geotiff/A 63961-2021 georefererad karta.tif", "A 63961-2021")</f>
        <v/>
      </c>
      <c r="AA10">
        <f>HYPERLINK("https://klasma.github.io/Logging_0512/klagomål/A 63961-2021 FSC-klagomål.docx", "A 63961-2021")</f>
        <v/>
      </c>
      <c r="AB10">
        <f>HYPERLINK("https://klasma.github.io/Logging_0512/klagomålsmail/A 63961-2021 FSC-klagomål mail.docx", "A 63961-2021")</f>
        <v/>
      </c>
      <c r="AC10">
        <f>HYPERLINK("https://klasma.github.io/Logging_0512/tillsyn/A 63961-2021 tillsynsbegäran.docx", "A 63961-2021")</f>
        <v/>
      </c>
      <c r="AD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46248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0.9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Aspelandsfibbla
Smal guldkornsfibbla</t>
        </is>
      </c>
      <c r="W11">
        <f>HYPERLINK("https://klasma.github.io/Logging_0512/artfynd/A 26030-2023 artfynd.xlsx", "A 26030-2023")</f>
        <v/>
      </c>
      <c r="X11">
        <f>HYPERLINK("https://klasma.github.io/Logging_0512/kartor/A 26030-2023 karta.png", "A 26030-2023")</f>
        <v/>
      </c>
      <c r="Y11">
        <f>HYPERLINK("https://klasma.github.io/Logging_0512/kartor_geotiff/A 26030-2023 georefererad karta.tif", "A 26030-2023")</f>
        <v/>
      </c>
      <c r="AA11">
        <f>HYPERLINK("https://klasma.github.io/Logging_0512/klagomål/A 26030-2023 FSC-klagomål.docx", "A 26030-2023")</f>
        <v/>
      </c>
      <c r="AB11">
        <f>HYPERLINK("https://klasma.github.io/Logging_0512/klagomålsmail/A 26030-2023 FSC-klagomål mail.docx", "A 26030-2023")</f>
        <v/>
      </c>
      <c r="AC11">
        <f>HYPERLINK("https://klasma.github.io/Logging_0512/tillsyn/A 26030-2023 tillsynsbegäran.docx", "A 26030-2023")</f>
        <v/>
      </c>
      <c r="AD11">
        <f>HYPERLINK("https://klasma.github.io/Logging_0512/tillsynsmail/A 26030-2023 tillsynsbegäran mail.docx", "A 26030-2023")</f>
        <v/>
      </c>
    </row>
    <row r="12" ht="15" customHeight="1">
      <c r="A12" t="inlineStr">
        <is>
          <t>A 7621-2024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46248</v>
      </c>
      <c r="F12" t="inlineStr">
        <is>
          <t>ÖSTERGÖTLANDS LÄN</t>
        </is>
      </c>
      <c r="G12" t="inlineStr">
        <is>
          <t>YDRE</t>
        </is>
      </c>
      <c r="I12" t="n">
        <v>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Nordfladdermus
Vattenfladdermus</t>
        </is>
      </c>
      <c r="W12">
        <f>HYPERLINK("https://klasma.github.io/Logging_0512/artfynd/A 7621-2024 artfynd.xlsx", "A 7621-2024")</f>
        <v/>
      </c>
      <c r="X12">
        <f>HYPERLINK("https://klasma.github.io/Logging_0512/kartor/A 7621-2024 karta.png", "A 7621-2024")</f>
        <v/>
      </c>
      <c r="Y12">
        <f>HYPERLINK("https://klasma.github.io/Logging_0512/kartor_geotiff/A 7621-2024 georefererad karta.tif", "A 7621-2024")</f>
        <v/>
      </c>
      <c r="AA12">
        <f>HYPERLINK("https://klasma.github.io/Logging_0512/klagomål/A 7621-2024 FSC-klagomål.docx", "A 7621-2024")</f>
        <v/>
      </c>
      <c r="AB12">
        <f>HYPERLINK("https://klasma.github.io/Logging_0512/klagomålsmail/A 7621-2024 FSC-klagomål mail.docx", "A 7621-2024")</f>
        <v/>
      </c>
      <c r="AC12">
        <f>HYPERLINK("https://klasma.github.io/Logging_0512/tillsyn/A 7621-2024 tillsynsbegäran.docx", "A 7621-2024")</f>
        <v/>
      </c>
      <c r="AD12">
        <f>HYPERLINK("https://klasma.github.io/Logging_0512/tillsynsmail/A 7621-2024 tillsynsbegäran mail.docx", "A 7621-2024")</f>
        <v/>
      </c>
    </row>
    <row r="13" ht="15" customHeight="1">
      <c r="A13" t="inlineStr">
        <is>
          <t>A 17526-2024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46248</v>
      </c>
      <c r="F13" t="inlineStr">
        <is>
          <t>ÖSTERGÖTLANDS LÄN</t>
        </is>
      </c>
      <c r="G13" t="inlineStr">
        <is>
          <t>YDRE</t>
        </is>
      </c>
      <c r="I13" t="n">
        <v>1.6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Svinrot
Blåsippa</t>
        </is>
      </c>
      <c r="W13">
        <f>HYPERLINK("https://klasma.github.io/Logging_0512/artfynd/A 17526-2024 artfynd.xlsx", "A 17526-2024")</f>
        <v/>
      </c>
      <c r="X13">
        <f>HYPERLINK("https://klasma.github.io/Logging_0512/kartor/A 17526-2024 karta.png", "A 17526-2024")</f>
        <v/>
      </c>
      <c r="Y13">
        <f>HYPERLINK("https://klasma.github.io/Logging_0512/kartor_geotiff/A 17526-2024 georefererad karta.tif", "A 17526-2024")</f>
        <v/>
      </c>
      <c r="AA13">
        <f>HYPERLINK("https://klasma.github.io/Logging_0512/klagomål/A 17526-2024 FSC-klagomål.docx", "A 17526-2024")</f>
        <v/>
      </c>
      <c r="AB13">
        <f>HYPERLINK("https://klasma.github.io/Logging_0512/klagomålsmail/A 17526-2024 FSC-klagomål mail.docx", "A 17526-2024")</f>
        <v/>
      </c>
      <c r="AC13">
        <f>HYPERLINK("https://klasma.github.io/Logging_0512/tillsyn/A 17526-2024 tillsynsbegäran.docx", "A 17526-2024")</f>
        <v/>
      </c>
      <c r="AD13">
        <f>HYPERLINK("https://klasma.github.io/Logging_0512/tillsynsmail/A 17526-2024 tillsynsbegäran mail.docx", "A 17526-2024")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46248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46248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53091-2024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45611</v>
      </c>
      <c r="E16" s="1" t="n">
        <v>46248</v>
      </c>
      <c r="F16" t="inlineStr">
        <is>
          <t>ÖSTERGÖTLANDS LÄN</t>
        </is>
      </c>
      <c r="G16" t="inlineStr">
        <is>
          <t>YDRE</t>
        </is>
      </c>
      <c r="H16" t="inlineStr">
        <is>
          <t>Övriga Aktiebolag</t>
        </is>
      </c>
      <c r="I16" t="n">
        <v>5.5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Ängsstarr</t>
        </is>
      </c>
      <c r="W16">
        <f>HYPERLINK("https://klasma.github.io/Logging_0512/artfynd/A 53091-2024 artfynd.xlsx", "A 53091-2024")</f>
        <v/>
      </c>
      <c r="X16">
        <f>HYPERLINK("https://klasma.github.io/Logging_0512/kartor/A 53091-2024 karta.png", "A 53091-2024")</f>
        <v/>
      </c>
      <c r="Y16">
        <f>HYPERLINK("https://klasma.github.io/Logging_0512/kartor_geotiff/A 53091-2024 georefererad karta.tif", "A 53091-2024")</f>
        <v/>
      </c>
      <c r="Z16">
        <f>HYPERLINK("https://klasma.github.io/Logging_0512/knärot/A 53091-2024 karta knärot.png", "A 53091-2024")</f>
        <v/>
      </c>
      <c r="AA16">
        <f>HYPERLINK("https://klasma.github.io/Logging_0512/klagomål/A 53091-2024 FSC-klagomål.docx", "A 53091-2024")</f>
        <v/>
      </c>
      <c r="AB16">
        <f>HYPERLINK("https://klasma.github.io/Logging_0512/klagomålsmail/A 53091-2024 FSC-klagomål mail.docx", "A 53091-2024")</f>
        <v/>
      </c>
      <c r="AC16">
        <f>HYPERLINK("https://klasma.github.io/Logging_0512/tillsyn/A 53091-2024 tillsynsbegäran.docx", "A 53091-2024")</f>
        <v/>
      </c>
      <c r="AD16">
        <f>HYPERLINK("https://klasma.github.io/Logging_0512/tillsynsmail/A 53091-2024 tillsynsbegäran mail.docx", "A 53091-2024")</f>
        <v/>
      </c>
    </row>
    <row r="17" ht="15" customHeight="1">
      <c r="A17" t="inlineStr">
        <is>
          <t>A 58691-2023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46248</v>
      </c>
      <c r="F17" t="inlineStr">
        <is>
          <t>ÖSTERGÖTLANDS LÄN</t>
        </is>
      </c>
      <c r="G17" t="inlineStr">
        <is>
          <t>YDRE</t>
        </is>
      </c>
      <c r="I17" t="n">
        <v>1.7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Grönsiska</t>
        </is>
      </c>
      <c r="W17">
        <f>HYPERLINK("https://klasma.github.io/Logging_0512/artfynd/A 58691-2023 artfynd.xlsx", "A 58691-2023")</f>
        <v/>
      </c>
      <c r="X17">
        <f>HYPERLINK("https://klasma.github.io/Logging_0512/kartor/A 58691-2023 karta.png", "A 58691-2023")</f>
        <v/>
      </c>
      <c r="Y17">
        <f>HYPERLINK("https://klasma.github.io/Logging_0512/kartor_geotiff/A 58691-2023 georefererad karta.tif", "A 58691-2023")</f>
        <v/>
      </c>
      <c r="AA17">
        <f>HYPERLINK("https://klasma.github.io/Logging_0512/klagomål/A 58691-2023 FSC-klagomål.docx", "A 58691-2023")</f>
        <v/>
      </c>
      <c r="AB17">
        <f>HYPERLINK("https://klasma.github.io/Logging_0512/klagomålsmail/A 58691-2023 FSC-klagomål mail.docx", "A 58691-2023")</f>
        <v/>
      </c>
      <c r="AC17">
        <f>HYPERLINK("https://klasma.github.io/Logging_0512/tillsyn/A 58691-2023 tillsynsbegäran.docx", "A 58691-2023")</f>
        <v/>
      </c>
      <c r="AD17">
        <f>HYPERLINK("https://klasma.github.io/Logging_0512/tillsynsmail/A 58691-2023 tillsynsbegäran mail.docx", "A 58691-2023")</f>
        <v/>
      </c>
      <c r="AE17">
        <f>HYPERLINK("https://klasma.github.io/Logging_0512/fåglar/A 58691-2023 prioriterade fågelarter.docx", "A 58691-2023")</f>
        <v/>
      </c>
    </row>
    <row r="18" ht="15" customHeight="1">
      <c r="A18" t="inlineStr">
        <is>
          <t>A 52667-2022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44874</v>
      </c>
      <c r="E18" s="1" t="n">
        <v>46248</v>
      </c>
      <c r="F18" t="inlineStr">
        <is>
          <t>ÖSTERGÖTLANDS LÄN</t>
        </is>
      </c>
      <c r="G18" t="inlineStr">
        <is>
          <t>YDRE</t>
        </is>
      </c>
      <c r="I18" t="n">
        <v>1.2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Solvända
Mattlummer</t>
        </is>
      </c>
      <c r="W18">
        <f>HYPERLINK("https://klasma.github.io/Logging_0512/artfynd/A 52667-2022 artfynd.xlsx", "A 52667-2022")</f>
        <v/>
      </c>
      <c r="X18">
        <f>HYPERLINK("https://klasma.github.io/Logging_0512/kartor/A 52667-2022 karta.png", "A 52667-2022")</f>
        <v/>
      </c>
      <c r="Y18">
        <f>HYPERLINK("https://klasma.github.io/Logging_0512/kartor_geotiff/A 52667-2022 georefererad karta.tif", "A 52667-2022")</f>
        <v/>
      </c>
      <c r="AA18">
        <f>HYPERLINK("https://klasma.github.io/Logging_0512/klagomål/A 52667-2022 FSC-klagomål.docx", "A 52667-2022")</f>
        <v/>
      </c>
      <c r="AB18">
        <f>HYPERLINK("https://klasma.github.io/Logging_0512/klagomålsmail/A 52667-2022 FSC-klagomål mail.docx", "A 52667-2022")</f>
        <v/>
      </c>
      <c r="AC18">
        <f>HYPERLINK("https://klasma.github.io/Logging_0512/tillsyn/A 52667-2022 tillsynsbegäran.docx", "A 52667-2022")</f>
        <v/>
      </c>
      <c r="AD18">
        <f>HYPERLINK("https://klasma.github.io/Logging_0512/tillsynsmail/A 52667-2022 tillsynsbegäran mail.docx", "A 52667-2022")</f>
        <v/>
      </c>
    </row>
    <row r="19" ht="15" customHeight="1">
      <c r="A19" t="inlineStr">
        <is>
          <t>A 25498-2022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44732</v>
      </c>
      <c r="E19" s="1" t="n">
        <v>46248</v>
      </c>
      <c r="F19" t="inlineStr">
        <is>
          <t>ÖSTERGÖTLANDS LÄN</t>
        </is>
      </c>
      <c r="G19" t="inlineStr">
        <is>
          <t>YDRE</t>
        </is>
      </c>
      <c r="H19" t="inlineStr">
        <is>
          <t>Kyrkan</t>
        </is>
      </c>
      <c r="I19" t="n">
        <v>71.09999999999999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Brunpudrad nållav</t>
        </is>
      </c>
      <c r="W19">
        <f>HYPERLINK("https://klasma.github.io/Logging_0512/artfynd/A 25498-2022 artfynd.xlsx", "A 25498-2022")</f>
        <v/>
      </c>
      <c r="X19">
        <f>HYPERLINK("https://klasma.github.io/Logging_0512/kartor/A 25498-2022 karta.png", "A 25498-2022")</f>
        <v/>
      </c>
      <c r="Y19">
        <f>HYPERLINK("https://klasma.github.io/Logging_0512/kartor_geotiff/A 25498-2022 georefererad karta.tif", "A 25498-2022")</f>
        <v/>
      </c>
      <c r="AA19">
        <f>HYPERLINK("https://klasma.github.io/Logging_0512/klagomål/A 25498-2022 FSC-klagomål.docx", "A 25498-2022")</f>
        <v/>
      </c>
      <c r="AB19">
        <f>HYPERLINK("https://klasma.github.io/Logging_0512/klagomålsmail/A 25498-2022 FSC-klagomål mail.docx", "A 25498-2022")</f>
        <v/>
      </c>
      <c r="AC19">
        <f>HYPERLINK("https://klasma.github.io/Logging_0512/tillsyn/A 25498-2022 tillsynsbegäran.docx", "A 25498-2022")</f>
        <v/>
      </c>
      <c r="AD19">
        <f>HYPERLINK("https://klasma.github.io/Logging_0512/tillsynsmail/A 25498-2022 tillsynsbegäran mail.docx", "A 25498-2022")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46248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46248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Aspgelélav
Tibast</t>
        </is>
      </c>
      <c r="W21">
        <f>HYPERLINK("https://klasma.github.io/Logging_0512/artfynd/S 4815-2024 artfynd.xlsx", "S 4815-2024")</f>
        <v/>
      </c>
      <c r="X21">
        <f>HYPERLINK("https://klasma.github.io/Logging_0512/kartor/S 4815-2024 karta.png", "S 4815-2024")</f>
        <v/>
      </c>
      <c r="Y21">
        <f>HYPERLINK("https://klasma.github.io/Logging_0512/kartor_geotiff/S 4815-2024 georefererad karta.tif", "S 4815-2024")</f>
        <v/>
      </c>
      <c r="AA21">
        <f>HYPERLINK("https://klasma.github.io/Logging_0512/klagomål/S 4815-2024 FSC-klagomål.docx", "S 4815-2024")</f>
        <v/>
      </c>
      <c r="AB21">
        <f>HYPERLINK("https://klasma.github.io/Logging_0512/klagomålsmail/S 4815-2024 FSC-klagomål mail.docx", "S 4815-2024")</f>
        <v/>
      </c>
      <c r="AC21">
        <f>HYPERLINK("https://klasma.github.io/Logging_0512/tillsyn/S 4815-2024 tillsynsbegäran.docx", "S 4815-2024")</f>
        <v/>
      </c>
      <c r="AD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46248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2</v>
      </c>
      <c r="V22" s="2" t="inlineStr">
        <is>
          <t>Gulnål
Stubbspretmossa</t>
        </is>
      </c>
      <c r="W22">
        <f>HYPERLINK("https://klasma.github.io/Logging_0512/artfynd/S 2122-2025 artfynd.xlsx", "S 2122-2025")</f>
        <v/>
      </c>
      <c r="X22">
        <f>HYPERLINK("https://klasma.github.io/Logging_0512/kartor/S 2122-2025 karta.png", "S 2122-2025")</f>
        <v/>
      </c>
      <c r="Y22">
        <f>HYPERLINK("https://klasma.github.io/Logging_0512/kartor_geotiff/S 2122-2025 georefererad karta.tif", "S 2122-2025")</f>
        <v/>
      </c>
      <c r="AA22">
        <f>HYPERLINK("https://klasma.github.io/Logging_0512/klagomål/S 2122-2025 FSC-klagomål.docx", "S 2122-2025")</f>
        <v/>
      </c>
      <c r="AB22">
        <f>HYPERLINK("https://klasma.github.io/Logging_0512/klagomålsmail/S 2122-2025 FSC-klagomål mail.docx", "S 2122-2025")</f>
        <v/>
      </c>
      <c r="AC22">
        <f>HYPERLINK("https://klasma.github.io/Logging_0512/tillsyn/S 2122-2025 tillsynsbegäran.docx", "S 2122-2025")</f>
        <v/>
      </c>
      <c r="AD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46248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HYPERLINK("https://klasma.github.io/Logging_0512/artfynd/A 53277-2021 artfynd.xlsx", "A 53277-2021")</f>
        <v/>
      </c>
      <c r="X23">
        <f>HYPERLINK("https://klasma.github.io/Logging_0512/kartor/A 53277-2021 karta.png", "A 53277-2021")</f>
        <v/>
      </c>
      <c r="Y23">
        <f>HYPERLINK("https://klasma.github.io/Logging_0512/kartor_geotiff/A 53277-2021 georefererad karta.tif", "A 53277-2021")</f>
        <v/>
      </c>
      <c r="AA23">
        <f>HYPERLINK("https://klasma.github.io/Logging_0512/klagomål/A 53277-2021 FSC-klagomål.docx", "A 53277-2021")</f>
        <v/>
      </c>
      <c r="AB23">
        <f>HYPERLINK("https://klasma.github.io/Logging_0512/klagomålsmail/A 53277-2021 FSC-klagomål mail.docx", "A 53277-2021")</f>
        <v/>
      </c>
      <c r="AC23">
        <f>HYPERLINK("https://klasma.github.io/Logging_0512/tillsyn/A 53277-2021 tillsynsbegäran.docx", "A 53277-2021")</f>
        <v/>
      </c>
      <c r="AD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46248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HYPERLINK("https://klasma.github.io/Logging_0512/artfynd/A 65337-2021 artfynd.xlsx", "A 65337-2021")</f>
        <v/>
      </c>
      <c r="X24">
        <f>HYPERLINK("https://klasma.github.io/Logging_0512/kartor/A 65337-2021 karta.png", "A 65337-2021")</f>
        <v/>
      </c>
      <c r="Y24">
        <f>HYPERLINK("https://klasma.github.io/Logging_0512/kartor_geotiff/A 65337-2021 georefererad karta.tif", "A 65337-2021")</f>
        <v/>
      </c>
      <c r="AA24">
        <f>HYPERLINK("https://klasma.github.io/Logging_0512/klagomål/A 65337-2021 FSC-klagomål.docx", "A 65337-2021")</f>
        <v/>
      </c>
      <c r="AB24">
        <f>HYPERLINK("https://klasma.github.io/Logging_0512/klagomålsmail/A 65337-2021 FSC-klagomål mail.docx", "A 65337-2021")</f>
        <v/>
      </c>
      <c r="AC24">
        <f>HYPERLINK("https://klasma.github.io/Logging_0512/tillsyn/A 65337-2021 tillsynsbegäran.docx", "A 65337-2021")</f>
        <v/>
      </c>
      <c r="AD24">
        <f>HYPERLINK("https://klasma.github.io/Logging_0512/tillsynsmail/A 65337-2021 tillsynsbegäran mail.docx", "A 65337-2021")</f>
        <v/>
      </c>
    </row>
    <row r="25" ht="15" customHeight="1">
      <c r="A25" t="inlineStr">
        <is>
          <t>A 19370-2025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46248</v>
      </c>
      <c r="F25" t="inlineStr">
        <is>
          <t>ÖSTERGÖTLANDS LÄN</t>
        </is>
      </c>
      <c r="G25" t="inlineStr">
        <is>
          <t>YDRE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Smal guldkornsfibbla</t>
        </is>
      </c>
      <c r="W25">
        <f>HYPERLINK("https://klasma.github.io/Logging_0512/artfynd/A 19370-2025 artfynd.xlsx", "A 19370-2025")</f>
        <v/>
      </c>
      <c r="X25">
        <f>HYPERLINK("https://klasma.github.io/Logging_0512/kartor/A 19370-2025 karta.png", "A 19370-2025")</f>
        <v/>
      </c>
      <c r="Y25">
        <f>HYPERLINK("https://klasma.github.io/Logging_0512/kartor_geotiff/A 19370-2025 georefererad karta.tif", "A 19370-2025")</f>
        <v/>
      </c>
      <c r="AA25">
        <f>HYPERLINK("https://klasma.github.io/Logging_0512/klagomål/A 19370-2025 FSC-klagomål.docx", "A 19370-2025")</f>
        <v/>
      </c>
      <c r="AB25">
        <f>HYPERLINK("https://klasma.github.io/Logging_0512/klagomålsmail/A 19370-2025 FSC-klagomål mail.docx", "A 19370-2025")</f>
        <v/>
      </c>
      <c r="AC25">
        <f>HYPERLINK("https://klasma.github.io/Logging_0512/tillsyn/A 19370-2025 tillsynsbegäran.docx", "A 19370-2025")</f>
        <v/>
      </c>
      <c r="AD25">
        <f>HYPERLINK("https://klasma.github.io/Logging_0512/tillsynsmail/A 19370-2025 tillsynsbegäran mail.docx", "A 19370-2025")</f>
        <v/>
      </c>
    </row>
    <row r="26" ht="15" customHeight="1">
      <c r="A26" t="inlineStr">
        <is>
          <t>A 12669-2025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45733</v>
      </c>
      <c r="E26" s="1" t="n">
        <v>46248</v>
      </c>
      <c r="F26" t="inlineStr">
        <is>
          <t>ÖSTERGÖTLANDS LÄN</t>
        </is>
      </c>
      <c r="G26" t="inlineStr">
        <is>
          <t>YDRE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Nattviol</t>
        </is>
      </c>
      <c r="W26">
        <f>HYPERLINK("https://klasma.github.io/Logging_0512/artfynd/A 12669-2025 artfynd.xlsx", "A 12669-2025")</f>
        <v/>
      </c>
      <c r="X26">
        <f>HYPERLINK("https://klasma.github.io/Logging_0512/kartor/A 12669-2025 karta.png", "A 12669-2025")</f>
        <v/>
      </c>
      <c r="Y26">
        <f>HYPERLINK("https://klasma.github.io/Logging_0512/kartor_geotiff/A 12669-2025 georefererad karta.tif", "A 12669-2025")</f>
        <v/>
      </c>
      <c r="AA26">
        <f>HYPERLINK("https://klasma.github.io/Logging_0512/klagomål/A 12669-2025 FSC-klagomål.docx", "A 12669-2025")</f>
        <v/>
      </c>
      <c r="AB26">
        <f>HYPERLINK("https://klasma.github.io/Logging_0512/klagomålsmail/A 12669-2025 FSC-klagomål mail.docx", "A 12669-2025")</f>
        <v/>
      </c>
      <c r="AC26">
        <f>HYPERLINK("https://klasma.github.io/Logging_0512/tillsyn/A 12669-2025 tillsynsbegäran.docx", "A 12669-2025")</f>
        <v/>
      </c>
      <c r="AD26">
        <f>HYPERLINK("https://klasma.github.io/Logging_0512/tillsynsmail/A 12669-2025 tillsynsbegäran mail.docx", "A 12669-2025")</f>
        <v/>
      </c>
    </row>
    <row r="27" ht="15" customHeight="1">
      <c r="A27" t="inlineStr">
        <is>
          <t>A 53049-2024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45611</v>
      </c>
      <c r="E27" s="1" t="n">
        <v>46248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Mosippa</t>
        </is>
      </c>
      <c r="W27">
        <f>HYPERLINK("https://klasma.github.io/Logging_0512/artfynd/A 53049-2024 artfynd.xlsx", "A 53049-2024")</f>
        <v/>
      </c>
      <c r="X27">
        <f>HYPERLINK("https://klasma.github.io/Logging_0512/kartor/A 53049-2024 karta.png", "A 53049-2024")</f>
        <v/>
      </c>
      <c r="Y27">
        <f>HYPERLINK("https://klasma.github.io/Logging_0512/kartor_geotiff/A 53049-2024 georefererad karta.tif", "A 53049-2024")</f>
        <v/>
      </c>
      <c r="AA27">
        <f>HYPERLINK("https://klasma.github.io/Logging_0512/klagomål/A 53049-2024 FSC-klagomål.docx", "A 53049-2024")</f>
        <v/>
      </c>
      <c r="AB27">
        <f>HYPERLINK("https://klasma.github.io/Logging_0512/klagomålsmail/A 53049-2024 FSC-klagomål mail.docx", "A 53049-2024")</f>
        <v/>
      </c>
      <c r="AC27">
        <f>HYPERLINK("https://klasma.github.io/Logging_0512/tillsyn/A 53049-2024 tillsynsbegäran.docx", "A 53049-2024")</f>
        <v/>
      </c>
      <c r="AD27">
        <f>HYPERLINK("https://klasma.github.io/Logging_0512/tillsynsmail/A 53049-2024 tillsynsbegäran mail.docx", "A 53049-2024")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46248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48344-2022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46248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7.6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Gullklöver</t>
        </is>
      </c>
      <c r="W29">
        <f>HYPERLINK("https://klasma.github.io/Logging_0512/artfynd/A 48344-2022 artfynd.xlsx", "A 48344-2022")</f>
        <v/>
      </c>
      <c r="X29">
        <f>HYPERLINK("https://klasma.github.io/Logging_0512/kartor/A 48344-2022 karta.png", "A 48344-2022")</f>
        <v/>
      </c>
      <c r="Y29">
        <f>HYPERLINK("https://klasma.github.io/Logging_0512/kartor_geotiff/A 48344-2022 georefererad karta.tif", "A 48344-2022")</f>
        <v/>
      </c>
      <c r="AA29">
        <f>HYPERLINK("https://klasma.github.io/Logging_0512/klagomål/A 48344-2022 FSC-klagomål.docx", "A 48344-2022")</f>
        <v/>
      </c>
      <c r="AB29">
        <f>HYPERLINK("https://klasma.github.io/Logging_0512/klagomålsmail/A 48344-2022 FSC-klagomål mail.docx", "A 48344-2022")</f>
        <v/>
      </c>
      <c r="AC29">
        <f>HYPERLINK("https://klasma.github.io/Logging_0512/tillsyn/A 48344-2022 tillsynsbegäran.docx", "A 48344-2022")</f>
        <v/>
      </c>
      <c r="AD29">
        <f>HYPERLINK("https://klasma.github.io/Logging_0512/tillsynsmail/A 48344-2022 tillsynsbegäran mail.docx", "A 48344-2022")</f>
        <v/>
      </c>
    </row>
    <row r="30" ht="15" customHeight="1">
      <c r="A30" t="inlineStr">
        <is>
          <t>A 41907-2024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46248</v>
      </c>
      <c r="F30" t="inlineStr">
        <is>
          <t>ÖSTERGÖTLANDS LÄN</t>
        </is>
      </c>
      <c r="G30" t="inlineStr">
        <is>
          <t>YDRE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HYPERLINK("https://klasma.github.io/Logging_0512/artfynd/A 41907-2024 artfynd.xlsx", "A 41907-2024")</f>
        <v/>
      </c>
      <c r="X30">
        <f>HYPERLINK("https://klasma.github.io/Logging_0512/kartor/A 41907-2024 karta.png", "A 41907-2024")</f>
        <v/>
      </c>
      <c r="Y30">
        <f>HYPERLINK("https://klasma.github.io/Logging_0512/kartor_geotiff/A 41907-2024 georefererad karta.tif", "A 41907-2024")</f>
        <v/>
      </c>
      <c r="AA30">
        <f>HYPERLINK("https://klasma.github.io/Logging_0512/klagomål/A 41907-2024 FSC-klagomål.docx", "A 41907-2024")</f>
        <v/>
      </c>
      <c r="AB30">
        <f>HYPERLINK("https://klasma.github.io/Logging_0512/klagomålsmail/A 41907-2024 FSC-klagomål mail.docx", "A 41907-2024")</f>
        <v/>
      </c>
      <c r="AC30">
        <f>HYPERLINK("https://klasma.github.io/Logging_0512/tillsyn/A 41907-2024 tillsynsbegäran.docx", "A 41907-2024")</f>
        <v/>
      </c>
      <c r="AD30">
        <f>HYPERLINK("https://klasma.github.io/Logging_0512/tillsynsmail/A 41907-2024 tillsynsbegäran mail.docx", "A 41907-2024")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46248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16704-2025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45754</v>
      </c>
      <c r="E32" s="1" t="n">
        <v>46248</v>
      </c>
      <c r="F32" t="inlineStr">
        <is>
          <t>ÖSTERGÖTLANDS LÄN</t>
        </is>
      </c>
      <c r="G32" t="inlineStr">
        <is>
          <t>YDRE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HYPERLINK("https://klasma.github.io/Logging_0512/artfynd/A 16704-2025 artfynd.xlsx", "A 16704-2025")</f>
        <v/>
      </c>
      <c r="X32">
        <f>HYPERLINK("https://klasma.github.io/Logging_0512/kartor/A 16704-2025 karta.png", "A 16704-2025")</f>
        <v/>
      </c>
      <c r="Y32">
        <f>HYPERLINK("https://klasma.github.io/Logging_0512/kartor_geotiff/A 16704-2025 georefererad karta.tif", "A 16704-2025")</f>
        <v/>
      </c>
      <c r="AA32">
        <f>HYPERLINK("https://klasma.github.io/Logging_0512/klagomål/A 16704-2025 FSC-klagomål.docx", "A 16704-2025")</f>
        <v/>
      </c>
      <c r="AB32">
        <f>HYPERLINK("https://klasma.github.io/Logging_0512/klagomålsmail/A 16704-2025 FSC-klagomål mail.docx", "A 16704-2025")</f>
        <v/>
      </c>
      <c r="AC32">
        <f>HYPERLINK("https://klasma.github.io/Logging_0512/tillsyn/A 16704-2025 tillsynsbegäran.docx", "A 16704-2025")</f>
        <v/>
      </c>
      <c r="AD32">
        <f>HYPERLINK("https://klasma.github.io/Logging_0512/tillsynsmail/A 16704-2025 tillsynsbegäran mail.docx", "A 16704-2025")</f>
        <v/>
      </c>
    </row>
    <row r="33" ht="15" customHeight="1">
      <c r="A33" t="inlineStr">
        <is>
          <t>A 47467-2021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44447</v>
      </c>
      <c r="E33" s="1" t="n">
        <v>46248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1.8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HYPERLINK("https://klasma.github.io/Logging_0512/artfynd/A 47467-2021 artfynd.xlsx", "A 47467-2021")</f>
        <v/>
      </c>
      <c r="X33">
        <f>HYPERLINK("https://klasma.github.io/Logging_0512/kartor/A 47467-2021 karta.png", "A 47467-2021")</f>
        <v/>
      </c>
      <c r="Y33">
        <f>HYPERLINK("https://klasma.github.io/Logging_0512/kartor_geotiff/A 47467-2021 georefererad karta.tif", "A 47467-2021")</f>
        <v/>
      </c>
      <c r="AA33">
        <f>HYPERLINK("https://klasma.github.io/Logging_0512/klagomål/A 47467-2021 FSC-klagomål.docx", "A 47467-2021")</f>
        <v/>
      </c>
      <c r="AB33">
        <f>HYPERLINK("https://klasma.github.io/Logging_0512/klagomålsmail/A 47467-2021 FSC-klagomål mail.docx", "A 47467-2021")</f>
        <v/>
      </c>
      <c r="AC33">
        <f>HYPERLINK("https://klasma.github.io/Logging_0512/tillsyn/A 47467-2021 tillsynsbegäran.docx", "A 47467-2021")</f>
        <v/>
      </c>
      <c r="AD33">
        <f>HYPERLINK("https://klasma.github.io/Logging_0512/tillsynsmail/A 47467-2021 tillsynsbegäran mail.docx", "A 47467-2021")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46248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46248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44503-2025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45916</v>
      </c>
      <c r="E36" s="1" t="n">
        <v>46248</v>
      </c>
      <c r="F36" t="inlineStr">
        <is>
          <t>ÖSTERGÖTLANDS LÄN</t>
        </is>
      </c>
      <c r="G36" t="inlineStr">
        <is>
          <t>YDRE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HYPERLINK("https://klasma.github.io/Logging_0512/artfynd/A 44503-2025 artfynd.xlsx", "A 44503-2025")</f>
        <v/>
      </c>
      <c r="X36">
        <f>HYPERLINK("https://klasma.github.io/Logging_0512/kartor/A 44503-2025 karta.png", "A 44503-2025")</f>
        <v/>
      </c>
      <c r="Y36">
        <f>HYPERLINK("https://klasma.github.io/Logging_0512/kartor_geotiff/A 44503-2025 georefererad karta.tif", "A 44503-2025")</f>
        <v/>
      </c>
      <c r="AA36">
        <f>HYPERLINK("https://klasma.github.io/Logging_0512/klagomål/A 44503-2025 FSC-klagomål.docx", "A 44503-2025")</f>
        <v/>
      </c>
      <c r="AB36">
        <f>HYPERLINK("https://klasma.github.io/Logging_0512/klagomålsmail/A 44503-2025 FSC-klagomål mail.docx", "A 44503-2025")</f>
        <v/>
      </c>
      <c r="AC36">
        <f>HYPERLINK("https://klasma.github.io/Logging_0512/tillsyn/A 44503-2025 tillsynsbegäran.docx", "A 44503-2025")</f>
        <v/>
      </c>
      <c r="AD36">
        <f>HYPERLINK("https://klasma.github.io/Logging_0512/tillsynsmail/A 44503-2025 tillsynsbegäran mail.docx", "A 44503-2025")</f>
        <v/>
      </c>
    </row>
    <row r="37" ht="15" customHeight="1">
      <c r="A37" t="inlineStr">
        <is>
          <t>A 45771-2025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46248</v>
      </c>
      <c r="F37" t="inlineStr">
        <is>
          <t>ÖSTERGÖTLANDS LÄN</t>
        </is>
      </c>
      <c r="G37" t="inlineStr">
        <is>
          <t>YDRE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Kattfotslav</t>
        </is>
      </c>
      <c r="W37">
        <f>HYPERLINK("https://klasma.github.io/Logging_0512/artfynd/A 45771-2025 artfynd.xlsx", "A 45771-2025")</f>
        <v/>
      </c>
      <c r="X37">
        <f>HYPERLINK("https://klasma.github.io/Logging_0512/kartor/A 45771-2025 karta.png", "A 45771-2025")</f>
        <v/>
      </c>
      <c r="Y37">
        <f>HYPERLINK("https://klasma.github.io/Logging_0512/kartor_geotiff/A 45771-2025 georefererad karta.tif", "A 45771-2025")</f>
        <v/>
      </c>
      <c r="AA37">
        <f>HYPERLINK("https://klasma.github.io/Logging_0512/klagomål/A 45771-2025 FSC-klagomål.docx", "A 45771-2025")</f>
        <v/>
      </c>
      <c r="AB37">
        <f>HYPERLINK("https://klasma.github.io/Logging_0512/klagomålsmail/A 45771-2025 FSC-klagomål mail.docx", "A 45771-2025")</f>
        <v/>
      </c>
      <c r="AC37">
        <f>HYPERLINK("https://klasma.github.io/Logging_0512/tillsyn/A 45771-2025 tillsynsbegäran.docx", "A 45771-2025")</f>
        <v/>
      </c>
      <c r="AD37">
        <f>HYPERLINK("https://klasma.github.io/Logging_0512/tillsynsmail/A 45771-2025 tillsynsbegäran mail.docx", "A 45771-2025")</f>
        <v/>
      </c>
    </row>
    <row r="38" ht="15" customHeight="1">
      <c r="A38" t="inlineStr">
        <is>
          <t>A 54520-2025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46248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Talltita</t>
        </is>
      </c>
      <c r="W38">
        <f>HYPERLINK("https://klasma.github.io/Logging_0512/artfynd/A 54520-2025 artfynd.xlsx", "A 54520-2025")</f>
        <v/>
      </c>
      <c r="X38">
        <f>HYPERLINK("https://klasma.github.io/Logging_0512/kartor/A 54520-2025 karta.png", "A 54520-2025")</f>
        <v/>
      </c>
      <c r="Y38">
        <f>HYPERLINK("https://klasma.github.io/Logging_0512/kartor_geotiff/A 54520-2025 georefererad karta.tif", "A 54520-2025")</f>
        <v/>
      </c>
      <c r="AA38">
        <f>HYPERLINK("https://klasma.github.io/Logging_0512/klagomål/A 54520-2025 FSC-klagomål.docx", "A 54520-2025")</f>
        <v/>
      </c>
      <c r="AB38">
        <f>HYPERLINK("https://klasma.github.io/Logging_0512/klagomålsmail/A 54520-2025 FSC-klagomål mail.docx", "A 54520-2025")</f>
        <v/>
      </c>
      <c r="AC38">
        <f>HYPERLINK("https://klasma.github.io/Logging_0512/tillsyn/A 54520-2025 tillsynsbegäran.docx", "A 54520-2025")</f>
        <v/>
      </c>
      <c r="AD38">
        <f>HYPERLINK("https://klasma.github.io/Logging_0512/tillsynsmail/A 54520-2025 tillsynsbegäran mail.docx", "A 54520-2025")</f>
        <v/>
      </c>
      <c r="AE38">
        <f>HYPERLINK("https://klasma.github.io/Logging_0512/fåglar/A 54520-2025 prioriterade fågelarter.docx", "A 54520-2025")</f>
        <v/>
      </c>
    </row>
    <row r="39" ht="15" customHeight="1">
      <c r="A39" t="inlineStr">
        <is>
          <t>A 54075-2025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46248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54075-2025 artfynd.xlsx", "A 54075-2025")</f>
        <v/>
      </c>
      <c r="X39">
        <f>HYPERLINK("https://klasma.github.io/Logging_0512/kartor/A 54075-2025 karta.png", "A 54075-2025")</f>
        <v/>
      </c>
      <c r="Y39">
        <f>HYPERLINK("https://klasma.github.io/Logging_0512/kartor_geotiff/A 54075-2025 georefererad karta.tif", "A 54075-2025")</f>
        <v/>
      </c>
      <c r="AA39">
        <f>HYPERLINK("https://klasma.github.io/Logging_0512/klagomål/A 54075-2025 FSC-klagomål.docx", "A 54075-2025")</f>
        <v/>
      </c>
      <c r="AB39">
        <f>HYPERLINK("https://klasma.github.io/Logging_0512/klagomålsmail/A 54075-2025 FSC-klagomål mail.docx", "A 54075-2025")</f>
        <v/>
      </c>
      <c r="AC39">
        <f>HYPERLINK("https://klasma.github.io/Logging_0512/tillsyn/A 54075-2025 tillsynsbegäran.docx", "A 54075-2025")</f>
        <v/>
      </c>
      <c r="AD39">
        <f>HYPERLINK("https://klasma.github.io/Logging_0512/tillsynsmail/A 54075-2025 tillsynsbegäran mail.docx", "A 54075-2025")</f>
        <v/>
      </c>
    </row>
    <row r="40" ht="15" customHeight="1">
      <c r="A40" t="inlineStr">
        <is>
          <t>A 45815-2025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46248</v>
      </c>
      <c r="F40" t="inlineStr">
        <is>
          <t>ÖSTERGÖTLANDS LÄN</t>
        </is>
      </c>
      <c r="G40" t="inlineStr">
        <is>
          <t>YDRE</t>
        </is>
      </c>
      <c r="I40" t="n">
        <v>6.3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HYPERLINK("https://klasma.github.io/Logging_0512/artfynd/A 45815-2025 artfynd.xlsx", "A 45815-2025")</f>
        <v/>
      </c>
      <c r="X40">
        <f>HYPERLINK("https://klasma.github.io/Logging_0512/kartor/A 45815-2025 karta.png", "A 45815-2025")</f>
        <v/>
      </c>
      <c r="Y40">
        <f>HYPERLINK("https://klasma.github.io/Logging_0512/kartor_geotiff/A 45815-2025 georefererad karta.tif", "A 45815-2025")</f>
        <v/>
      </c>
      <c r="AA40">
        <f>HYPERLINK("https://klasma.github.io/Logging_0512/klagomål/A 45815-2025 FSC-klagomål.docx", "A 45815-2025")</f>
        <v/>
      </c>
      <c r="AB40">
        <f>HYPERLINK("https://klasma.github.io/Logging_0512/klagomålsmail/A 45815-2025 FSC-klagomål mail.docx", "A 45815-2025")</f>
        <v/>
      </c>
      <c r="AC40">
        <f>HYPERLINK("https://klasma.github.io/Logging_0512/tillsyn/A 45815-2025 tillsynsbegäran.docx", "A 45815-2025")</f>
        <v/>
      </c>
      <c r="AD40">
        <f>HYPERLINK("https://klasma.github.io/Logging_0512/tillsynsmail/A 45815-2025 tillsynsbegäran mail.docx", "A 45815-2025")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46248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4248-2026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46045</v>
      </c>
      <c r="E42" s="1" t="n">
        <v>46248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HYPERLINK("https://klasma.github.io/Logging_0512/artfynd/A 4248-2026 artfynd.xlsx", "A 4248-2026")</f>
        <v/>
      </c>
      <c r="X42">
        <f>HYPERLINK("https://klasma.github.io/Logging_0512/kartor/A 4248-2026 karta.png", "A 4248-2026")</f>
        <v/>
      </c>
      <c r="Y42">
        <f>HYPERLINK("https://klasma.github.io/Logging_0512/kartor_geotiff/A 4248-2026 georefererad karta.tif", "A 4248-2026")</f>
        <v/>
      </c>
      <c r="AA42">
        <f>HYPERLINK("https://klasma.github.io/Logging_0512/klagomål/A 4248-2026 FSC-klagomål.docx", "A 4248-2026")</f>
        <v/>
      </c>
      <c r="AB42">
        <f>HYPERLINK("https://klasma.github.io/Logging_0512/klagomålsmail/A 4248-2026 FSC-klagomål mail.docx", "A 4248-2026")</f>
        <v/>
      </c>
      <c r="AC42">
        <f>HYPERLINK("https://klasma.github.io/Logging_0512/tillsyn/A 4248-2026 tillsynsbegäran.docx", "A 4248-2026")</f>
        <v/>
      </c>
      <c r="AD42">
        <f>HYPERLINK("https://klasma.github.io/Logging_0512/tillsynsmail/A 4248-2026 tillsynsbegäran mail.docx", "A 4248-2026")</f>
        <v/>
      </c>
      <c r="AE42">
        <f>HYPERLINK("https://klasma.github.io/Logging_0512/fåglar/A 4248-2026 prioriterade fågelarter.docx", "A 4248-2026")</f>
        <v/>
      </c>
    </row>
    <row r="43" ht="15" customHeight="1">
      <c r="A43" t="inlineStr">
        <is>
          <t>A 9051-2026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46248</v>
      </c>
      <c r="F43" t="inlineStr">
        <is>
          <t>ÖSTERGÖTLANDS LÄN</t>
        </is>
      </c>
      <c r="G43" t="inlineStr">
        <is>
          <t>YDRE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Slåtterfibbla</t>
        </is>
      </c>
      <c r="W43">
        <f>HYPERLINK("https://klasma.github.io/Logging_0512/artfynd/A 9051-2026 artfynd.xlsx", "A 9051-2026")</f>
        <v/>
      </c>
      <c r="X43">
        <f>HYPERLINK("https://klasma.github.io/Logging_0512/kartor/A 9051-2026 karta.png", "A 9051-2026")</f>
        <v/>
      </c>
      <c r="Y43">
        <f>HYPERLINK("https://klasma.github.io/Logging_0512/kartor_geotiff/A 9051-2026 georefererad karta.tif", "A 9051-2026")</f>
        <v/>
      </c>
      <c r="AA43">
        <f>HYPERLINK("https://klasma.github.io/Logging_0512/klagomål/A 9051-2026 FSC-klagomål.docx", "A 9051-2026")</f>
        <v/>
      </c>
      <c r="AB43">
        <f>HYPERLINK("https://klasma.github.io/Logging_0512/klagomålsmail/A 9051-2026 FSC-klagomål mail.docx", "A 9051-2026")</f>
        <v/>
      </c>
      <c r="AC43">
        <f>HYPERLINK("https://klasma.github.io/Logging_0512/tillsyn/A 9051-2026 tillsynsbegäran.docx", "A 9051-2026")</f>
        <v/>
      </c>
      <c r="AD43">
        <f>HYPERLINK("https://klasma.github.io/Logging_0512/tillsynsmail/A 9051-2026 tillsynsbegäran mail.docx", "A 9051-2026")</f>
        <v/>
      </c>
    </row>
    <row r="44" ht="15" customHeight="1">
      <c r="A44" t="inlineStr">
        <is>
          <t>A 8923-2026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46248</v>
      </c>
      <c r="F44" t="inlineStr">
        <is>
          <t>ÖSTERGÖTLANDS LÄN</t>
        </is>
      </c>
      <c r="G44" t="inlineStr">
        <is>
          <t>YDRE</t>
        </is>
      </c>
      <c r="H44" t="inlineStr">
        <is>
          <t>Övriga Aktiebolag</t>
        </is>
      </c>
      <c r="I44" t="n">
        <v>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HYPERLINK("https://klasma.github.io/Logging_0512/artfynd/A 8923-2026 artfynd.xlsx", "A 8923-2026")</f>
        <v/>
      </c>
      <c r="X44">
        <f>HYPERLINK("https://klasma.github.io/Logging_0512/kartor/A 8923-2026 karta.png", "A 8923-2026")</f>
        <v/>
      </c>
      <c r="Y44">
        <f>HYPERLINK("https://klasma.github.io/Logging_0512/kartor_geotiff/A 8923-2026 georefererad karta.tif", "A 8923-2026")</f>
        <v/>
      </c>
      <c r="AA44">
        <f>HYPERLINK("https://klasma.github.io/Logging_0512/klagomål/A 8923-2026 FSC-klagomål.docx", "A 8923-2026")</f>
        <v/>
      </c>
      <c r="AB44">
        <f>HYPERLINK("https://klasma.github.io/Logging_0512/klagomålsmail/A 8923-2026 FSC-klagomål mail.docx", "A 8923-2026")</f>
        <v/>
      </c>
      <c r="AC44">
        <f>HYPERLINK("https://klasma.github.io/Logging_0512/tillsyn/A 8923-2026 tillsynsbegäran.docx", "A 8923-2026")</f>
        <v/>
      </c>
      <c r="AD44">
        <f>HYPERLINK("https://klasma.github.io/Logging_0512/tillsynsmail/A 8923-2026 tillsynsbegäran mail.docx", "A 8923-2026")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46248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46248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46248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46248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46248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46248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46248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46248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46248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46248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46248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46248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46248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46248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46248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46248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46248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46248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46248</v>
      </c>
      <c r="F63" t="inlineStr">
        <is>
          <t>ÖSTERGÖTLANDS LÄN</t>
        </is>
      </c>
      <c r="G63" t="inlineStr">
        <is>
          <t>YDRE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46248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46248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46248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46248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46248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46248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44426</v>
      </c>
      <c r="E70" s="1" t="n">
        <v>46248</v>
      </c>
      <c r="F70" t="inlineStr">
        <is>
          <t>ÖSTERGÖTLANDS LÄN</t>
        </is>
      </c>
      <c r="G70" t="inlineStr">
        <is>
          <t>YDRE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46248</v>
      </c>
      <c r="F71" t="inlineStr">
        <is>
          <t>ÖSTERGÖTLANDS LÄN</t>
        </is>
      </c>
      <c r="G71" t="inlineStr">
        <is>
          <t>YDRE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46248</v>
      </c>
      <c r="F72" t="inlineStr">
        <is>
          <t>ÖSTERGÖTLANDS LÄN</t>
        </is>
      </c>
      <c r="G72" t="inlineStr">
        <is>
          <t>YDRE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53331-2022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46248</v>
      </c>
      <c r="F73" t="inlineStr">
        <is>
          <t>ÖSTERGÖTLANDS LÄN</t>
        </is>
      </c>
      <c r="G73" t="inlineStr">
        <is>
          <t>YDRE</t>
        </is>
      </c>
      <c r="H73" t="inlineStr">
        <is>
          <t>Övriga Aktiebolag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53373-2022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46248</v>
      </c>
      <c r="F74" t="inlineStr">
        <is>
          <t>ÖSTERGÖTLANDS LÄN</t>
        </is>
      </c>
      <c r="G74" t="inlineStr">
        <is>
          <t>YDRE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53383-2022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46248</v>
      </c>
      <c r="F75" t="inlineStr">
        <is>
          <t>ÖSTERGÖTLANDS LÄN</t>
        </is>
      </c>
      <c r="G75" t="inlineStr">
        <is>
          <t>YDRE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46248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55844-2021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44476</v>
      </c>
      <c r="E77" s="1" t="n">
        <v>46248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46248</v>
      </c>
      <c r="F78" t="inlineStr">
        <is>
          <t>ÖSTERGÖTLANDS LÄN</t>
        </is>
      </c>
      <c r="G78" t="inlineStr">
        <is>
          <t>YDRE</t>
        </is>
      </c>
      <c r="H78" t="inlineStr">
        <is>
          <t>Övriga Aktiebolag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46248</v>
      </c>
      <c r="F79" t="inlineStr">
        <is>
          <t>ÖSTERGÖTLANDS LÄN</t>
        </is>
      </c>
      <c r="G79" t="inlineStr">
        <is>
          <t>YDRE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46248</v>
      </c>
      <c r="F80" t="inlineStr">
        <is>
          <t>ÖSTERGÖTLANDS LÄN</t>
        </is>
      </c>
      <c r="G80" t="inlineStr">
        <is>
          <t>YDRE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46248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44827</v>
      </c>
      <c r="E82" s="1" t="n">
        <v>46248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46248</v>
      </c>
      <c r="F83" t="inlineStr">
        <is>
          <t>ÖSTERGÖTLANDS LÄN</t>
        </is>
      </c>
      <c r="G83" t="inlineStr">
        <is>
          <t>YDRE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71041-2021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44538</v>
      </c>
      <c r="E84" s="1" t="n">
        <v>46248</v>
      </c>
      <c r="F84" t="inlineStr">
        <is>
          <t>ÖSTERGÖTLANDS LÄN</t>
        </is>
      </c>
      <c r="G84" t="inlineStr">
        <is>
          <t>YDRE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46248</v>
      </c>
      <c r="F85" t="inlineStr">
        <is>
          <t>ÖSTERGÖTLANDS LÄN</t>
        </is>
      </c>
      <c r="G85" t="inlineStr">
        <is>
          <t>YDRE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44994</v>
      </c>
      <c r="E86" s="1" t="n">
        <v>46248</v>
      </c>
      <c r="F86" t="inlineStr">
        <is>
          <t>ÖSTERGÖTLANDS LÄN</t>
        </is>
      </c>
      <c r="G86" t="inlineStr">
        <is>
          <t>YDRE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46248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46248</v>
      </c>
      <c r="F88" t="inlineStr">
        <is>
          <t>ÖSTERGÖTLANDS LÄN</t>
        </is>
      </c>
      <c r="G88" t="inlineStr">
        <is>
          <t>YDRE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44994</v>
      </c>
      <c r="E89" s="1" t="n">
        <v>46248</v>
      </c>
      <c r="F89" t="inlineStr">
        <is>
          <t>ÖSTERGÖTLANDS LÄN</t>
        </is>
      </c>
      <c r="G89" t="inlineStr">
        <is>
          <t>YDRE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46248</v>
      </c>
      <c r="F90" t="inlineStr">
        <is>
          <t>ÖSTERGÖTLANDS LÄN</t>
        </is>
      </c>
      <c r="G90" t="inlineStr">
        <is>
          <t>YDRE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46248</v>
      </c>
      <c r="F91" t="inlineStr">
        <is>
          <t>ÖSTERGÖTLANDS LÄN</t>
        </is>
      </c>
      <c r="G91" t="inlineStr">
        <is>
          <t>YDRE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45091</v>
      </c>
      <c r="E92" s="1" t="n">
        <v>46248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45537</v>
      </c>
      <c r="E93" s="1" t="n">
        <v>46248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46248</v>
      </c>
      <c r="F94" t="inlineStr">
        <is>
          <t>ÖSTERGÖTLANDS LÄN</t>
        </is>
      </c>
      <c r="G94" t="inlineStr">
        <is>
          <t>YDRE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71524-2021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46248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46248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44576</v>
      </c>
      <c r="E97" s="1" t="n">
        <v>46248</v>
      </c>
      <c r="F97" t="inlineStr">
        <is>
          <t>ÖSTERGÖTLANDS LÄN</t>
        </is>
      </c>
      <c r="G97" t="inlineStr">
        <is>
          <t>YDRE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44994</v>
      </c>
      <c r="E98" s="1" t="n">
        <v>46248</v>
      </c>
      <c r="F98" t="inlineStr">
        <is>
          <t>ÖSTERGÖTLANDS LÄN</t>
        </is>
      </c>
      <c r="G98" t="inlineStr">
        <is>
          <t>YDRE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46248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46248</v>
      </c>
      <c r="F100" t="inlineStr">
        <is>
          <t>ÖSTERGÖTLANDS LÄN</t>
        </is>
      </c>
      <c r="G100" t="inlineStr">
        <is>
          <t>YDRE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46248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46248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42103-2021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44426</v>
      </c>
      <c r="E103" s="1" t="n">
        <v>46248</v>
      </c>
      <c r="F103" t="inlineStr">
        <is>
          <t>ÖSTERGÖTLANDS LÄN</t>
        </is>
      </c>
      <c r="G103" t="inlineStr">
        <is>
          <t>YDRE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44868</v>
      </c>
      <c r="E104" s="1" t="n">
        <v>46248</v>
      </c>
      <c r="F104" t="inlineStr">
        <is>
          <t>ÖSTERGÖTLANDS LÄN</t>
        </is>
      </c>
      <c r="G104" t="inlineStr">
        <is>
          <t>YDRE</t>
        </is>
      </c>
      <c r="H104" t="inlineStr">
        <is>
          <t>Övriga Aktiebolag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46248</v>
      </c>
      <c r="F105" t="inlineStr">
        <is>
          <t>ÖSTERGÖTLANDS LÄN</t>
        </is>
      </c>
      <c r="G105" t="inlineStr">
        <is>
          <t>YDRE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45714</v>
      </c>
      <c r="E106" s="1" t="n">
        <v>46248</v>
      </c>
      <c r="F106" t="inlineStr">
        <is>
          <t>ÖSTERGÖTLANDS LÄN</t>
        </is>
      </c>
      <c r="G106" t="inlineStr">
        <is>
          <t>YDRE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46248</v>
      </c>
      <c r="F107" t="inlineStr">
        <is>
          <t>ÖSTERGÖTLANDS LÄN</t>
        </is>
      </c>
      <c r="G107" t="inlineStr">
        <is>
          <t>YDRE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46248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36711-2023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46248</v>
      </c>
      <c r="F109" t="inlineStr">
        <is>
          <t>ÖSTERGÖTLANDS LÄN</t>
        </is>
      </c>
      <c r="G109" t="inlineStr">
        <is>
          <t>YDRE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46248</v>
      </c>
      <c r="F110" t="inlineStr">
        <is>
          <t>ÖSTERGÖTLANDS LÄN</t>
        </is>
      </c>
      <c r="G110" t="inlineStr">
        <is>
          <t>YDRE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46248</v>
      </c>
      <c r="F111" t="inlineStr">
        <is>
          <t>ÖSTERGÖTLANDS LÄN</t>
        </is>
      </c>
      <c r="G111" t="inlineStr">
        <is>
          <t>YDRE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46248</v>
      </c>
      <c r="F112" t="inlineStr">
        <is>
          <t>ÖSTERGÖTLANDS LÄN</t>
        </is>
      </c>
      <c r="G112" t="inlineStr">
        <is>
          <t>YDRE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46248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46248</v>
      </c>
      <c r="F114" t="inlineStr">
        <is>
          <t>ÖSTERGÖTLANDS LÄN</t>
        </is>
      </c>
      <c r="G114" t="inlineStr">
        <is>
          <t>YDRE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46248</v>
      </c>
      <c r="F115" t="inlineStr">
        <is>
          <t>ÖSTERGÖTLANDS LÄN</t>
        </is>
      </c>
      <c r="G115" t="inlineStr">
        <is>
          <t>YDRE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45138</v>
      </c>
      <c r="E116" s="1" t="n">
        <v>46248</v>
      </c>
      <c r="F116" t="inlineStr">
        <is>
          <t>ÖSTERGÖTLANDS LÄN</t>
        </is>
      </c>
      <c r="G116" t="inlineStr">
        <is>
          <t>YDRE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46248</v>
      </c>
      <c r="F117" t="inlineStr">
        <is>
          <t>ÖSTERGÖTLANDS LÄN</t>
        </is>
      </c>
      <c r="G117" t="inlineStr">
        <is>
          <t>YDRE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45647</v>
      </c>
      <c r="E118" s="1" t="n">
        <v>46248</v>
      </c>
      <c r="F118" t="inlineStr">
        <is>
          <t>ÖSTERGÖTLANDS LÄN</t>
        </is>
      </c>
      <c r="G118" t="inlineStr">
        <is>
          <t>YDRE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44435</v>
      </c>
      <c r="E119" s="1" t="n">
        <v>46248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46248</v>
      </c>
      <c r="F120" t="inlineStr">
        <is>
          <t>ÖSTERGÖTLANDS LÄN</t>
        </is>
      </c>
      <c r="G120" t="inlineStr">
        <is>
          <t>YDRE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8606-2024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45355</v>
      </c>
      <c r="E121" s="1" t="n">
        <v>46248</v>
      </c>
      <c r="F121" t="inlineStr">
        <is>
          <t>ÖSTERGÖTLANDS LÄN</t>
        </is>
      </c>
      <c r="G121" t="inlineStr">
        <is>
          <t>YDRE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45355</v>
      </c>
      <c r="E122" s="1" t="n">
        <v>46248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44966</v>
      </c>
      <c r="E123" s="1" t="n">
        <v>46248</v>
      </c>
      <c r="F123" t="inlineStr">
        <is>
          <t>ÖSTERGÖTLANDS LÄN</t>
        </is>
      </c>
      <c r="G123" t="inlineStr">
        <is>
          <t>YDRE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44796</v>
      </c>
      <c r="E124" s="1" t="n">
        <v>46248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45634</v>
      </c>
      <c r="E125" s="1" t="n">
        <v>46248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45665</v>
      </c>
      <c r="E126" s="1" t="n">
        <v>46248</v>
      </c>
      <c r="F126" t="inlineStr">
        <is>
          <t>ÖSTERGÖTLANDS LÄN</t>
        </is>
      </c>
      <c r="G126" t="inlineStr">
        <is>
          <t>YDRE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46248</v>
      </c>
      <c r="F127" t="inlineStr">
        <is>
          <t>ÖSTERGÖTLANDS LÄN</t>
        </is>
      </c>
      <c r="G127" t="inlineStr">
        <is>
          <t>YDRE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46248</v>
      </c>
      <c r="F128" t="inlineStr">
        <is>
          <t>ÖSTERGÖTLANDS LÄN</t>
        </is>
      </c>
      <c r="G128" t="inlineStr">
        <is>
          <t>YDRE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44572</v>
      </c>
      <c r="E129" s="1" t="n">
        <v>46248</v>
      </c>
      <c r="F129" t="inlineStr">
        <is>
          <t>ÖSTERGÖTLANDS LÄN</t>
        </is>
      </c>
      <c r="G129" t="inlineStr">
        <is>
          <t>YDRE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46248</v>
      </c>
      <c r="F130" t="inlineStr">
        <is>
          <t>ÖSTERGÖTLANDS LÄN</t>
        </is>
      </c>
      <c r="G130" t="inlineStr">
        <is>
          <t>YDRE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46248</v>
      </c>
      <c r="F131" t="inlineStr">
        <is>
          <t>ÖSTERGÖTLANDS LÄN</t>
        </is>
      </c>
      <c r="G131" t="inlineStr">
        <is>
          <t>YDRE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46248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46248</v>
      </c>
      <c r="F133" t="inlineStr">
        <is>
          <t>ÖSTERGÖTLANDS LÄN</t>
        </is>
      </c>
      <c r="G133" t="inlineStr">
        <is>
          <t>YDRE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46248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46248</v>
      </c>
      <c r="F135" t="inlineStr">
        <is>
          <t>ÖSTERGÖTLANDS LÄN</t>
        </is>
      </c>
      <c r="G135" t="inlineStr">
        <is>
          <t>YDRE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44592</v>
      </c>
      <c r="E136" s="1" t="n">
        <v>46248</v>
      </c>
      <c r="F136" t="inlineStr">
        <is>
          <t>ÖSTERGÖTLANDS LÄN</t>
        </is>
      </c>
      <c r="G136" t="inlineStr">
        <is>
          <t>YDRE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45701</v>
      </c>
      <c r="E137" s="1" t="n">
        <v>46248</v>
      </c>
      <c r="F137" t="inlineStr">
        <is>
          <t>ÖSTERGÖTLANDS LÄN</t>
        </is>
      </c>
      <c r="G137" t="inlineStr">
        <is>
          <t>YDRE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45273</v>
      </c>
      <c r="E138" s="1" t="n">
        <v>46248</v>
      </c>
      <c r="F138" t="inlineStr">
        <is>
          <t>ÖSTERGÖTLANDS LÄN</t>
        </is>
      </c>
      <c r="G138" t="inlineStr">
        <is>
          <t>YDRE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46248</v>
      </c>
      <c r="F139" t="inlineStr">
        <is>
          <t>ÖSTERGÖTLANDS LÄN</t>
        </is>
      </c>
      <c r="G139" t="inlineStr">
        <is>
          <t>YDRE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6328-2022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46248</v>
      </c>
      <c r="F140" t="inlineStr">
        <is>
          <t>ÖSTERGÖTLANDS LÄN</t>
        </is>
      </c>
      <c r="G140" t="inlineStr">
        <is>
          <t>YDRE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46248</v>
      </c>
      <c r="F141" t="inlineStr">
        <is>
          <t>ÖSTERGÖTLANDS LÄN</t>
        </is>
      </c>
      <c r="G141" t="inlineStr">
        <is>
          <t>YDRE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46248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  <c r="Z142">
        <f>HYPERLINK("https://klasma.github.io/Logging_0512/knärot/A 56323-2021 karta knärot.png", "A 56323-2021")</f>
        <v/>
      </c>
      <c r="AA142">
        <f>HYPERLINK("https://klasma.github.io/Logging_0512/klagomål/A 56323-2021 FSC-klagomål.docx", "A 56323-2021")</f>
        <v/>
      </c>
      <c r="AB142">
        <f>HYPERLINK("https://klasma.github.io/Logging_0512/klagomålsmail/A 56323-2021 FSC-klagomål mail.docx", "A 56323-2021")</f>
        <v/>
      </c>
      <c r="AC142">
        <f>HYPERLINK("https://klasma.github.io/Logging_0512/tillsyn/A 56323-2021 tillsynsbegäran.docx", "A 56323-2021")</f>
        <v/>
      </c>
      <c r="AD142">
        <f>HYPERLINK("https://klasma.github.io/Logging_0512/tillsynsmail/A 56323-2021 tillsynsbegäran mail.docx", "A 56323-2021")</f>
        <v/>
      </c>
    </row>
    <row r="143" ht="15" customHeight="1">
      <c r="A143" t="inlineStr">
        <is>
          <t>A 61636-2021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46248</v>
      </c>
      <c r="F143" t="inlineStr">
        <is>
          <t>ÖSTERGÖTLANDS LÄN</t>
        </is>
      </c>
      <c r="G143" t="inlineStr">
        <is>
          <t>YDRE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46248</v>
      </c>
      <c r="F144" t="inlineStr">
        <is>
          <t>ÖSTERGÖTLANDS LÄN</t>
        </is>
      </c>
      <c r="G144" t="inlineStr">
        <is>
          <t>YDRE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46248</v>
      </c>
      <c r="F145" t="inlineStr">
        <is>
          <t>ÖSTERGÖTLANDS LÄN</t>
        </is>
      </c>
      <c r="G145" t="inlineStr">
        <is>
          <t>YDRE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45666</v>
      </c>
      <c r="E146" s="1" t="n">
        <v>46248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45335</v>
      </c>
      <c r="E147" s="1" t="n">
        <v>46248</v>
      </c>
      <c r="F147" t="inlineStr">
        <is>
          <t>ÖSTERGÖTLANDS LÄN</t>
        </is>
      </c>
      <c r="G147" t="inlineStr">
        <is>
          <t>YDRE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46248</v>
      </c>
      <c r="F148" t="inlineStr">
        <is>
          <t>ÖSTERGÖTLANDS LÄN</t>
        </is>
      </c>
      <c r="G148" t="inlineStr">
        <is>
          <t>YDRE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46248</v>
      </c>
      <c r="F149" t="inlineStr">
        <is>
          <t>ÖSTERGÖTLANDS LÄN</t>
        </is>
      </c>
      <c r="G149" t="inlineStr">
        <is>
          <t>YDRE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45335</v>
      </c>
      <c r="E150" s="1" t="n">
        <v>46248</v>
      </c>
      <c r="F150" t="inlineStr">
        <is>
          <t>ÖSTERGÖTLANDS LÄN</t>
        </is>
      </c>
      <c r="G150" t="inlineStr">
        <is>
          <t>YDRE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46248</v>
      </c>
      <c r="F151" t="inlineStr">
        <is>
          <t>ÖSTERGÖTLANDS LÄN</t>
        </is>
      </c>
      <c r="G151" t="inlineStr">
        <is>
          <t>YDRE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45714</v>
      </c>
      <c r="E152" s="1" t="n">
        <v>46248</v>
      </c>
      <c r="F152" t="inlineStr">
        <is>
          <t>ÖSTERGÖTLANDS LÄN</t>
        </is>
      </c>
      <c r="G152" t="inlineStr">
        <is>
          <t>YDRE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46248</v>
      </c>
      <c r="F153" t="inlineStr">
        <is>
          <t>ÖSTERGÖTLANDS LÄN</t>
        </is>
      </c>
      <c r="G153" t="inlineStr">
        <is>
          <t>YDRE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46248</v>
      </c>
      <c r="F154" t="inlineStr">
        <is>
          <t>ÖSTERGÖTLANDS LÄN</t>
        </is>
      </c>
      <c r="G154" t="inlineStr">
        <is>
          <t>YDRE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46248</v>
      </c>
      <c r="F155" t="inlineStr">
        <is>
          <t>ÖSTERGÖTLANDS LÄN</t>
        </is>
      </c>
      <c r="G155" t="inlineStr">
        <is>
          <t>YDRE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21982-2022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46248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46248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46248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46248</v>
      </c>
      <c r="F159" t="inlineStr">
        <is>
          <t>ÖSTERGÖTLANDS LÄN</t>
        </is>
      </c>
      <c r="G159" t="inlineStr">
        <is>
          <t>YDRE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46248</v>
      </c>
      <c r="F160" t="inlineStr">
        <is>
          <t>ÖSTERGÖTLANDS LÄN</t>
        </is>
      </c>
      <c r="G160" t="inlineStr">
        <is>
          <t>YDRE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45475</v>
      </c>
      <c r="E161" s="1" t="n">
        <v>46248</v>
      </c>
      <c r="F161" t="inlineStr">
        <is>
          <t>ÖSTERGÖTLANDS LÄN</t>
        </is>
      </c>
      <c r="G161" t="inlineStr">
        <is>
          <t>YDRE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46248</v>
      </c>
      <c r="F162" t="inlineStr">
        <is>
          <t>ÖSTERGÖTLANDS LÄN</t>
        </is>
      </c>
      <c r="G162" t="inlineStr">
        <is>
          <t>YDRE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45428</v>
      </c>
      <c r="E163" s="1" t="n">
        <v>46248</v>
      </c>
      <c r="F163" t="inlineStr">
        <is>
          <t>ÖSTERGÖTLANDS LÄN</t>
        </is>
      </c>
      <c r="G163" t="inlineStr">
        <is>
          <t>YDRE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46248</v>
      </c>
      <c r="F164" t="inlineStr">
        <is>
          <t>ÖSTERGÖTLANDS LÄN</t>
        </is>
      </c>
      <c r="G164" t="inlineStr">
        <is>
          <t>YDRE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46248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46248</v>
      </c>
      <c r="F166" t="inlineStr">
        <is>
          <t>ÖSTERGÖTLANDS LÄN</t>
        </is>
      </c>
      <c r="G166" t="inlineStr">
        <is>
          <t>YDRE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45649</v>
      </c>
      <c r="E167" s="1" t="n">
        <v>46248</v>
      </c>
      <c r="F167" t="inlineStr">
        <is>
          <t>ÖSTERGÖTLANDS LÄN</t>
        </is>
      </c>
      <c r="G167" t="inlineStr">
        <is>
          <t>YDRE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45449-2023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45194</v>
      </c>
      <c r="E168" s="1" t="n">
        <v>46248</v>
      </c>
      <c r="F168" t="inlineStr">
        <is>
          <t>ÖSTERGÖTLANDS LÄN</t>
        </is>
      </c>
      <c r="G168" t="inlineStr">
        <is>
          <t>YDRE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46248</v>
      </c>
      <c r="F169" t="inlineStr">
        <is>
          <t>ÖSTERGÖTLANDS LÄN</t>
        </is>
      </c>
      <c r="G169" t="inlineStr">
        <is>
          <t>YDRE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45587</v>
      </c>
      <c r="E170" s="1" t="n">
        <v>46248</v>
      </c>
      <c r="F170" t="inlineStr">
        <is>
          <t>ÖSTERGÖTLANDS LÄN</t>
        </is>
      </c>
      <c r="G170" t="inlineStr">
        <is>
          <t>YDRE</t>
        </is>
      </c>
      <c r="H170" t="inlineStr">
        <is>
          <t>Kyrkan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62815-2021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44504</v>
      </c>
      <c r="E171" s="1" t="n">
        <v>46248</v>
      </c>
      <c r="F171" t="inlineStr">
        <is>
          <t>ÖSTERGÖTLANDS LÄN</t>
        </is>
      </c>
      <c r="G171" t="inlineStr">
        <is>
          <t>YDRE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46248</v>
      </c>
      <c r="F172" t="inlineStr">
        <is>
          <t>ÖSTERGÖTLANDS LÄN</t>
        </is>
      </c>
      <c r="G172" t="inlineStr">
        <is>
          <t>YDRE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46248</v>
      </c>
      <c r="F173" t="inlineStr">
        <is>
          <t>ÖSTERGÖTLANDS LÄN</t>
        </is>
      </c>
      <c r="G173" t="inlineStr">
        <is>
          <t>YDRE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17309-2024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45414</v>
      </c>
      <c r="E174" s="1" t="n">
        <v>46248</v>
      </c>
      <c r="F174" t="inlineStr">
        <is>
          <t>ÖSTERGÖTLANDS LÄN</t>
        </is>
      </c>
      <c r="G174" t="inlineStr">
        <is>
          <t>YDRE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46248</v>
      </c>
      <c r="F175" t="inlineStr">
        <is>
          <t>ÖSTERGÖTLANDS LÄN</t>
        </is>
      </c>
      <c r="G175" t="inlineStr">
        <is>
          <t>YDRE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46248</v>
      </c>
      <c r="F176" t="inlineStr">
        <is>
          <t>ÖSTERGÖTLANDS LÄN</t>
        </is>
      </c>
      <c r="G176" t="inlineStr">
        <is>
          <t>YDRE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46248</v>
      </c>
      <c r="F177" t="inlineStr">
        <is>
          <t>ÖSTERGÖTLANDS LÄN</t>
        </is>
      </c>
      <c r="G177" t="inlineStr">
        <is>
          <t>YDRE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45875-2024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45580</v>
      </c>
      <c r="E178" s="1" t="n">
        <v>46248</v>
      </c>
      <c r="F178" t="inlineStr">
        <is>
          <t>ÖSTERGÖTLANDS LÄN</t>
        </is>
      </c>
      <c r="G178" t="inlineStr">
        <is>
          <t>YDRE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45194-2021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44439</v>
      </c>
      <c r="E179" s="1" t="n">
        <v>46248</v>
      </c>
      <c r="F179" t="inlineStr">
        <is>
          <t>ÖSTERGÖTLANDS LÄN</t>
        </is>
      </c>
      <c r="G179" t="inlineStr">
        <is>
          <t>YDRE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46248</v>
      </c>
      <c r="F180" t="inlineStr">
        <is>
          <t>ÖSTERGÖTLANDS LÄN</t>
        </is>
      </c>
      <c r="G180" t="inlineStr">
        <is>
          <t>YDRE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46248</v>
      </c>
      <c r="F181" t="inlineStr">
        <is>
          <t>ÖSTERGÖTLANDS LÄN</t>
        </is>
      </c>
      <c r="G181" t="inlineStr">
        <is>
          <t>YDRE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46248</v>
      </c>
      <c r="F182" t="inlineStr">
        <is>
          <t>ÖSTERGÖTLANDS LÄN</t>
        </is>
      </c>
      <c r="G182" t="inlineStr">
        <is>
          <t>YDRE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46248</v>
      </c>
      <c r="F183" t="inlineStr">
        <is>
          <t>ÖSTERGÖTLANDS LÄN</t>
        </is>
      </c>
      <c r="G183" t="inlineStr">
        <is>
          <t>YDRE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44562</v>
      </c>
      <c r="E184" s="1" t="n">
        <v>46248</v>
      </c>
      <c r="F184" t="inlineStr">
        <is>
          <t>ÖSTERGÖTLANDS LÄN</t>
        </is>
      </c>
      <c r="G184" t="inlineStr">
        <is>
          <t>YDRE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45272</v>
      </c>
      <c r="E185" s="1" t="n">
        <v>46248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46248</v>
      </c>
      <c r="F186" t="inlineStr">
        <is>
          <t>ÖSTERGÖTLANDS LÄN</t>
        </is>
      </c>
      <c r="G186" t="inlineStr">
        <is>
          <t>YDRE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44741-2021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46248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45414</v>
      </c>
      <c r="E188" s="1" t="n">
        <v>46248</v>
      </c>
      <c r="F188" t="inlineStr">
        <is>
          <t>ÖSTERGÖTLANDS LÄN</t>
        </is>
      </c>
      <c r="G188" t="inlineStr">
        <is>
          <t>YDRE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47464-2021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44447</v>
      </c>
      <c r="E189" s="1" t="n">
        <v>46248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70448-2021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44536</v>
      </c>
      <c r="E190" s="1" t="n">
        <v>46248</v>
      </c>
      <c r="F190" t="inlineStr">
        <is>
          <t>ÖSTERGÖTLANDS LÄN</t>
        </is>
      </c>
      <c r="G190" t="inlineStr">
        <is>
          <t>YDRE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46248</v>
      </c>
      <c r="F191" t="inlineStr">
        <is>
          <t>ÖSTERGÖTLANDS LÄN</t>
        </is>
      </c>
      <c r="G191" t="inlineStr">
        <is>
          <t>YDRE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45701</v>
      </c>
      <c r="E192" s="1" t="n">
        <v>46248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62485-2021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44503</v>
      </c>
      <c r="E193" s="1" t="n">
        <v>46248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42781-2021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44428</v>
      </c>
      <c r="E194" s="1" t="n">
        <v>46248</v>
      </c>
      <c r="F194" t="inlineStr">
        <is>
          <t>ÖSTERGÖTLANDS LÄN</t>
        </is>
      </c>
      <c r="G194" t="inlineStr">
        <is>
          <t>YDRE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46248</v>
      </c>
      <c r="F195" t="inlineStr">
        <is>
          <t>ÖSTERGÖTLANDS LÄN</t>
        </is>
      </c>
      <c r="G195" t="inlineStr">
        <is>
          <t>YDRE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68983-2021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46248</v>
      </c>
      <c r="F196" t="inlineStr">
        <is>
          <t>ÖSTERGÖTLANDS LÄN</t>
        </is>
      </c>
      <c r="G196" t="inlineStr">
        <is>
          <t>YDRE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46248</v>
      </c>
      <c r="F197" t="inlineStr">
        <is>
          <t>ÖSTERGÖTLANDS LÄN</t>
        </is>
      </c>
      <c r="G197" t="inlineStr">
        <is>
          <t>YDRE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42343-2022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44831</v>
      </c>
      <c r="E198" s="1" t="n">
        <v>46248</v>
      </c>
      <c r="F198" t="inlineStr">
        <is>
          <t>ÖSTERGÖTLANDS LÄN</t>
        </is>
      </c>
      <c r="G198" t="inlineStr">
        <is>
          <t>YDRE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44743</v>
      </c>
      <c r="E199" s="1" t="n">
        <v>46248</v>
      </c>
      <c r="F199" t="inlineStr">
        <is>
          <t>ÖSTERGÖTLANDS LÄN</t>
        </is>
      </c>
      <c r="G199" t="inlineStr">
        <is>
          <t>YDRE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46248</v>
      </c>
      <c r="F200" t="inlineStr">
        <is>
          <t>ÖSTERGÖTLANDS LÄN</t>
        </is>
      </c>
      <c r="G200" t="inlineStr">
        <is>
          <t>YDRE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45090</v>
      </c>
      <c r="E201" s="1" t="n">
        <v>46248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44908</v>
      </c>
      <c r="E202" s="1" t="n">
        <v>46248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59816-2022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46248</v>
      </c>
      <c r="F203" t="inlineStr">
        <is>
          <t>ÖSTERGÖTLANDS LÄN</t>
        </is>
      </c>
      <c r="G203" t="inlineStr">
        <is>
          <t>YDRE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46248</v>
      </c>
      <c r="F204" t="inlineStr">
        <is>
          <t>ÖSTERGÖTLANDS LÄN</t>
        </is>
      </c>
      <c r="G204" t="inlineStr">
        <is>
          <t>YDRE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45434</v>
      </c>
      <c r="E205" s="1" t="n">
        <v>46248</v>
      </c>
      <c r="F205" t="inlineStr">
        <is>
          <t>ÖSTERGÖTLANDS LÄN</t>
        </is>
      </c>
      <c r="G205" t="inlineStr">
        <is>
          <t>YDRE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45218</v>
      </c>
      <c r="E206" s="1" t="n">
        <v>46248</v>
      </c>
      <c r="F206" t="inlineStr">
        <is>
          <t>ÖSTERGÖTLANDS LÄN</t>
        </is>
      </c>
      <c r="G206" t="inlineStr">
        <is>
          <t>YDRE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10699-2022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44624</v>
      </c>
      <c r="E207" s="1" t="n">
        <v>46248</v>
      </c>
      <c r="F207" t="inlineStr">
        <is>
          <t>ÖSTERGÖTLANDS LÄN</t>
        </is>
      </c>
      <c r="G207" t="inlineStr">
        <is>
          <t>YDRE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45510</v>
      </c>
      <c r="E208" s="1" t="n">
        <v>46248</v>
      </c>
      <c r="F208" t="inlineStr">
        <is>
          <t>ÖSTERGÖTLANDS LÄN</t>
        </is>
      </c>
      <c r="G208" t="inlineStr">
        <is>
          <t>YDRE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46248</v>
      </c>
      <c r="F209" t="inlineStr">
        <is>
          <t>ÖSTERGÖTLANDS LÄN</t>
        </is>
      </c>
      <c r="G209" t="inlineStr">
        <is>
          <t>YDRE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46248</v>
      </c>
      <c r="F210" t="inlineStr">
        <is>
          <t>ÖSTERGÖTLANDS LÄN</t>
        </is>
      </c>
      <c r="G210" t="inlineStr">
        <is>
          <t>YDRE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46248</v>
      </c>
      <c r="F211" t="inlineStr">
        <is>
          <t>ÖSTERGÖTLANDS LÄN</t>
        </is>
      </c>
      <c r="G211" t="inlineStr">
        <is>
          <t>YDRE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46248</v>
      </c>
      <c r="F212" t="inlineStr">
        <is>
          <t>ÖSTERGÖTLANDS LÄN</t>
        </is>
      </c>
      <c r="G212" t="inlineStr">
        <is>
          <t>YDRE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46248</v>
      </c>
      <c r="F213" t="inlineStr">
        <is>
          <t>ÖSTERGÖTLANDS LÄN</t>
        </is>
      </c>
      <c r="G213" t="inlineStr">
        <is>
          <t>YDRE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46248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46248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46248</v>
      </c>
      <c r="F216" t="inlineStr">
        <is>
          <t>ÖSTERGÖTLANDS LÄN</t>
        </is>
      </c>
      <c r="G216" t="inlineStr">
        <is>
          <t>YDRE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46248</v>
      </c>
      <c r="F217" t="inlineStr">
        <is>
          <t>ÖSTERGÖTLANDS LÄN</t>
        </is>
      </c>
      <c r="G217" t="inlineStr">
        <is>
          <t>YDRE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45600</v>
      </c>
      <c r="E218" s="1" t="n">
        <v>46248</v>
      </c>
      <c r="F218" t="inlineStr">
        <is>
          <t>ÖSTERGÖTLANDS LÄN</t>
        </is>
      </c>
      <c r="G218" t="inlineStr">
        <is>
          <t>YDRE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45638</v>
      </c>
      <c r="E219" s="1" t="n">
        <v>46248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46248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46248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46248</v>
      </c>
      <c r="F222" t="inlineStr">
        <is>
          <t>ÖSTERGÖTLANDS LÄN</t>
        </is>
      </c>
      <c r="G222" t="inlineStr">
        <is>
          <t>YDRE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45334</v>
      </c>
      <c r="E223" s="1" t="n">
        <v>46248</v>
      </c>
      <c r="F223" t="inlineStr">
        <is>
          <t>ÖSTERGÖTLANDS LÄN</t>
        </is>
      </c>
      <c r="G223" t="inlineStr">
        <is>
          <t>YDRE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56313-2021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46248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38928-2022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44816</v>
      </c>
      <c r="E225" s="1" t="n">
        <v>46248</v>
      </c>
      <c r="F225" t="inlineStr">
        <is>
          <t>ÖSTERGÖTLANDS LÄN</t>
        </is>
      </c>
      <c r="G225" t="inlineStr">
        <is>
          <t>YDRE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45016</v>
      </c>
      <c r="E226" s="1" t="n">
        <v>46248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45302</v>
      </c>
      <c r="E227" s="1" t="n">
        <v>46248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46248</v>
      </c>
      <c r="F228" t="inlineStr">
        <is>
          <t>ÖSTERGÖTLANDS LÄN</t>
        </is>
      </c>
      <c r="G228" t="inlineStr">
        <is>
          <t>YDRE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45085</v>
      </c>
      <c r="E229" s="1" t="n">
        <v>46248</v>
      </c>
      <c r="F229" t="inlineStr">
        <is>
          <t>ÖSTERGÖTLANDS LÄN</t>
        </is>
      </c>
      <c r="G229" t="inlineStr">
        <is>
          <t>YDRE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45414</v>
      </c>
      <c r="E230" s="1" t="n">
        <v>46248</v>
      </c>
      <c r="F230" t="inlineStr">
        <is>
          <t>ÖSTERGÖTLANDS LÄN</t>
        </is>
      </c>
      <c r="G230" t="inlineStr">
        <is>
          <t>YDRE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44987</v>
      </c>
      <c r="E231" s="1" t="n">
        <v>46248</v>
      </c>
      <c r="F231" t="inlineStr">
        <is>
          <t>ÖSTERGÖTLANDS LÄN</t>
        </is>
      </c>
      <c r="G231" t="inlineStr">
        <is>
          <t>YDRE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44980</v>
      </c>
      <c r="E232" s="1" t="n">
        <v>46248</v>
      </c>
      <c r="F232" t="inlineStr">
        <is>
          <t>ÖSTERGÖTLANDS LÄN</t>
        </is>
      </c>
      <c r="G232" t="inlineStr">
        <is>
          <t>YDRE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44908</v>
      </c>
      <c r="E233" s="1" t="n">
        <v>46248</v>
      </c>
      <c r="F233" t="inlineStr">
        <is>
          <t>ÖSTERGÖTLANDS LÄN</t>
        </is>
      </c>
      <c r="G233" t="inlineStr">
        <is>
          <t>YDRE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44655</v>
      </c>
      <c r="E234" s="1" t="n">
        <v>46248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45634</v>
      </c>
      <c r="E235" s="1" t="n">
        <v>46248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45218</v>
      </c>
      <c r="E236" s="1" t="n">
        <v>46248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45414</v>
      </c>
      <c r="E237" s="1" t="n">
        <v>46248</v>
      </c>
      <c r="F237" t="inlineStr">
        <is>
          <t>ÖSTERGÖTLANDS LÄN</t>
        </is>
      </c>
      <c r="G237" t="inlineStr">
        <is>
          <t>YDRE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46248</v>
      </c>
      <c r="F238" t="inlineStr">
        <is>
          <t>ÖSTERGÖTLANDS LÄN</t>
        </is>
      </c>
      <c r="G238" t="inlineStr">
        <is>
          <t>YDRE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14184-2022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44651</v>
      </c>
      <c r="E239" s="1" t="n">
        <v>46248</v>
      </c>
      <c r="F239" t="inlineStr">
        <is>
          <t>ÖSTERGÖTLANDS LÄN</t>
        </is>
      </c>
      <c r="G239" t="inlineStr">
        <is>
          <t>YDRE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44844</v>
      </c>
      <c r="E240" s="1" t="n">
        <v>46248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45257</v>
      </c>
      <c r="E241" s="1" t="n">
        <v>46248</v>
      </c>
      <c r="F241" t="inlineStr">
        <is>
          <t>ÖSTERGÖTLANDS LÄN</t>
        </is>
      </c>
      <c r="G241" t="inlineStr">
        <is>
          <t>YDRE</t>
        </is>
      </c>
      <c r="I241" t="n">
        <v>17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45698</v>
      </c>
      <c r="E242" s="1" t="n">
        <v>46248</v>
      </c>
      <c r="F242" t="inlineStr">
        <is>
          <t>ÖSTERGÖTLANDS LÄN</t>
        </is>
      </c>
      <c r="G242" t="inlineStr">
        <is>
          <t>YDRE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46248</v>
      </c>
      <c r="F243" t="inlineStr">
        <is>
          <t>ÖSTERGÖTLANDS LÄN</t>
        </is>
      </c>
      <c r="G243" t="inlineStr">
        <is>
          <t>YDRE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46248</v>
      </c>
      <c r="F244" t="inlineStr">
        <is>
          <t>ÖSTERGÖTLANDS LÄN</t>
        </is>
      </c>
      <c r="G244" t="inlineStr">
        <is>
          <t>YDRE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45821</v>
      </c>
      <c r="E245" s="1" t="n">
        <v>46248</v>
      </c>
      <c r="F245" t="inlineStr">
        <is>
          <t>ÖSTERGÖTLANDS LÄN</t>
        </is>
      </c>
      <c r="G245" t="inlineStr">
        <is>
          <t>YDRE</t>
        </is>
      </c>
      <c r="H245" t="inlineStr">
        <is>
          <t>Kyrkan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40988-2024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45558</v>
      </c>
      <c r="E246" s="1" t="n">
        <v>46248</v>
      </c>
      <c r="F246" t="inlineStr">
        <is>
          <t>ÖSTERGÖTLANDS LÄN</t>
        </is>
      </c>
      <c r="G246" t="inlineStr">
        <is>
          <t>YDRE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46248</v>
      </c>
      <c r="F247" t="inlineStr">
        <is>
          <t>ÖSTERGÖTLANDS LÄN</t>
        </is>
      </c>
      <c r="G247" t="inlineStr">
        <is>
          <t>YDRE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46248</v>
      </c>
      <c r="F248" t="inlineStr">
        <is>
          <t>ÖSTERGÖTLANDS LÄN</t>
        </is>
      </c>
      <c r="G248" t="inlineStr">
        <is>
          <t>YDRE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46248</v>
      </c>
      <c r="F249" t="inlineStr">
        <is>
          <t>ÖSTERGÖTLANDS LÄN</t>
        </is>
      </c>
      <c r="G249" t="inlineStr">
        <is>
          <t>YDRE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46248</v>
      </c>
      <c r="F250" t="inlineStr">
        <is>
          <t>ÖSTERGÖTLANDS LÄN</t>
        </is>
      </c>
      <c r="G250" t="inlineStr">
        <is>
          <t>YDRE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45871</v>
      </c>
      <c r="E251" s="1" t="n">
        <v>46248</v>
      </c>
      <c r="F251" t="inlineStr">
        <is>
          <t>ÖSTERGÖTLANDS LÄN</t>
        </is>
      </c>
      <c r="G251" t="inlineStr">
        <is>
          <t>YDRE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46248</v>
      </c>
      <c r="F252" t="inlineStr">
        <is>
          <t>ÖSTERGÖTLANDS LÄN</t>
        </is>
      </c>
      <c r="G252" t="inlineStr">
        <is>
          <t>YDRE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46248</v>
      </c>
      <c r="F253" t="inlineStr">
        <is>
          <t>ÖSTERGÖTLANDS LÄN</t>
        </is>
      </c>
      <c r="G253" t="inlineStr">
        <is>
          <t>YDRE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45831</v>
      </c>
      <c r="E254" s="1" t="n">
        <v>46248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46248</v>
      </c>
      <c r="F255" t="inlineStr">
        <is>
          <t>ÖSTERGÖTLANDS LÄN</t>
        </is>
      </c>
      <c r="G255" t="inlineStr">
        <is>
          <t>YDRE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46248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46248</v>
      </c>
      <c r="F257" t="inlineStr">
        <is>
          <t>ÖSTERGÖTLANDS LÄN</t>
        </is>
      </c>
      <c r="G257" t="inlineStr">
        <is>
          <t>YDRE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46248</v>
      </c>
      <c r="F258" t="inlineStr">
        <is>
          <t>ÖSTERGÖTLANDS LÄN</t>
        </is>
      </c>
      <c r="G258" t="inlineStr">
        <is>
          <t>YDRE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63248-2023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45273</v>
      </c>
      <c r="E259" s="1" t="n">
        <v>46248</v>
      </c>
      <c r="F259" t="inlineStr">
        <is>
          <t>ÖSTERGÖTLANDS LÄN</t>
        </is>
      </c>
      <c r="G259" t="inlineStr">
        <is>
          <t>YDRE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46248</v>
      </c>
      <c r="F260" t="inlineStr">
        <is>
          <t>ÖSTERGÖTLANDS LÄN</t>
        </is>
      </c>
      <c r="G260" t="inlineStr">
        <is>
          <t>YDRE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46248</v>
      </c>
      <c r="F261" t="inlineStr">
        <is>
          <t>ÖSTERGÖTLANDS LÄN</t>
        </is>
      </c>
      <c r="G261" t="inlineStr">
        <is>
          <t>YDRE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45692</v>
      </c>
      <c r="E262" s="1" t="n">
        <v>46248</v>
      </c>
      <c r="F262" t="inlineStr">
        <is>
          <t>ÖSTERGÖTLANDS LÄN</t>
        </is>
      </c>
      <c r="G262" t="inlineStr">
        <is>
          <t>YDRE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46248</v>
      </c>
      <c r="F263" t="inlineStr">
        <is>
          <t>ÖSTERGÖTLANDS LÄN</t>
        </is>
      </c>
      <c r="G263" t="inlineStr">
        <is>
          <t>YDRE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44670</v>
      </c>
      <c r="E264" s="1" t="n">
        <v>46248</v>
      </c>
      <c r="F264" t="inlineStr">
        <is>
          <t>ÖSTERGÖTLANDS LÄN</t>
        </is>
      </c>
      <c r="G264" t="inlineStr">
        <is>
          <t>YDRE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44953</v>
      </c>
      <c r="E265" s="1" t="n">
        <v>46248</v>
      </c>
      <c r="F265" t="inlineStr">
        <is>
          <t>ÖSTERGÖTLANDS LÄN</t>
        </is>
      </c>
      <c r="G265" t="inlineStr">
        <is>
          <t>YDRE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14101-2022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44651</v>
      </c>
      <c r="E266" s="1" t="n">
        <v>46248</v>
      </c>
      <c r="F266" t="inlineStr">
        <is>
          <t>ÖSTERGÖTLANDS LÄN</t>
        </is>
      </c>
      <c r="G266" t="inlineStr">
        <is>
          <t>YDRE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46248</v>
      </c>
      <c r="F267" t="inlineStr">
        <is>
          <t>ÖSTERGÖTLANDS LÄN</t>
        </is>
      </c>
      <c r="G267" t="inlineStr">
        <is>
          <t>YDRE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45671</v>
      </c>
      <c r="E268" s="1" t="n">
        <v>46248</v>
      </c>
      <c r="F268" t="inlineStr">
        <is>
          <t>ÖSTERGÖTLANDS LÄN</t>
        </is>
      </c>
      <c r="G268" t="inlineStr">
        <is>
          <t>YDRE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59296-2021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46248</v>
      </c>
      <c r="F269" t="inlineStr">
        <is>
          <t>ÖSTERGÖTLANDS LÄN</t>
        </is>
      </c>
      <c r="G269" t="inlineStr">
        <is>
          <t>YDRE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46248</v>
      </c>
      <c r="F270" t="inlineStr">
        <is>
          <t>ÖSTERGÖTLANDS LÄN</t>
        </is>
      </c>
      <c r="G270" t="inlineStr">
        <is>
          <t>YDRE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23760-2025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46248</v>
      </c>
      <c r="F271" t="inlineStr">
        <is>
          <t>ÖSTERGÖTLANDS LÄN</t>
        </is>
      </c>
      <c r="G271" t="inlineStr">
        <is>
          <t>YDRE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46248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46248</v>
      </c>
      <c r="F273" t="inlineStr">
        <is>
          <t>ÖSTERGÖTLANDS LÄN</t>
        </is>
      </c>
      <c r="G273" t="inlineStr">
        <is>
          <t>YDRE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32635-2025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45838</v>
      </c>
      <c r="E274" s="1" t="n">
        <v>46248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46248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45790</v>
      </c>
      <c r="E276" s="1" t="n">
        <v>46248</v>
      </c>
      <c r="F276" t="inlineStr">
        <is>
          <t>ÖSTERGÖTLANDS LÄN</t>
        </is>
      </c>
      <c r="G276" t="inlineStr">
        <is>
          <t>YDRE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45810</v>
      </c>
      <c r="E277" s="1" t="n">
        <v>46248</v>
      </c>
      <c r="F277" t="inlineStr">
        <is>
          <t>ÖSTERGÖTLANDS LÄN</t>
        </is>
      </c>
      <c r="G277" t="inlineStr">
        <is>
          <t>YDRE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46248</v>
      </c>
      <c r="F278" t="inlineStr">
        <is>
          <t>ÖSTERGÖTLANDS LÄN</t>
        </is>
      </c>
      <c r="G278" t="inlineStr">
        <is>
          <t>YDRE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46248</v>
      </c>
      <c r="F279" t="inlineStr">
        <is>
          <t>ÖSTERGÖTLANDS LÄN</t>
        </is>
      </c>
      <c r="G279" t="inlineStr">
        <is>
          <t>YDRE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45096</v>
      </c>
      <c r="E280" s="1" t="n">
        <v>46248</v>
      </c>
      <c r="F280" t="inlineStr">
        <is>
          <t>ÖSTERGÖTLANDS LÄN</t>
        </is>
      </c>
      <c r="G280" t="inlineStr">
        <is>
          <t>YDRE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46248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46248</v>
      </c>
      <c r="F282" t="inlineStr">
        <is>
          <t>ÖSTERGÖTLANDS LÄN</t>
        </is>
      </c>
      <c r="G282" t="inlineStr">
        <is>
          <t>YDRE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46248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45748</v>
      </c>
      <c r="E284" s="1" t="n">
        <v>46248</v>
      </c>
      <c r="F284" t="inlineStr">
        <is>
          <t>ÖSTERGÖTLANDS LÄN</t>
        </is>
      </c>
      <c r="G284" t="inlineStr">
        <is>
          <t>YDRE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61205-2023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45264</v>
      </c>
      <c r="E285" s="1" t="n">
        <v>46248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46248</v>
      </c>
      <c r="F286" t="inlineStr">
        <is>
          <t>ÖSTERGÖTLANDS LÄN</t>
        </is>
      </c>
      <c r="G286" t="inlineStr">
        <is>
          <t>YDRE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57290-2021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44483</v>
      </c>
      <c r="E287" s="1" t="n">
        <v>46248</v>
      </c>
      <c r="F287" t="inlineStr">
        <is>
          <t>ÖSTERGÖTLANDS LÄN</t>
        </is>
      </c>
      <c r="G287" t="inlineStr">
        <is>
          <t>YDRE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46248</v>
      </c>
      <c r="F288" t="inlineStr">
        <is>
          <t>ÖSTERGÖTLANDS LÄN</t>
        </is>
      </c>
      <c r="G288" t="inlineStr">
        <is>
          <t>YDRE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21069-2026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46146</v>
      </c>
      <c r="E289" s="1" t="n">
        <v>46248</v>
      </c>
      <c r="F289" t="inlineStr">
        <is>
          <t>ÖSTERGÖTLANDS LÄN</t>
        </is>
      </c>
      <c r="G289" t="inlineStr">
        <is>
          <t>YDRE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46248</v>
      </c>
      <c r="F290" t="inlineStr">
        <is>
          <t>ÖSTERGÖTLANDS LÄN</t>
        </is>
      </c>
      <c r="G290" t="inlineStr">
        <is>
          <t>YDRE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46248</v>
      </c>
      <c r="F291" t="inlineStr">
        <is>
          <t>ÖSTERGÖTLANDS LÄN</t>
        </is>
      </c>
      <c r="G291" t="inlineStr">
        <is>
          <t>YDRE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46248</v>
      </c>
      <c r="F292" t="inlineStr">
        <is>
          <t>ÖSTERGÖTLANDS LÄN</t>
        </is>
      </c>
      <c r="G292" t="inlineStr">
        <is>
          <t>YDRE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45492</v>
      </c>
      <c r="E293" s="1" t="n">
        <v>46248</v>
      </c>
      <c r="F293" t="inlineStr">
        <is>
          <t>ÖSTERGÖTLANDS LÄN</t>
        </is>
      </c>
      <c r="G293" t="inlineStr">
        <is>
          <t>YDRE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45468</v>
      </c>
      <c r="E294" s="1" t="n">
        <v>46248</v>
      </c>
      <c r="F294" t="inlineStr">
        <is>
          <t>ÖSTERGÖTLANDS LÄN</t>
        </is>
      </c>
      <c r="G294" t="inlineStr">
        <is>
          <t>YDRE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46248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22312-2026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46154</v>
      </c>
      <c r="E296" s="1" t="n">
        <v>46248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43100-2025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46248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12.4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46248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45544</v>
      </c>
      <c r="E299" s="1" t="n">
        <v>46248</v>
      </c>
      <c r="F299" t="inlineStr">
        <is>
          <t>ÖSTERGÖTLANDS LÄN</t>
        </is>
      </c>
      <c r="G299" t="inlineStr">
        <is>
          <t>YDRE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46248</v>
      </c>
      <c r="F300" t="inlineStr">
        <is>
          <t>ÖSTERGÖTLANDS LÄN</t>
        </is>
      </c>
      <c r="G300" t="inlineStr">
        <is>
          <t>YDRE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46248</v>
      </c>
      <c r="F301" t="inlineStr">
        <is>
          <t>ÖSTERGÖTLANDS LÄN</t>
        </is>
      </c>
      <c r="G301" t="inlineStr">
        <is>
          <t>YDRE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45666</v>
      </c>
      <c r="E302" s="1" t="n">
        <v>46248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45910</v>
      </c>
      <c r="E303" s="1" t="n">
        <v>46248</v>
      </c>
      <c r="F303" t="inlineStr">
        <is>
          <t>ÖSTERGÖTLANDS LÄN</t>
        </is>
      </c>
      <c r="G303" t="inlineStr">
        <is>
          <t>YDRE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46248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18.2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45475</v>
      </c>
      <c r="E305" s="1" t="n">
        <v>46248</v>
      </c>
      <c r="F305" t="inlineStr">
        <is>
          <t>ÖSTERGÖTLANDS LÄN</t>
        </is>
      </c>
      <c r="G305" t="inlineStr">
        <is>
          <t>YDRE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46248</v>
      </c>
      <c r="F306" t="inlineStr">
        <is>
          <t>ÖSTERGÖTLANDS LÄN</t>
        </is>
      </c>
      <c r="G306" t="inlineStr">
        <is>
          <t>YDRE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46248</v>
      </c>
      <c r="F307" t="inlineStr">
        <is>
          <t>ÖSTERGÖTLANDS LÄN</t>
        </is>
      </c>
      <c r="G307" t="inlineStr">
        <is>
          <t>YDRE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45916</v>
      </c>
      <c r="E308" s="1" t="n">
        <v>46248</v>
      </c>
      <c r="F308" t="inlineStr">
        <is>
          <t>ÖSTERGÖTLANDS LÄN</t>
        </is>
      </c>
      <c r="G308" t="inlineStr">
        <is>
          <t>YDRE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44474-2025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45916</v>
      </c>
      <c r="E309" s="1" t="n">
        <v>46248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45916</v>
      </c>
      <c r="E310" s="1" t="n">
        <v>46248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44468-2025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45916</v>
      </c>
      <c r="E311" s="1" t="n">
        <v>46248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46248</v>
      </c>
      <c r="F312" t="inlineStr">
        <is>
          <t>ÖSTERGÖTLANDS LÄN</t>
        </is>
      </c>
      <c r="G312" t="inlineStr">
        <is>
          <t>YDRE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46248</v>
      </c>
      <c r="F313" t="inlineStr">
        <is>
          <t>ÖSTERGÖTLANDS LÄN</t>
        </is>
      </c>
      <c r="G313" t="inlineStr">
        <is>
          <t>YDRE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46248</v>
      </c>
      <c r="F314" t="inlineStr">
        <is>
          <t>ÖSTERGÖTLANDS LÄN</t>
        </is>
      </c>
      <c r="G314" t="inlineStr">
        <is>
          <t>YDRE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46248</v>
      </c>
      <c r="F315" t="inlineStr">
        <is>
          <t>ÖSTERGÖTLANDS LÄN</t>
        </is>
      </c>
      <c r="G315" t="inlineStr">
        <is>
          <t>YDRE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46248</v>
      </c>
      <c r="F316" t="inlineStr">
        <is>
          <t>ÖSTERGÖTLANDS LÄN</t>
        </is>
      </c>
      <c r="G316" t="inlineStr">
        <is>
          <t>YDRE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46086-2025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45924</v>
      </c>
      <c r="E317" s="1" t="n">
        <v>46248</v>
      </c>
      <c r="F317" t="inlineStr">
        <is>
          <t>ÖSTERGÖTLANDS LÄN</t>
        </is>
      </c>
      <c r="G317" t="inlineStr">
        <is>
          <t>YDRE</t>
        </is>
      </c>
      <c r="H317" t="inlineStr">
        <is>
          <t>Övriga Aktiebolag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46248</v>
      </c>
      <c r="F318" t="inlineStr">
        <is>
          <t>ÖSTERGÖTLANDS LÄN</t>
        </is>
      </c>
      <c r="G318" t="inlineStr">
        <is>
          <t>YDRE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46248</v>
      </c>
      <c r="F319" t="inlineStr">
        <is>
          <t>ÖSTERGÖTLANDS LÄN</t>
        </is>
      </c>
      <c r="G319" t="inlineStr">
        <is>
          <t>YDRE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46248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46248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46248</v>
      </c>
      <c r="F322" t="inlineStr">
        <is>
          <t>ÖSTERGÖTLANDS LÄN</t>
        </is>
      </c>
      <c r="G322" t="inlineStr">
        <is>
          <t>YDRE</t>
        </is>
      </c>
      <c r="H322" t="inlineStr">
        <is>
          <t>Övriga Aktiebolag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2745-2026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46038</v>
      </c>
      <c r="E323" s="1" t="n">
        <v>46248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46248</v>
      </c>
      <c r="F324" t="inlineStr">
        <is>
          <t>ÖSTERGÖTLANDS LÄN</t>
        </is>
      </c>
      <c r="G324" t="inlineStr">
        <is>
          <t>YDRE</t>
        </is>
      </c>
      <c r="H324" t="inlineStr">
        <is>
          <t>Övriga Aktiebolag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46248</v>
      </c>
      <c r="F325" t="inlineStr">
        <is>
          <t>ÖSTERGÖTLANDS LÄN</t>
        </is>
      </c>
      <c r="G325" t="inlineStr">
        <is>
          <t>YDRE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45940</v>
      </c>
      <c r="E326" s="1" t="n">
        <v>46248</v>
      </c>
      <c r="F326" t="inlineStr">
        <is>
          <t>ÖSTERGÖTLANDS LÄN</t>
        </is>
      </c>
      <c r="G326" t="inlineStr">
        <is>
          <t>YDRE</t>
        </is>
      </c>
      <c r="H326" t="inlineStr">
        <is>
          <t>Kyrkan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45940</v>
      </c>
      <c r="E327" s="1" t="n">
        <v>46248</v>
      </c>
      <c r="F327" t="inlineStr">
        <is>
          <t>ÖSTERGÖTLANDS LÄN</t>
        </is>
      </c>
      <c r="G327" t="inlineStr">
        <is>
          <t>YDRE</t>
        </is>
      </c>
      <c r="H327" t="inlineStr">
        <is>
          <t>Kyrkan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46248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24780-2026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46171</v>
      </c>
      <c r="E329" s="1" t="n">
        <v>46248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52389-2025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46248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8.199999999999999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52397-2025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46248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46248</v>
      </c>
      <c r="F332" t="inlineStr">
        <is>
          <t>ÖSTERGÖTLANDS LÄN</t>
        </is>
      </c>
      <c r="G332" t="inlineStr">
        <is>
          <t>YDRE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46248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46248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46248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46248</v>
      </c>
      <c r="F336" t="inlineStr">
        <is>
          <t>ÖSTERGÖTLANDS LÄN</t>
        </is>
      </c>
      <c r="G336" t="inlineStr">
        <is>
          <t>YDRE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46248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46248</v>
      </c>
      <c r="F338" t="inlineStr">
        <is>
          <t>ÖSTERGÖTLANDS LÄN</t>
        </is>
      </c>
      <c r="G338" t="inlineStr">
        <is>
          <t>YDRE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46248</v>
      </c>
      <c r="F339" t="inlineStr">
        <is>
          <t>ÖSTERGÖTLANDS LÄN</t>
        </is>
      </c>
      <c r="G339" t="inlineStr">
        <is>
          <t>YDRE</t>
        </is>
      </c>
      <c r="H339" t="inlineStr">
        <is>
          <t>Sveaskog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46248</v>
      </c>
      <c r="F340" t="inlineStr">
        <is>
          <t>ÖSTERGÖTLANDS LÄN</t>
        </is>
      </c>
      <c r="G340" t="inlineStr">
        <is>
          <t>YDRE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45964</v>
      </c>
      <c r="E341" s="1" t="n">
        <v>46248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46248</v>
      </c>
      <c r="F342" t="inlineStr">
        <is>
          <t>ÖSTERGÖTLANDS LÄN</t>
        </is>
      </c>
      <c r="G342" t="inlineStr">
        <is>
          <t>YDRE</t>
        </is>
      </c>
      <c r="H342" t="inlineStr">
        <is>
          <t>Sveaskog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54063-2025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46248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46248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27700-2026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46190</v>
      </c>
      <c r="E345" s="1" t="n">
        <v>46248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27874-2026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46248</v>
      </c>
      <c r="F346" t="inlineStr">
        <is>
          <t>ÖSTERGÖTLANDS LÄN</t>
        </is>
      </c>
      <c r="G346" t="inlineStr">
        <is>
          <t>YDRE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46248</v>
      </c>
      <c r="F347" t="inlineStr">
        <is>
          <t>ÖSTERGÖTLANDS LÄN</t>
        </is>
      </c>
      <c r="G347" t="inlineStr">
        <is>
          <t>YDRE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46248</v>
      </c>
      <c r="F348" t="inlineStr">
        <is>
          <t>ÖSTERGÖTLANDS LÄN</t>
        </is>
      </c>
      <c r="G348" t="inlineStr">
        <is>
          <t>YDRE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46248</v>
      </c>
      <c r="F349" t="inlineStr">
        <is>
          <t>ÖSTERGÖTLANDS LÄN</t>
        </is>
      </c>
      <c r="G349" t="inlineStr">
        <is>
          <t>YDRE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46248</v>
      </c>
      <c r="F350" t="inlineStr">
        <is>
          <t>ÖSTERGÖTLANDS LÄN</t>
        </is>
      </c>
      <c r="G350" t="inlineStr">
        <is>
          <t>YDRE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46001</v>
      </c>
      <c r="E351" s="1" t="n">
        <v>46248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46248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46240</v>
      </c>
      <c r="E353" s="1" t="n">
        <v>46248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46248</v>
      </c>
      <c r="F354" t="inlineStr">
        <is>
          <t>ÖSTERGÖTLANDS LÄN</t>
        </is>
      </c>
      <c r="G354" t="inlineStr">
        <is>
          <t>YDRE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62448-2025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46248</v>
      </c>
      <c r="F355" t="inlineStr">
        <is>
          <t>ÖSTERGÖTLANDS LÄN</t>
        </is>
      </c>
      <c r="G355" t="inlineStr">
        <is>
          <t>YDRE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62244-2025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46248</v>
      </c>
      <c r="F356" t="inlineStr">
        <is>
          <t>ÖSTERGÖTLANDS LÄN</t>
        </is>
      </c>
      <c r="G356" t="inlineStr">
        <is>
          <t>YDRE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46248</v>
      </c>
      <c r="F357" t="inlineStr">
        <is>
          <t>ÖSTERGÖTLANDS LÄN</t>
        </is>
      </c>
      <c r="G357" t="inlineStr">
        <is>
          <t>YDRE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62446-2025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46007</v>
      </c>
      <c r="E358" s="1" t="n">
        <v>46248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46248</v>
      </c>
      <c r="F359" t="inlineStr">
        <is>
          <t>ÖSTERGÖTLANDS LÄN</t>
        </is>
      </c>
      <c r="G359" t="inlineStr">
        <is>
          <t>YDRE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46248</v>
      </c>
      <c r="F360" t="inlineStr">
        <is>
          <t>ÖSTERGÖTLANDS LÄN</t>
        </is>
      </c>
      <c r="G360" t="inlineStr">
        <is>
          <t>YDRE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62245-2025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46006</v>
      </c>
      <c r="E361" s="1" t="n">
        <v>46248</v>
      </c>
      <c r="F361" t="inlineStr">
        <is>
          <t>ÖSTERGÖTLANDS LÄN</t>
        </is>
      </c>
      <c r="G361" t="inlineStr">
        <is>
          <t>YDRE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29148-2026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46248</v>
      </c>
      <c r="F362" t="inlineStr">
        <is>
          <t>ÖSTERGÖTLANDS LÄN</t>
        </is>
      </c>
      <c r="G362" t="inlineStr">
        <is>
          <t>YDRE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46248</v>
      </c>
      <c r="F363" t="inlineStr">
        <is>
          <t>ÖSTERGÖTLANDS LÄN</t>
        </is>
      </c>
      <c r="G363" t="inlineStr">
        <is>
          <t>YDRE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46248</v>
      </c>
      <c r="F364" t="inlineStr">
        <is>
          <t>ÖSTERGÖTLANDS LÄN</t>
        </is>
      </c>
      <c r="G364" t="inlineStr">
        <is>
          <t>YDRE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63536-2025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46248</v>
      </c>
      <c r="F365" t="inlineStr">
        <is>
          <t>ÖSTERGÖTLANDS LÄN</t>
        </is>
      </c>
      <c r="G365" t="inlineStr">
        <is>
          <t>YDRE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46248</v>
      </c>
      <c r="F366" t="inlineStr">
        <is>
          <t>ÖSTERGÖTLANDS LÄN</t>
        </is>
      </c>
      <c r="G366" t="inlineStr">
        <is>
          <t>YDRE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46248</v>
      </c>
      <c r="F367" t="inlineStr">
        <is>
          <t>ÖSTERGÖTLANDS LÄN</t>
        </is>
      </c>
      <c r="G367" t="inlineStr">
        <is>
          <t>YDRE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46248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63538-2025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46248</v>
      </c>
      <c r="F369" t="inlineStr">
        <is>
          <t>ÖSTERGÖTLANDS LÄN</t>
        </is>
      </c>
      <c r="G369" t="inlineStr">
        <is>
          <t>YDRE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46248</v>
      </c>
      <c r="F370" t="inlineStr">
        <is>
          <t>ÖSTERGÖTLANDS LÄN</t>
        </is>
      </c>
      <c r="G370" t="inlineStr">
        <is>
          <t>YDRE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46248</v>
      </c>
      <c r="F371" t="inlineStr">
        <is>
          <t>ÖSTERGÖTLANDS LÄN</t>
        </is>
      </c>
      <c r="G371" t="inlineStr">
        <is>
          <t>YDRE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46248</v>
      </c>
      <c r="F372" t="inlineStr">
        <is>
          <t>ÖSTERGÖTLANDS LÄN</t>
        </is>
      </c>
      <c r="G372" t="inlineStr">
        <is>
          <t>YDRE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46021</v>
      </c>
      <c r="E373" s="1" t="n">
        <v>46248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46248</v>
      </c>
      <c r="F374" t="inlineStr">
        <is>
          <t>ÖSTERGÖTLANDS LÄN</t>
        </is>
      </c>
      <c r="G374" t="inlineStr">
        <is>
          <t>YDRE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46248</v>
      </c>
      <c r="F375" t="inlineStr">
        <is>
          <t>ÖSTERGÖTLANDS LÄN</t>
        </is>
      </c>
      <c r="G375" t="inlineStr">
        <is>
          <t>YDRE</t>
        </is>
      </c>
      <c r="H375" t="inlineStr">
        <is>
          <t>Övriga Aktiebolag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46248</v>
      </c>
      <c r="F376" t="inlineStr">
        <is>
          <t>ÖSTERGÖTLANDS LÄN</t>
        </is>
      </c>
      <c r="G376" t="inlineStr">
        <is>
          <t>YDRE</t>
        </is>
      </c>
      <c r="H376" t="inlineStr">
        <is>
          <t>Sveaskog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46248</v>
      </c>
      <c r="F377" t="inlineStr">
        <is>
          <t>ÖSTERGÖTLANDS LÄN</t>
        </is>
      </c>
      <c r="G377" t="inlineStr">
        <is>
          <t>YDRE</t>
        </is>
      </c>
      <c r="H377" t="inlineStr">
        <is>
          <t>Sveaskog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6293-2026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46055</v>
      </c>
      <c r="E378" s="1" t="n">
        <v>46248</v>
      </c>
      <c r="F378" t="inlineStr">
        <is>
          <t>ÖSTERGÖTLANDS LÄN</t>
        </is>
      </c>
      <c r="G378" t="inlineStr">
        <is>
          <t>YDRE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46248</v>
      </c>
      <c r="F379" t="inlineStr">
        <is>
          <t>ÖSTERGÖTLANDS LÄN</t>
        </is>
      </c>
      <c r="G379" t="inlineStr">
        <is>
          <t>YDRE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46248</v>
      </c>
      <c r="F380" t="inlineStr">
        <is>
          <t>ÖSTERGÖTLANDS LÄN</t>
        </is>
      </c>
      <c r="G380" t="inlineStr">
        <is>
          <t>YDRE</t>
        </is>
      </c>
      <c r="H380" t="inlineStr">
        <is>
          <t>Övriga Aktiebolag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46248</v>
      </c>
      <c r="F381" t="inlineStr">
        <is>
          <t>ÖSTERGÖTLANDS LÄN</t>
        </is>
      </c>
      <c r="G381" t="inlineStr">
        <is>
          <t>YDRE</t>
        </is>
      </c>
      <c r="H381" t="inlineStr">
        <is>
          <t>Övriga Aktiebolag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46248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46248</v>
      </c>
      <c r="F383" t="inlineStr">
        <is>
          <t>ÖSTERGÖTLANDS LÄN</t>
        </is>
      </c>
      <c r="G383" t="inlineStr">
        <is>
          <t>YDRE</t>
        </is>
      </c>
      <c r="H383" t="inlineStr">
        <is>
          <t>Övriga Aktiebolag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46069</v>
      </c>
      <c r="E384" s="1" t="n">
        <v>46248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46248</v>
      </c>
      <c r="F385" t="inlineStr">
        <is>
          <t>ÖSTERGÖTLANDS LÄN</t>
        </is>
      </c>
      <c r="G385" t="inlineStr">
        <is>
          <t>YDRE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9409-2026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46248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46077</v>
      </c>
      <c r="E387" s="1" t="n">
        <v>46248</v>
      </c>
      <c r="F387" t="inlineStr">
        <is>
          <t>ÖSTERGÖTLANDS LÄN</t>
        </is>
      </c>
      <c r="G387" t="inlineStr">
        <is>
          <t>YDRE</t>
        </is>
      </c>
      <c r="H387" t="inlineStr">
        <is>
          <t>Övriga Aktiebolag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46248</v>
      </c>
      <c r="F388" t="inlineStr">
        <is>
          <t>ÖSTERGÖTLANDS LÄN</t>
        </is>
      </c>
      <c r="G388" t="inlineStr">
        <is>
          <t>YDRE</t>
        </is>
      </c>
      <c r="H388" t="inlineStr">
        <is>
          <t>Övriga Aktiebolag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10307-2026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46248</v>
      </c>
      <c r="F389" t="inlineStr">
        <is>
          <t>ÖSTERGÖTLANDS LÄN</t>
        </is>
      </c>
      <c r="G389" t="inlineStr">
        <is>
          <t>YDRE</t>
        </is>
      </c>
      <c r="H389" t="inlineStr">
        <is>
          <t>Övriga Aktiebolag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46248</v>
      </c>
      <c r="F390" t="inlineStr">
        <is>
          <t>ÖSTERGÖTLANDS LÄN</t>
        </is>
      </c>
      <c r="G390" t="inlineStr">
        <is>
          <t>YDRE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46248</v>
      </c>
      <c r="F391" t="inlineStr">
        <is>
          <t>ÖSTERGÖTLANDS LÄN</t>
        </is>
      </c>
      <c r="G391" t="inlineStr">
        <is>
          <t>YDRE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46248</v>
      </c>
      <c r="F392" t="inlineStr">
        <is>
          <t>ÖSTERGÖTLANDS LÄN</t>
        </is>
      </c>
      <c r="G392" t="inlineStr">
        <is>
          <t>YDRE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46248</v>
      </c>
      <c r="F393" t="inlineStr">
        <is>
          <t>ÖSTERGÖTLANDS LÄN</t>
        </is>
      </c>
      <c r="G393" t="inlineStr">
        <is>
          <t>YDRE</t>
        </is>
      </c>
      <c r="I393" t="n">
        <v>9.9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46248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46248</v>
      </c>
      <c r="F395" t="inlineStr">
        <is>
          <t>ÖSTERGÖTLANDS LÄN</t>
        </is>
      </c>
      <c r="G395" t="inlineStr">
        <is>
          <t>YDRE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46116</v>
      </c>
      <c r="E396" s="1" t="n">
        <v>46248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46248</v>
      </c>
      <c r="F397" t="inlineStr">
        <is>
          <t>ÖSTERGÖTLANDS LÄN</t>
        </is>
      </c>
      <c r="G397" t="inlineStr">
        <is>
          <t>YDRE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46248</v>
      </c>
      <c r="F398" t="inlineStr">
        <is>
          <t>ÖSTERGÖTLANDS LÄN</t>
        </is>
      </c>
      <c r="G398" t="inlineStr">
        <is>
          <t>YDRE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46248</v>
      </c>
      <c r="F399" t="inlineStr">
        <is>
          <t>ÖSTERGÖTLANDS LÄN</t>
        </is>
      </c>
      <c r="G399" t="inlineStr">
        <is>
          <t>YDRE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46125</v>
      </c>
      <c r="E400" s="1" t="n">
        <v>46248</v>
      </c>
      <c r="F400" t="inlineStr">
        <is>
          <t>ÖSTERGÖTLANDS LÄN</t>
        </is>
      </c>
      <c r="G400" t="inlineStr">
        <is>
          <t>YDRE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46125</v>
      </c>
      <c r="E401" s="1" t="n">
        <v>46248</v>
      </c>
      <c r="F401" t="inlineStr">
        <is>
          <t>ÖSTERGÖTLANDS LÄN</t>
        </is>
      </c>
      <c r="G401" t="inlineStr">
        <is>
          <t>YDRE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46248</v>
      </c>
      <c r="F402" t="inlineStr">
        <is>
          <t>ÖSTERGÖTLANDS LÄN</t>
        </is>
      </c>
      <c r="G402" t="inlineStr">
        <is>
          <t>YDRE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46248</v>
      </c>
      <c r="F403" t="inlineStr">
        <is>
          <t>ÖSTERGÖTLANDS LÄN</t>
        </is>
      </c>
      <c r="G403" t="inlineStr">
        <is>
          <t>YDRE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46248</v>
      </c>
      <c r="F404" t="inlineStr">
        <is>
          <t>ÖSTERGÖTLANDS LÄN</t>
        </is>
      </c>
      <c r="G404" t="inlineStr">
        <is>
          <t>YDRE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46248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46248</v>
      </c>
      <c r="F406" t="inlineStr">
        <is>
          <t>ÖSTERGÖTLANDS LÄN</t>
        </is>
      </c>
      <c r="G406" t="inlineStr">
        <is>
          <t>YDRE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44555-2025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45917</v>
      </c>
      <c r="E407" s="1" t="n">
        <v>46248</v>
      </c>
      <c r="F407" t="inlineStr">
        <is>
          <t>ÖSTERGÖTLANDS LÄN</t>
        </is>
      </c>
      <c r="G407" t="inlineStr">
        <is>
          <t>YDRE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45616</v>
      </c>
      <c r="E408" s="1" t="n">
        <v>46248</v>
      </c>
      <c r="F408" t="inlineStr">
        <is>
          <t>ÖSTERGÖTLANDS LÄN</t>
        </is>
      </c>
      <c r="G408" t="inlineStr">
        <is>
          <t>YDRE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5385-2021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44431</v>
      </c>
      <c r="E409" s="1" t="n">
        <v>46248</v>
      </c>
      <c r="F409" t="inlineStr">
        <is>
          <t>ÖSTERGÖTLANDS LÄN</t>
        </is>
      </c>
      <c r="G409" t="inlineStr">
        <is>
          <t>YDRE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46248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2053-2025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45839</v>
      </c>
      <c r="E411" s="1" t="n">
        <v>46248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2314-2025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45883</v>
      </c>
      <c r="E412" s="1" t="n">
        <v>46248</v>
      </c>
      <c r="F412" t="inlineStr">
        <is>
          <t>ÖSTERGÖTLANDS LÄN</t>
        </is>
      </c>
      <c r="G412" t="inlineStr">
        <is>
          <t>YDRE</t>
        </is>
      </c>
      <c r="H412" t="inlineStr">
        <is>
          <t>Övriga Aktiebolag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46248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46248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46248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2026-08-14T01:56:38Z</dcterms:created>
  <dcterms:modified xmlns:dcterms="http://purl.org/dc/terms/" xmlns:xsi="http://www.w3.org/2001/XMLSchema-instance" xsi:type="dcterms:W3CDTF">2026-08-14T01:56:39Z</dcterms:modified>
</cp:coreProperties>
</file>