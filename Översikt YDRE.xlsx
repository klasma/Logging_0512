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46222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46222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46222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46222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HYPERLINK("https://klasma.github.io/Logging_0512/knärot/A 46582-2023 karta knärot.png", "A 46582-2023")</f>
        <v/>
      </c>
      <c r="Y7">
        <f>HYPERLINK("https://klasma.github.io/Logging_0512/klagomål/A 46582-2023 FSC-klagomål.docx", "A 46582-2023")</f>
        <v/>
      </c>
      <c r="Z7">
        <f>HYPERLINK("https://klasma.github.io/Logging_0512/klagomålsmail/A 46582-2023 FSC-klagomål mail.docx", "A 46582-2023")</f>
        <v/>
      </c>
      <c r="AA7">
        <f>HYPERLINK("https://klasma.github.io/Logging_0512/tillsyn/A 46582-2023 tillsynsbegäran.docx", "A 46582-2023")</f>
        <v/>
      </c>
      <c r="AB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Y8">
        <f>HYPERLINK("https://klasma.github.io/Logging_0512/klagomål/A 8451-2025 FSC-klagomål.docx", "A 8451-2025")</f>
        <v/>
      </c>
      <c r="Z8">
        <f>HYPERLINK("https://klasma.github.io/Logging_0512/klagomålsmail/A 8451-2025 FSC-klagomål mail.docx", "A 8451-2025")</f>
        <v/>
      </c>
      <c r="AA8">
        <f>HYPERLINK("https://klasma.github.io/Logging_0512/tillsyn/A 8451-2025 tillsynsbegäran.docx", "A 8451-2025")</f>
        <v/>
      </c>
      <c r="AB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46222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Y9">
        <f>HYPERLINK("https://klasma.github.io/Logging_0512/klagomål/A 27469-2026 FSC-klagomål.docx", "A 27469-2026")</f>
        <v/>
      </c>
      <c r="Z9">
        <f>HYPERLINK("https://klasma.github.io/Logging_0512/klagomålsmail/A 27469-2026 FSC-klagomål mail.docx", "A 27469-2026")</f>
        <v/>
      </c>
      <c r="AA9">
        <f>HYPERLINK("https://klasma.github.io/Logging_0512/tillsyn/A 27469-2026 tillsynsbegäran.docx", "A 27469-2026")</f>
        <v/>
      </c>
      <c r="AB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46222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46222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1.8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Svinrot
Mattlummer</t>
        </is>
      </c>
      <c r="V11">
        <f>HYPERLINK("https://klasma.github.io/Logging_0512/artfynd/A 33676-2022 artfynd.xlsx", "A 33676-2022")</f>
        <v/>
      </c>
      <c r="W11">
        <f>HYPERLINK("https://klasma.github.io/Logging_0512/kartor/A 33676-2022 karta.png", "A 33676-2022")</f>
        <v/>
      </c>
      <c r="Y11">
        <f>HYPERLINK("https://klasma.github.io/Logging_0512/klagomål/A 33676-2022 FSC-klagomål.docx", "A 33676-2022")</f>
        <v/>
      </c>
      <c r="Z11">
        <f>HYPERLINK("https://klasma.github.io/Logging_0512/klagomålsmail/A 33676-2022 FSC-klagomål mail.docx", "A 33676-2022")</f>
        <v/>
      </c>
      <c r="AA11">
        <f>HYPERLINK("https://klasma.github.io/Logging_0512/tillsyn/A 33676-2022 tillsynsbegäran.docx", "A 33676-2022")</f>
        <v/>
      </c>
      <c r="AB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46222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Solvända
Mattlummer</t>
        </is>
      </c>
      <c r="V12">
        <f>HYPERLINK("https://klasma.github.io/Logging_0512/artfynd/A 52667-2022 artfynd.xlsx", "A 52667-2022")</f>
        <v/>
      </c>
      <c r="W12">
        <f>HYPERLINK("https://klasma.github.io/Logging_0512/kartor/A 52667-2022 karta.png", "A 52667-2022")</f>
        <v/>
      </c>
      <c r="Y12">
        <f>HYPERLINK("https://klasma.github.io/Logging_0512/klagomål/A 52667-2022 FSC-klagomål.docx", "A 52667-2022")</f>
        <v/>
      </c>
      <c r="Z12">
        <f>HYPERLINK("https://klasma.github.io/Logging_0512/klagomålsmail/A 52667-2022 FSC-klagomål mail.docx", "A 52667-2022")</f>
        <v/>
      </c>
      <c r="AA12">
        <f>HYPERLINK("https://klasma.github.io/Logging_0512/tillsyn/A 52667-2022 tillsynsbegäran.docx", "A 52667-2022")</f>
        <v/>
      </c>
      <c r="AB12">
        <f>HYPERLINK("https://klasma.github.io/Logging_0512/tillsynsmail/A 52667-2022 tillsynsbegäran mail.docx", "A 52667-2022")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46222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Tallticka
Blomkålssvamp</t>
        </is>
      </c>
      <c r="V13">
        <f>HYPERLINK("https://klasma.github.io/Logging_0512/artfynd/A 23612-2025 artfynd.xlsx", "A 23612-2025")</f>
        <v/>
      </c>
      <c r="W13">
        <f>HYPERLINK("https://klasma.github.io/Logging_0512/kartor/A 23612-2025 karta.png", "A 23612-2025")</f>
        <v/>
      </c>
      <c r="Y13">
        <f>HYPERLINK("https://klasma.github.io/Logging_0512/klagomål/A 23612-2025 FSC-klagomål.docx", "A 23612-2025")</f>
        <v/>
      </c>
      <c r="Z13">
        <f>HYPERLINK("https://klasma.github.io/Logging_0512/klagomålsmail/A 23612-2025 FSC-klagomål mail.docx", "A 23612-2025")</f>
        <v/>
      </c>
      <c r="AA13">
        <f>HYPERLINK("https://klasma.github.io/Logging_0512/tillsyn/A 23612-2025 tillsynsbegäran.docx", "A 23612-2025")</f>
        <v/>
      </c>
      <c r="AB13">
        <f>HYPERLINK("https://klasma.github.io/Logging_0512/tillsynsmail/A 23612-2025 tillsynsbegäran mail.docx", "A 23612-2025")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46222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Gulsparv
Grönsiska</t>
        </is>
      </c>
      <c r="V14">
        <f>HYPERLINK("https://klasma.github.io/Logging_0512/artfynd/A 58691-2023 artfynd.xlsx", "A 58691-2023")</f>
        <v/>
      </c>
      <c r="W14">
        <f>HYPERLINK("https://klasma.github.io/Logging_0512/kartor/A 58691-2023 karta.png", "A 58691-2023")</f>
        <v/>
      </c>
      <c r="Y14">
        <f>HYPERLINK("https://klasma.github.io/Logging_0512/klagomål/A 58691-2023 FSC-klagomål.docx", "A 58691-2023")</f>
        <v/>
      </c>
      <c r="Z14">
        <f>HYPERLINK("https://klasma.github.io/Logging_0512/klagomålsmail/A 58691-2023 FSC-klagomål mail.docx", "A 58691-2023")</f>
        <v/>
      </c>
      <c r="AA14">
        <f>HYPERLINK("https://klasma.github.io/Logging_0512/tillsyn/A 58691-2023 tillsynsbegäran.docx", "A 58691-2023")</f>
        <v/>
      </c>
      <c r="AB14">
        <f>HYPERLINK("https://klasma.github.io/Logging_0512/tillsynsmail/A 58691-2023 tillsynsbegäran mail.docx", "A 58691-2023")</f>
        <v/>
      </c>
      <c r="AC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46222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Svinrot
Blåsippa</t>
        </is>
      </c>
      <c r="V15">
        <f>HYPERLINK("https://klasma.github.io/Logging_0512/artfynd/A 17526-2024 artfynd.xlsx", "A 17526-2024")</f>
        <v/>
      </c>
      <c r="W15">
        <f>HYPERLINK("https://klasma.github.io/Logging_0512/kartor/A 17526-2024 karta.png", "A 17526-2024")</f>
        <v/>
      </c>
      <c r="Y15">
        <f>HYPERLINK("https://klasma.github.io/Logging_0512/klagomål/A 17526-2024 FSC-klagomål.docx", "A 17526-2024")</f>
        <v/>
      </c>
      <c r="Z15">
        <f>HYPERLINK("https://klasma.github.io/Logging_0512/klagomålsmail/A 17526-2024 FSC-klagomål mail.docx", "A 17526-2024")</f>
        <v/>
      </c>
      <c r="AA15">
        <f>HYPERLINK("https://klasma.github.io/Logging_0512/tillsyn/A 17526-2024 tillsynsbegäran.docx", "A 17526-2024")</f>
        <v/>
      </c>
      <c r="AB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46222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Västlig njurlav
Grynig filtlav</t>
        </is>
      </c>
      <c r="V16">
        <f>HYPERLINK("https://klasma.github.io/Logging_0512/artfynd/A 55870-2025 artfynd.xlsx", "A 55870-2025")</f>
        <v/>
      </c>
      <c r="W16">
        <f>HYPERLINK("https://klasma.github.io/Logging_0512/kartor/A 55870-2025 karta.png", "A 55870-2025")</f>
        <v/>
      </c>
      <c r="Y16">
        <f>HYPERLINK("https://klasma.github.io/Logging_0512/klagomål/A 55870-2025 FSC-klagomål.docx", "A 55870-2025")</f>
        <v/>
      </c>
      <c r="Z16">
        <f>HYPERLINK("https://klasma.github.io/Logging_0512/klagomålsmail/A 55870-2025 FSC-klagomål mail.docx", "A 55870-2025")</f>
        <v/>
      </c>
      <c r="AA16">
        <f>HYPERLINK("https://klasma.github.io/Logging_0512/tillsyn/A 55870-2025 tillsynsbegäran.docx", "A 55870-2025")</f>
        <v/>
      </c>
      <c r="AB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Vattenfladdermus</t>
        </is>
      </c>
      <c r="V17">
        <f>HYPERLINK("https://klasma.github.io/Logging_0512/artfynd/A 7621-2024 artfynd.xlsx", "A 7621-2024")</f>
        <v/>
      </c>
      <c r="W17">
        <f>HYPERLINK("https://klasma.github.io/Logging_0512/kartor/A 7621-2024 karta.png", "A 7621-2024")</f>
        <v/>
      </c>
      <c r="Y17">
        <f>HYPERLINK("https://klasma.github.io/Logging_0512/klagomål/A 7621-2024 FSC-klagomål.docx", "A 7621-2024")</f>
        <v/>
      </c>
      <c r="Z17">
        <f>HYPERLINK("https://klasma.github.io/Logging_0512/klagomålsmail/A 7621-2024 FSC-klagomål mail.docx", "A 7621-2024")</f>
        <v/>
      </c>
      <c r="AA17">
        <f>HYPERLINK("https://klasma.github.io/Logging_0512/tillsyn/A 7621-2024 tillsynsbegäran.docx", "A 7621-2024")</f>
        <v/>
      </c>
      <c r="AB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46222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Knärot
Ängsstarr</t>
        </is>
      </c>
      <c r="V18">
        <f>HYPERLINK("https://klasma.github.io/Logging_0512/artfynd/A 53091-2024 artfynd.xlsx", "A 53091-2024")</f>
        <v/>
      </c>
      <c r="W18">
        <f>HYPERLINK("https://klasma.github.io/Logging_0512/kartor/A 53091-2024 karta.png", "A 53091-2024")</f>
        <v/>
      </c>
      <c r="X18">
        <f>HYPERLINK("https://klasma.github.io/Logging_0512/knärot/A 53091-2024 karta knärot.png", "A 53091-2024")</f>
        <v/>
      </c>
      <c r="Y18">
        <f>HYPERLINK("https://klasma.github.io/Logging_0512/klagomål/A 53091-2024 FSC-klagomål.docx", "A 53091-2024")</f>
        <v/>
      </c>
      <c r="Z18">
        <f>HYPERLINK("https://klasma.github.io/Logging_0512/klagomålsmail/A 53091-2024 FSC-klagomål mail.docx", "A 53091-2024")</f>
        <v/>
      </c>
      <c r="AA18">
        <f>HYPERLINK("https://klasma.github.io/Logging_0512/tillsyn/A 53091-2024 tillsynsbegäran.docx", "A 53091-2024")</f>
        <v/>
      </c>
      <c r="AB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46222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Aspelandsfibbla
Smal guldkornsfibbla</t>
        </is>
      </c>
      <c r="V19">
        <f>HYPERLINK("https://klasma.github.io/Logging_0512/artfynd/A 26030-2023 artfynd.xlsx", "A 26030-2023")</f>
        <v/>
      </c>
      <c r="W19">
        <f>HYPERLINK("https://klasma.github.io/Logging_0512/kartor/A 26030-2023 karta.png", "A 26030-2023")</f>
        <v/>
      </c>
      <c r="Y19">
        <f>HYPERLINK("https://klasma.github.io/Logging_0512/klagomål/A 26030-2023 FSC-klagomål.docx", "A 26030-2023")</f>
        <v/>
      </c>
      <c r="Z19">
        <f>HYPERLINK("https://klasma.github.io/Logging_0512/klagomålsmail/A 26030-2023 FSC-klagomål mail.docx", "A 26030-2023")</f>
        <v/>
      </c>
      <c r="AA19">
        <f>HYPERLINK("https://klasma.github.io/Logging_0512/tillsyn/A 26030-2023 tillsynsbegäran.docx", "A 26030-2023")</f>
        <v/>
      </c>
      <c r="AB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46222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Garnlav
Brunpudrad nållav</t>
        </is>
      </c>
      <c r="V20">
        <f>HYPERLINK("https://klasma.github.io/Logging_0512/artfynd/A 25498-2022 artfynd.xlsx", "A 25498-2022")</f>
        <v/>
      </c>
      <c r="W20">
        <f>HYPERLINK("https://klasma.github.io/Logging_0512/kartor/A 25498-2022 karta.png", "A 25498-2022")</f>
        <v/>
      </c>
      <c r="Y20">
        <f>HYPERLINK("https://klasma.github.io/Logging_0512/klagomål/A 25498-2022 FSC-klagomål.docx", "A 25498-2022")</f>
        <v/>
      </c>
      <c r="Z20">
        <f>HYPERLINK("https://klasma.github.io/Logging_0512/klagomålsmail/A 25498-2022 FSC-klagomål mail.docx", "A 25498-2022")</f>
        <v/>
      </c>
      <c r="AA20">
        <f>HYPERLINK("https://klasma.github.io/Logging_0512/tillsyn/A 25498-2022 tillsynsbegäran.docx", "A 25498-2022")</f>
        <v/>
      </c>
      <c r="AB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46222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46222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46222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HYPERLINK("https://klasma.github.io/Logging_0512/artfynd/A 53277-2021 artfynd.xlsx", "A 53277-2021")</f>
        <v/>
      </c>
      <c r="W23">
        <f>HYPERLINK("https://klasma.github.io/Logging_0512/kartor/A 53277-2021 karta.png", "A 53277-2021")</f>
        <v/>
      </c>
      <c r="Y23">
        <f>HYPERLINK("https://klasma.github.io/Logging_0512/klagomål/A 53277-2021 FSC-klagomål.docx", "A 53277-2021")</f>
        <v/>
      </c>
      <c r="Z23">
        <f>HYPERLINK("https://klasma.github.io/Logging_0512/klagomålsmail/A 53277-2021 FSC-klagomål mail.docx", "A 53277-2021")</f>
        <v/>
      </c>
      <c r="AA23">
        <f>HYPERLINK("https://klasma.github.io/Logging_0512/tillsyn/A 53277-2021 tillsynsbegäran.docx", "A 53277-2021")</f>
        <v/>
      </c>
      <c r="AB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46222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HYPERLINK("https://klasma.github.io/Logging_0512/artfynd/A 65337-2021 artfynd.xlsx", "A 65337-2021")</f>
        <v/>
      </c>
      <c r="W24">
        <f>HYPERLINK("https://klasma.github.io/Logging_0512/kartor/A 65337-2021 karta.png", "A 65337-2021")</f>
        <v/>
      </c>
      <c r="Y24">
        <f>HYPERLINK("https://klasma.github.io/Logging_0512/klagomål/A 65337-2021 FSC-klagomål.docx", "A 65337-2021")</f>
        <v/>
      </c>
      <c r="Z24">
        <f>HYPERLINK("https://klasma.github.io/Logging_0512/klagomålsmail/A 65337-2021 FSC-klagomål mail.docx", "A 65337-2021")</f>
        <v/>
      </c>
      <c r="AA24">
        <f>HYPERLINK("https://klasma.github.io/Logging_0512/tillsyn/A 65337-2021 tillsynsbegäran.docx", "A 65337-2021")</f>
        <v/>
      </c>
      <c r="AB24">
        <f>HYPERLINK("https://klasma.github.io/Logging_0512/tillsynsmail/A 65337-2021 tillsynsbegäran mail.docx", "A 65337-2021")</f>
        <v/>
      </c>
    </row>
    <row r="25" ht="15" customHeight="1">
      <c r="A25" t="inlineStr">
        <is>
          <t>A 11273-2024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45371</v>
      </c>
      <c r="E25" s="1" t="n">
        <v>46222</v>
      </c>
      <c r="F25" t="inlineStr">
        <is>
          <t>ÖSTERGÖTLANDS LÄN</t>
        </is>
      </c>
      <c r="G25" t="inlineStr">
        <is>
          <t>YDRE</t>
        </is>
      </c>
      <c r="I25" t="n">
        <v>3.6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Lungrot</t>
        </is>
      </c>
      <c r="V25">
        <f>HYPERLINK("https://klasma.github.io/Logging_0512/artfynd/A 11273-2024 artfynd.xlsx", "A 11273-2024")</f>
        <v/>
      </c>
      <c r="W25">
        <f>HYPERLINK("https://klasma.github.io/Logging_0512/kartor/A 11273-2024 karta.png", "A 11273-2024")</f>
        <v/>
      </c>
      <c r="Y25">
        <f>HYPERLINK("https://klasma.github.io/Logging_0512/klagomål/A 11273-2024 FSC-klagomål.docx", "A 11273-2024")</f>
        <v/>
      </c>
      <c r="Z25">
        <f>HYPERLINK("https://klasma.github.io/Logging_0512/klagomålsmail/A 11273-2024 FSC-klagomål mail.docx", "A 11273-2024")</f>
        <v/>
      </c>
      <c r="AA25">
        <f>HYPERLINK("https://klasma.github.io/Logging_0512/tillsyn/A 11273-2024 tillsynsbegäran.docx", "A 11273-2024")</f>
        <v/>
      </c>
      <c r="AB25">
        <f>HYPERLINK("https://klasma.github.io/Logging_0512/tillsynsmail/A 11273-2024 tillsynsbegäran mail.docx", "A 11273-2024")</f>
        <v/>
      </c>
    </row>
    <row r="26" ht="15" customHeight="1">
      <c r="A26" t="inlineStr">
        <is>
          <t>A 4248-2026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46222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HYPERLINK("https://klasma.github.io/Logging_0512/artfynd/A 4248-2026 artfynd.xlsx", "A 4248-2026")</f>
        <v/>
      </c>
      <c r="W26">
        <f>HYPERLINK("https://klasma.github.io/Logging_0512/kartor/A 4248-2026 karta.png", "A 4248-2026")</f>
        <v/>
      </c>
      <c r="Y26">
        <f>HYPERLINK("https://klasma.github.io/Logging_0512/klagomål/A 4248-2026 FSC-klagomål.docx", "A 4248-2026")</f>
        <v/>
      </c>
      <c r="Z26">
        <f>HYPERLINK("https://klasma.github.io/Logging_0512/klagomålsmail/A 4248-2026 FSC-klagomål mail.docx", "A 4248-2026")</f>
        <v/>
      </c>
      <c r="AA26">
        <f>HYPERLINK("https://klasma.github.io/Logging_0512/tillsyn/A 4248-2026 tillsynsbegäran.docx", "A 4248-2026")</f>
        <v/>
      </c>
      <c r="AB26">
        <f>HYPERLINK("https://klasma.github.io/Logging_0512/tillsynsmail/A 4248-2026 tillsynsbegäran mail.docx", "A 4248-2026")</f>
        <v/>
      </c>
      <c r="AC26">
        <f>HYPERLINK("https://klasma.github.io/Logging_0512/fåglar/A 4248-2026 prioriterade fågelarter.docx", "A 4248-2026")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46222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HYPERLINK("https://klasma.github.io/Logging_0512/artfynd/A 44503-2025 artfynd.xlsx", "A 44503-2025")</f>
        <v/>
      </c>
      <c r="W27">
        <f>HYPERLINK("https://klasma.github.io/Logging_0512/kartor/A 44503-2025 karta.png", "A 44503-2025")</f>
        <v/>
      </c>
      <c r="Y27">
        <f>HYPERLINK("https://klasma.github.io/Logging_0512/klagomål/A 44503-2025 FSC-klagomål.docx", "A 44503-2025")</f>
        <v/>
      </c>
      <c r="Z27">
        <f>HYPERLINK("https://klasma.github.io/Logging_0512/klagomålsmail/A 44503-2025 FSC-klagomål mail.docx", "A 44503-2025")</f>
        <v/>
      </c>
      <c r="AA27">
        <f>HYPERLINK("https://klasma.github.io/Logging_0512/tillsyn/A 44503-2025 tillsynsbegäran.docx", "A 44503-2025")</f>
        <v/>
      </c>
      <c r="AB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46222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Kattfotslav</t>
        </is>
      </c>
      <c r="V28">
        <f>HYPERLINK("https://klasma.github.io/Logging_0512/artfynd/A 45771-2025 artfynd.xlsx", "A 45771-2025")</f>
        <v/>
      </c>
      <c r="W28">
        <f>HYPERLINK("https://klasma.github.io/Logging_0512/kartor/A 45771-2025 karta.png", "A 45771-2025")</f>
        <v/>
      </c>
      <c r="Y28">
        <f>HYPERLINK("https://klasma.github.io/Logging_0512/klagomål/A 45771-2025 FSC-klagomål.docx", "A 45771-2025")</f>
        <v/>
      </c>
      <c r="Z28">
        <f>HYPERLINK("https://klasma.github.io/Logging_0512/klagomålsmail/A 45771-2025 FSC-klagomål mail.docx", "A 45771-2025")</f>
        <v/>
      </c>
      <c r="AA28">
        <f>HYPERLINK("https://klasma.github.io/Logging_0512/tillsyn/A 45771-2025 tillsynsbegäran.docx", "A 45771-2025")</f>
        <v/>
      </c>
      <c r="AB28">
        <f>HYPERLINK("https://klasma.github.io/Logging_0512/tillsynsmail/A 45771-2025 tillsynsbegäran mail.docx", "A 45771-2025")</f>
        <v/>
      </c>
    </row>
    <row r="29" ht="15" customHeight="1">
      <c r="A29" t="inlineStr">
        <is>
          <t>A 45815-2025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46222</v>
      </c>
      <c r="F29" t="inlineStr">
        <is>
          <t>ÖSTERGÖTLANDS LÄN</t>
        </is>
      </c>
      <c r="G29" t="inlineStr">
        <is>
          <t>YDRE</t>
        </is>
      </c>
      <c r="I29" t="n">
        <v>6.3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Gullpudra</t>
        </is>
      </c>
      <c r="V29">
        <f>HYPERLINK("https://klasma.github.io/Logging_0512/artfynd/A 45815-2025 artfynd.xlsx", "A 45815-2025")</f>
        <v/>
      </c>
      <c r="W29">
        <f>HYPERLINK("https://klasma.github.io/Logging_0512/kartor/A 45815-2025 karta.png", "A 45815-2025")</f>
        <v/>
      </c>
      <c r="Y29">
        <f>HYPERLINK("https://klasma.github.io/Logging_0512/klagomål/A 45815-2025 FSC-klagomål.docx", "A 45815-2025")</f>
        <v/>
      </c>
      <c r="Z29">
        <f>HYPERLINK("https://klasma.github.io/Logging_0512/klagomålsmail/A 45815-2025 FSC-klagomål mail.docx", "A 45815-2025")</f>
        <v/>
      </c>
      <c r="AA29">
        <f>HYPERLINK("https://klasma.github.io/Logging_0512/tillsyn/A 45815-2025 tillsynsbegäran.docx", "A 45815-2025")</f>
        <v/>
      </c>
      <c r="AB29">
        <f>HYPERLINK("https://klasma.github.io/Logging_0512/tillsynsmail/A 45815-2025 tillsynsbegäran mail.docx", "A 45815-2025")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46222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HYPERLINK("https://klasma.github.io/Logging_0512/artfynd/A 45354-2023 artfynd.xlsx", "A 45354-2023")</f>
        <v/>
      </c>
      <c r="W30">
        <f>HYPERLINK("https://klasma.github.io/Logging_0512/kartor/A 45354-2023 karta.png", "A 45354-2023")</f>
        <v/>
      </c>
      <c r="Y30">
        <f>HYPERLINK("https://klasma.github.io/Logging_0512/klagomål/A 45354-2023 FSC-klagomål.docx", "A 45354-2023")</f>
        <v/>
      </c>
      <c r="Z30">
        <f>HYPERLINK("https://klasma.github.io/Logging_0512/klagomålsmail/A 45354-2023 FSC-klagomål mail.docx", "A 45354-2023")</f>
        <v/>
      </c>
      <c r="AA30">
        <f>HYPERLINK("https://klasma.github.io/Logging_0512/tillsyn/A 45354-2023 tillsynsbegäran.docx", "A 45354-2023")</f>
        <v/>
      </c>
      <c r="AB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46222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Smal guldkornsfibbla</t>
        </is>
      </c>
      <c r="V31">
        <f>HYPERLINK("https://klasma.github.io/Logging_0512/artfynd/A 19370-2025 artfynd.xlsx", "A 19370-2025")</f>
        <v/>
      </c>
      <c r="W31">
        <f>HYPERLINK("https://klasma.github.io/Logging_0512/kartor/A 19370-2025 karta.png", "A 19370-2025")</f>
        <v/>
      </c>
      <c r="Y31">
        <f>HYPERLINK("https://klasma.github.io/Logging_0512/klagomål/A 19370-2025 FSC-klagomål.docx", "A 19370-2025")</f>
        <v/>
      </c>
      <c r="Z31">
        <f>HYPERLINK("https://klasma.github.io/Logging_0512/klagomålsmail/A 19370-2025 FSC-klagomål mail.docx", "A 19370-2025")</f>
        <v/>
      </c>
      <c r="AA31">
        <f>HYPERLINK("https://klasma.github.io/Logging_0512/tillsyn/A 19370-2025 tillsynsbegäran.docx", "A 19370-2025")</f>
        <v/>
      </c>
      <c r="AB31">
        <f>HYPERLINK("https://klasma.github.io/Logging_0512/tillsynsmail/A 19370-2025 tillsynsbegäran mail.docx", "A 19370-2025")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46222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Slåtterfibbla</t>
        </is>
      </c>
      <c r="V32">
        <f>HYPERLINK("https://klasma.github.io/Logging_0512/artfynd/A 9051-2026 artfynd.xlsx", "A 9051-2026")</f>
        <v/>
      </c>
      <c r="W32">
        <f>HYPERLINK("https://klasma.github.io/Logging_0512/kartor/A 9051-2026 karta.png", "A 9051-2026")</f>
        <v/>
      </c>
      <c r="Y32">
        <f>HYPERLINK("https://klasma.github.io/Logging_0512/klagomål/A 9051-2026 FSC-klagomål.docx", "A 9051-2026")</f>
        <v/>
      </c>
      <c r="Z32">
        <f>HYPERLINK("https://klasma.github.io/Logging_0512/klagomålsmail/A 9051-2026 FSC-klagomål mail.docx", "A 9051-2026")</f>
        <v/>
      </c>
      <c r="AA32">
        <f>HYPERLINK("https://klasma.github.io/Logging_0512/tillsyn/A 9051-2026 tillsynsbegäran.docx", "A 9051-2026")</f>
        <v/>
      </c>
      <c r="AB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46222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HYPERLINK("https://klasma.github.io/Logging_0512/artfynd/A 8923-2026 artfynd.xlsx", "A 8923-2026")</f>
        <v/>
      </c>
      <c r="W33">
        <f>HYPERLINK("https://klasma.github.io/Logging_0512/kartor/A 8923-2026 karta.png", "A 8923-2026")</f>
        <v/>
      </c>
      <c r="Y33">
        <f>HYPERLINK("https://klasma.github.io/Logging_0512/klagomål/A 8923-2026 FSC-klagomål.docx", "A 8923-2026")</f>
        <v/>
      </c>
      <c r="Z33">
        <f>HYPERLINK("https://klasma.github.io/Logging_0512/klagomålsmail/A 8923-2026 FSC-klagomål mail.docx", "A 8923-2026")</f>
        <v/>
      </c>
      <c r="AA33">
        <f>HYPERLINK("https://klasma.github.io/Logging_0512/tillsyn/A 8923-2026 tillsynsbegäran.docx", "A 8923-2026")</f>
        <v/>
      </c>
      <c r="AB33">
        <f>HYPERLINK("https://klasma.github.io/Logging_0512/tillsynsmail/A 8923-2026 tillsynsbegäran mail.docx", "A 8923-2026")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46222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HYPERLINK("https://klasma.github.io/Logging_0512/artfynd/A 54075-2025 artfynd.xlsx", "A 54075-2025")</f>
        <v/>
      </c>
      <c r="W34">
        <f>HYPERLINK("https://klasma.github.io/Logging_0512/kartor/A 54075-2025 karta.png", "A 54075-2025")</f>
        <v/>
      </c>
      <c r="Y34">
        <f>HYPERLINK("https://klasma.github.io/Logging_0512/klagomål/A 54075-2025 FSC-klagomål.docx", "A 54075-2025")</f>
        <v/>
      </c>
      <c r="Z34">
        <f>HYPERLINK("https://klasma.github.io/Logging_0512/klagomålsmail/A 54075-2025 FSC-klagomål mail.docx", "A 54075-2025")</f>
        <v/>
      </c>
      <c r="AA34">
        <f>HYPERLINK("https://klasma.github.io/Logging_0512/tillsyn/A 54075-2025 tillsynsbegäran.docx", "A 54075-2025")</f>
        <v/>
      </c>
      <c r="AB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46222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HYPERLINK("https://klasma.github.io/Logging_0512/artfynd/A 54520-2025 artfynd.xlsx", "A 54520-2025")</f>
        <v/>
      </c>
      <c r="W35">
        <f>HYPERLINK("https://klasma.github.io/Logging_0512/kartor/A 54520-2025 karta.png", "A 54520-2025")</f>
        <v/>
      </c>
      <c r="Y35">
        <f>HYPERLINK("https://klasma.github.io/Logging_0512/klagomål/A 54520-2025 FSC-klagomål.docx", "A 54520-2025")</f>
        <v/>
      </c>
      <c r="Z35">
        <f>HYPERLINK("https://klasma.github.io/Logging_0512/klagomålsmail/A 54520-2025 FSC-klagomål mail.docx", "A 54520-2025")</f>
        <v/>
      </c>
      <c r="AA35">
        <f>HYPERLINK("https://klasma.github.io/Logging_0512/tillsyn/A 54520-2025 tillsynsbegäran.docx", "A 54520-2025")</f>
        <v/>
      </c>
      <c r="AB35">
        <f>HYPERLINK("https://klasma.github.io/Logging_0512/tillsynsmail/A 54520-2025 tillsynsbegäran mail.docx", "A 54520-2025")</f>
        <v/>
      </c>
      <c r="AC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46222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 sköldmossa</t>
        </is>
      </c>
      <c r="V36">
        <f>HYPERLINK("https://klasma.github.io/Logging_0512/artfynd/A 16704-2025 artfynd.xlsx", "A 16704-2025")</f>
        <v/>
      </c>
      <c r="W36">
        <f>HYPERLINK("https://klasma.github.io/Logging_0512/kartor/A 16704-2025 karta.png", "A 16704-2025")</f>
        <v/>
      </c>
      <c r="Y36">
        <f>HYPERLINK("https://klasma.github.io/Logging_0512/klagomål/A 16704-2025 FSC-klagomål.docx", "A 16704-2025")</f>
        <v/>
      </c>
      <c r="Z36">
        <f>HYPERLINK("https://klasma.github.io/Logging_0512/klagomålsmail/A 16704-2025 FSC-klagomål mail.docx", "A 16704-2025")</f>
        <v/>
      </c>
      <c r="AA36">
        <f>HYPERLINK("https://klasma.github.io/Logging_0512/tillsyn/A 16704-2025 tillsynsbegäran.docx", "A 16704-2025")</f>
        <v/>
      </c>
      <c r="AB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46222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Gullklöver</t>
        </is>
      </c>
      <c r="V37">
        <f>HYPERLINK("https://klasma.github.io/Logging_0512/artfynd/A 48344-2022 artfynd.xlsx", "A 48344-2022")</f>
        <v/>
      </c>
      <c r="W37">
        <f>HYPERLINK("https://klasma.github.io/Logging_0512/kartor/A 48344-2022 karta.png", "A 48344-2022")</f>
        <v/>
      </c>
      <c r="Y37">
        <f>HYPERLINK("https://klasma.github.io/Logging_0512/klagomål/A 48344-2022 FSC-klagomål.docx", "A 48344-2022")</f>
        <v/>
      </c>
      <c r="Z37">
        <f>HYPERLINK("https://klasma.github.io/Logging_0512/klagomålsmail/A 48344-2022 FSC-klagomål mail.docx", "A 48344-2022")</f>
        <v/>
      </c>
      <c r="AA37">
        <f>HYPERLINK("https://klasma.github.io/Logging_0512/tillsyn/A 48344-2022 tillsynsbegäran.docx", "A 48344-2022")</f>
        <v/>
      </c>
      <c r="AB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46222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Sommarfibbla</t>
        </is>
      </c>
      <c r="V38">
        <f>HYPERLINK("https://klasma.github.io/Logging_0512/artfynd/A 45765-2025 artfynd.xlsx", "A 45765-2025")</f>
        <v/>
      </c>
      <c r="W38">
        <f>HYPERLINK("https://klasma.github.io/Logging_0512/kartor/A 45765-2025 karta.png", "A 45765-2025")</f>
        <v/>
      </c>
      <c r="Y38">
        <f>HYPERLINK("https://klasma.github.io/Logging_0512/klagomål/A 45765-2025 FSC-klagomål.docx", "A 45765-2025")</f>
        <v/>
      </c>
      <c r="Z38">
        <f>HYPERLINK("https://klasma.github.io/Logging_0512/klagomålsmail/A 45765-2025 FSC-klagomål mail.docx", "A 45765-2025")</f>
        <v/>
      </c>
      <c r="AA38">
        <f>HYPERLINK("https://klasma.github.io/Logging_0512/tillsyn/A 45765-2025 tillsynsbegäran.docx", "A 45765-2025")</f>
        <v/>
      </c>
      <c r="AB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46222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Kryddspindling</t>
        </is>
      </c>
      <c r="V39">
        <f>HYPERLINK("https://klasma.github.io/Logging_0512/artfynd/A 11716-2025 artfynd.xlsx", "A 11716-2025")</f>
        <v/>
      </c>
      <c r="W39">
        <f>HYPERLINK("https://klasma.github.io/Logging_0512/kartor/A 11716-2025 karta.png", "A 11716-2025")</f>
        <v/>
      </c>
      <c r="Y39">
        <f>HYPERLINK("https://klasma.github.io/Logging_0512/klagomål/A 11716-2025 FSC-klagomål.docx", "A 11716-2025")</f>
        <v/>
      </c>
      <c r="Z39">
        <f>HYPERLINK("https://klasma.github.io/Logging_0512/klagomålsmail/A 11716-2025 FSC-klagomål mail.docx", "A 11716-2025")</f>
        <v/>
      </c>
      <c r="AA39">
        <f>HYPERLINK("https://klasma.github.io/Logging_0512/tillsyn/A 11716-2025 tillsynsbegäran.docx", "A 11716-2025")</f>
        <v/>
      </c>
      <c r="AB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46222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Korallrot</t>
        </is>
      </c>
      <c r="V40">
        <f>HYPERLINK("https://klasma.github.io/Logging_0512/artfynd/A 47467-2021 artfynd.xlsx", "A 47467-2021")</f>
        <v/>
      </c>
      <c r="W40">
        <f>HYPERLINK("https://klasma.github.io/Logging_0512/kartor/A 47467-2021 karta.png", "A 47467-2021")</f>
        <v/>
      </c>
      <c r="Y40">
        <f>HYPERLINK("https://klasma.github.io/Logging_0512/klagomål/A 47467-2021 FSC-klagomål.docx", "A 47467-2021")</f>
        <v/>
      </c>
      <c r="Z40">
        <f>HYPERLINK("https://klasma.github.io/Logging_0512/klagomålsmail/A 47467-2021 FSC-klagomål mail.docx", "A 47467-2021")</f>
        <v/>
      </c>
      <c r="AA40">
        <f>HYPERLINK("https://klasma.github.io/Logging_0512/tillsyn/A 47467-2021 tillsynsbegäran.docx", "A 47467-2021")</f>
        <v/>
      </c>
      <c r="AB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46222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Y41">
        <f>HYPERLINK("https://klasma.github.io/Logging_0512/klagomål/A 12669-2025 FSC-klagomål.docx", "A 12669-2025")</f>
        <v/>
      </c>
      <c r="Z41">
        <f>HYPERLINK("https://klasma.github.io/Logging_0512/klagomålsmail/A 12669-2025 FSC-klagomål mail.docx", "A 12669-2025")</f>
        <v/>
      </c>
      <c r="AA41">
        <f>HYPERLINK("https://klasma.github.io/Logging_0512/tillsyn/A 12669-2025 tillsynsbegäran.docx", "A 12669-2025")</f>
        <v/>
      </c>
      <c r="AB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46222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HYPERLINK("https://klasma.github.io/Logging_0512/artfynd/A 29200-2026 artfynd.xlsx", "A 29200-2026")</f>
        <v/>
      </c>
      <c r="W42">
        <f>HYPERLINK("https://klasma.github.io/Logging_0512/kartor/A 29200-2026 karta.png", "A 29200-2026")</f>
        <v/>
      </c>
      <c r="Y42">
        <f>HYPERLINK("https://klasma.github.io/Logging_0512/klagomål/A 29200-2026 FSC-klagomål.docx", "A 29200-2026")</f>
        <v/>
      </c>
      <c r="Z42">
        <f>HYPERLINK("https://klasma.github.io/Logging_0512/klagomålsmail/A 29200-2026 FSC-klagomål mail.docx", "A 29200-2026")</f>
        <v/>
      </c>
      <c r="AA42">
        <f>HYPERLINK("https://klasma.github.io/Logging_0512/tillsyn/A 29200-2026 tillsynsbegäran.docx", "A 29200-2026")</f>
        <v/>
      </c>
      <c r="AB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46222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Mosippa</t>
        </is>
      </c>
      <c r="V43">
        <f>HYPERLINK("https://klasma.github.io/Logging_0512/artfynd/A 53049-2024 artfynd.xlsx", "A 53049-2024")</f>
        <v/>
      </c>
      <c r="W43">
        <f>HYPERLINK("https://klasma.github.io/Logging_0512/kartor/A 53049-2024 karta.png", "A 53049-2024")</f>
        <v/>
      </c>
      <c r="Y43">
        <f>HYPERLINK("https://klasma.github.io/Logging_0512/klagomål/A 53049-2024 FSC-klagomål.docx", "A 53049-2024")</f>
        <v/>
      </c>
      <c r="Z43">
        <f>HYPERLINK("https://klasma.github.io/Logging_0512/klagomålsmail/A 53049-2024 FSC-klagomål mail.docx", "A 53049-2024")</f>
        <v/>
      </c>
      <c r="AA43">
        <f>HYPERLINK("https://klasma.github.io/Logging_0512/tillsyn/A 53049-2024 tillsynsbegäran.docx", "A 53049-2024")</f>
        <v/>
      </c>
      <c r="AB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46222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Grovticka</t>
        </is>
      </c>
      <c r="V44">
        <f>HYPERLINK("https://klasma.github.io/Logging_0512/artfynd/A 41907-2024 artfynd.xlsx", "A 41907-2024")</f>
        <v/>
      </c>
      <c r="W44">
        <f>HYPERLINK("https://klasma.github.io/Logging_0512/kartor/A 41907-2024 karta.png", "A 41907-2024")</f>
        <v/>
      </c>
      <c r="Y44">
        <f>HYPERLINK("https://klasma.github.io/Logging_0512/klagomål/A 41907-2024 FSC-klagomål.docx", "A 41907-2024")</f>
        <v/>
      </c>
      <c r="Z44">
        <f>HYPERLINK("https://klasma.github.io/Logging_0512/klagomålsmail/A 41907-2024 FSC-klagomål mail.docx", "A 41907-2024")</f>
        <v/>
      </c>
      <c r="AA44">
        <f>HYPERLINK("https://klasma.github.io/Logging_0512/tillsyn/A 41907-2024 tillsynsbegäran.docx", "A 41907-2024")</f>
        <v/>
      </c>
      <c r="AB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46222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Smal guldkornsfibbla</t>
        </is>
      </c>
      <c r="V45">
        <f>HYPERLINK("https://klasma.github.io/Logging_0512/artfynd/S 1389-2025 artfynd.xlsx", "S 1389-2025")</f>
        <v/>
      </c>
      <c r="W45">
        <f>HYPERLINK("https://klasma.github.io/Logging_0512/kartor/S 1389-2025 karta.png", "S 1389-2025")</f>
        <v/>
      </c>
      <c r="Y45">
        <f>HYPERLINK("https://klasma.github.io/Logging_0512/klagomål/S 1389-2025 FSC-klagomål.docx", "S 1389-2025")</f>
        <v/>
      </c>
      <c r="Z45">
        <f>HYPERLINK("https://klasma.github.io/Logging_0512/klagomålsmail/S 1389-2025 FSC-klagomål mail.docx", "S 1389-2025")</f>
        <v/>
      </c>
      <c r="AA45">
        <f>HYPERLINK("https://klasma.github.io/Logging_0512/tillsyn/S 1389-2025 tillsynsbegäran.docx", "S 1389-2025")</f>
        <v/>
      </c>
      <c r="AB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46222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HYPERLINK("https://klasma.github.io/Logging_0512/artfynd/S 490-2026 artfynd.xlsx", "S 490-2026")</f>
        <v/>
      </c>
      <c r="W46">
        <f>HYPERLINK("https://klasma.github.io/Logging_0512/kartor/S 490-2026 karta.png", "S 490-2026")</f>
        <v/>
      </c>
      <c r="Y46">
        <f>HYPERLINK("https://klasma.github.io/Logging_0512/klagomål/S 490-2026 FSC-klagomål.docx", "S 490-2026")</f>
        <v/>
      </c>
      <c r="Z46">
        <f>HYPERLINK("https://klasma.github.io/Logging_0512/klagomålsmail/S 490-2026 FSC-klagomål mail.docx", "S 490-2026")</f>
        <v/>
      </c>
      <c r="AA46">
        <f>HYPERLINK("https://klasma.github.io/Logging_0512/tillsyn/S 490-2026 tillsynsbegäran.docx", "S 490-2026")</f>
        <v/>
      </c>
      <c r="AB46">
        <f>HYPERLINK("https://klasma.github.io/Logging_0512/tillsynsmail/S 490-2026 tillsynsbegäran mail.docx", "S 490-2026")</f>
        <v/>
      </c>
      <c r="AC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46222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46222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46222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46222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46222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46222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46222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46222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46222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46222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46222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46222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46222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46222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46222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46222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46222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46222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46222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46222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46222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46222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46222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46222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46222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46222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46222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46222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46222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46222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46222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46222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46222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46222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46222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46222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46222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46222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46222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46222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46222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46222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46222</v>
      </c>
      <c r="F91" t="inlineStr">
        <is>
          <t>ÖSTERGÖTLANDS LÄN</t>
        </is>
      </c>
      <c r="G91" t="inlineStr">
        <is>
          <t>YDRE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47464-2021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46222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46222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46222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46222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46222</v>
      </c>
      <c r="F96" t="inlineStr">
        <is>
          <t>ÖSTERGÖTLANDS LÄN</t>
        </is>
      </c>
      <c r="G96" t="inlineStr">
        <is>
          <t>YDRE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46222</v>
      </c>
      <c r="F97" t="inlineStr">
        <is>
          <t>ÖSTERGÖTLANDS LÄN</t>
        </is>
      </c>
      <c r="G97" t="inlineStr">
        <is>
          <t>YDRE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46222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46222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46222</v>
      </c>
      <c r="F100" t="inlineStr">
        <is>
          <t>ÖSTERGÖTLANDS LÄN</t>
        </is>
      </c>
      <c r="G100" t="inlineStr">
        <is>
          <t>YDRE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55844-2021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44476</v>
      </c>
      <c r="E101" s="1" t="n">
        <v>46222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46222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46222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61690-2024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45647</v>
      </c>
      <c r="E104" s="1" t="n">
        <v>46222</v>
      </c>
      <c r="F104" t="inlineStr">
        <is>
          <t>ÖSTERGÖTLANDS LÄN</t>
        </is>
      </c>
      <c r="G104" t="inlineStr">
        <is>
          <t>YDRE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46222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27798-2024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45475</v>
      </c>
      <c r="E106" s="1" t="n">
        <v>46222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46222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46222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46222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46222</v>
      </c>
      <c r="F110" t="inlineStr">
        <is>
          <t>ÖSTERGÖTLANDS LÄN</t>
        </is>
      </c>
      <c r="G110" t="inlineStr">
        <is>
          <t>YDRE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46222</v>
      </c>
      <c r="F111" t="inlineStr">
        <is>
          <t>ÖSTERGÖTLANDS LÄN</t>
        </is>
      </c>
      <c r="G111" t="inlineStr">
        <is>
          <t>YDRE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46222</v>
      </c>
      <c r="F112" t="inlineStr">
        <is>
          <t>ÖSTERGÖTLANDS LÄN</t>
        </is>
      </c>
      <c r="G112" t="inlineStr">
        <is>
          <t>YDRE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46222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59816-2022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46222</v>
      </c>
      <c r="F114" t="inlineStr">
        <is>
          <t>ÖSTERGÖTLANDS LÄN</t>
        </is>
      </c>
      <c r="G114" t="inlineStr">
        <is>
          <t>YDRE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46222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46222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32016-2024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46222</v>
      </c>
      <c r="F117" t="inlineStr">
        <is>
          <t>ÖSTERGÖTLANDS LÄN</t>
        </is>
      </c>
      <c r="G117" t="inlineStr">
        <is>
          <t>YDRE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44966</v>
      </c>
      <c r="E118" s="1" t="n">
        <v>46222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46222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46222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28239-2023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46222</v>
      </c>
      <c r="F121" t="inlineStr">
        <is>
          <t>ÖSTERGÖTLANDS LÄN</t>
        </is>
      </c>
      <c r="G121" t="inlineStr">
        <is>
          <t>YDRE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46222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46222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46222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46222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46222</v>
      </c>
      <c r="F126" t="inlineStr">
        <is>
          <t>ÖSTERGÖTLANDS LÄN</t>
        </is>
      </c>
      <c r="G126" t="inlineStr">
        <is>
          <t>YDRE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46222</v>
      </c>
      <c r="F127" t="inlineStr">
        <is>
          <t>ÖSTERGÖTLANDS LÄN</t>
        </is>
      </c>
      <c r="G127" t="inlineStr">
        <is>
          <t>YDRE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46222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46222</v>
      </c>
      <c r="F129" t="inlineStr">
        <is>
          <t>ÖSTERGÖTLANDS LÄN</t>
        </is>
      </c>
      <c r="G129" t="inlineStr">
        <is>
          <t>YDRE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30726-2025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46222</v>
      </c>
      <c r="F130" t="inlineStr">
        <is>
          <t>ÖSTERGÖTLANDS LÄN</t>
        </is>
      </c>
      <c r="G130" t="inlineStr">
        <is>
          <t>YDRE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46222</v>
      </c>
      <c r="F131" t="inlineStr">
        <is>
          <t>ÖSTERGÖTLANDS LÄN</t>
        </is>
      </c>
      <c r="G131" t="inlineStr">
        <is>
          <t>YDRE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30531-2025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46222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46222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46222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46222</v>
      </c>
      <c r="F135" t="inlineStr">
        <is>
          <t>ÖSTERGÖTLANDS LÄN</t>
        </is>
      </c>
      <c r="G135" t="inlineStr">
        <is>
          <t>YDRE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46222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59296-2021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44490</v>
      </c>
      <c r="E137" s="1" t="n">
        <v>46222</v>
      </c>
      <c r="F137" t="inlineStr">
        <is>
          <t>ÖSTERGÖTLANDS LÄN</t>
        </is>
      </c>
      <c r="G137" t="inlineStr">
        <is>
          <t>YDRE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43100-2025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46222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46222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46222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46222</v>
      </c>
      <c r="F141" t="inlineStr">
        <is>
          <t>ÖSTERGÖTLANDS LÄN</t>
        </is>
      </c>
      <c r="G141" t="inlineStr">
        <is>
          <t>YDRE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43232-2025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46222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12569-2023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46222</v>
      </c>
      <c r="F143" t="inlineStr">
        <is>
          <t>ÖSTERGÖTLANDS LÄN</t>
        </is>
      </c>
      <c r="G143" t="inlineStr">
        <is>
          <t>YDRE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14101-2022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44651</v>
      </c>
      <c r="E144" s="1" t="n">
        <v>46222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44498-2025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46222</v>
      </c>
      <c r="F145" t="inlineStr">
        <is>
          <t>ÖSTERGÖTLANDS LÄN</t>
        </is>
      </c>
      <c r="G145" t="inlineStr">
        <is>
          <t>YDRE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46222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32635-2025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45838</v>
      </c>
      <c r="E147" s="1" t="n">
        <v>46222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44468-2025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46222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46222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46222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11567-2023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46222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46222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46222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46222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46222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46222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46086-2025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45924</v>
      </c>
      <c r="E157" s="1" t="n">
        <v>46222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46222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50328-2024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46222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6293-2026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46055</v>
      </c>
      <c r="E160" s="1" t="n">
        <v>46222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46222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47515-2025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46222</v>
      </c>
      <c r="F162" t="inlineStr">
        <is>
          <t>ÖSTERGÖTLANDS LÄN</t>
        </is>
      </c>
      <c r="G162" t="inlineStr">
        <is>
          <t>YDRE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47514-2025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46222</v>
      </c>
      <c r="F163" t="inlineStr">
        <is>
          <t>ÖSTERGÖTLANDS LÄN</t>
        </is>
      </c>
      <c r="G163" t="inlineStr">
        <is>
          <t>YDRE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46222</v>
      </c>
      <c r="F164" t="inlineStr">
        <is>
          <t>ÖSTERGÖTLANDS LÄN</t>
        </is>
      </c>
      <c r="G164" t="inlineStr">
        <is>
          <t>YDRE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46222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44417</v>
      </c>
      <c r="E166" s="1" t="n">
        <v>46222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46222</v>
      </c>
      <c r="F167" t="inlineStr">
        <is>
          <t>ÖSTERGÖTLANDS LÄN</t>
        </is>
      </c>
      <c r="G167" t="inlineStr">
        <is>
          <t>YDRE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46222</v>
      </c>
      <c r="F168" t="inlineStr">
        <is>
          <t>ÖSTERGÖTLANDS LÄN</t>
        </is>
      </c>
      <c r="G168" t="inlineStr">
        <is>
          <t>YDRE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46222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46222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46222</v>
      </c>
      <c r="F171" t="inlineStr">
        <is>
          <t>ÖSTERGÖTLANDS LÄN</t>
        </is>
      </c>
      <c r="G171" t="inlineStr">
        <is>
          <t>YDRE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46222</v>
      </c>
      <c r="F172" t="inlineStr">
        <is>
          <t>ÖSTERGÖTLANDS LÄN</t>
        </is>
      </c>
      <c r="G172" t="inlineStr">
        <is>
          <t>YDRE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46222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46222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49450-2025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46222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46222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46222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50018-2025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46222</v>
      </c>
      <c r="F178" t="inlineStr">
        <is>
          <t>ÖSTERGÖTLANDS LÄN</t>
        </is>
      </c>
      <c r="G178" t="inlineStr">
        <is>
          <t>YDRE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45198-2024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45575</v>
      </c>
      <c r="E179" s="1" t="n">
        <v>46222</v>
      </c>
      <c r="F179" t="inlineStr">
        <is>
          <t>ÖSTERGÖTLANDS LÄN</t>
        </is>
      </c>
      <c r="G179" t="inlineStr">
        <is>
          <t>YDRE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7628-2026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46222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46222</v>
      </c>
      <c r="F181" t="inlineStr">
        <is>
          <t>ÖSTERGÖTLANDS LÄN</t>
        </is>
      </c>
      <c r="G181" t="inlineStr">
        <is>
          <t>YDRE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7619-2026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46222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46222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46222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46222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58413-2024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45634</v>
      </c>
      <c r="E186" s="1" t="n">
        <v>46222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61753-2024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46222</v>
      </c>
      <c r="F187" t="inlineStr">
        <is>
          <t>ÖSTERGÖTLANDS LÄN</t>
        </is>
      </c>
      <c r="G187" t="inlineStr">
        <is>
          <t>YDRE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46222</v>
      </c>
      <c r="F188" t="inlineStr">
        <is>
          <t>ÖSTERGÖTLANDS LÄN</t>
        </is>
      </c>
      <c r="G188" t="inlineStr">
        <is>
          <t>YDRE</t>
        </is>
      </c>
      <c r="H188" t="inlineStr">
        <is>
          <t>Övriga Aktiebolag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46222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46222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46222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46222</v>
      </c>
      <c r="F192" t="inlineStr">
        <is>
          <t>ÖSTERGÖTLANDS LÄN</t>
        </is>
      </c>
      <c r="G192" t="inlineStr">
        <is>
          <t>YDRE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46222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40698-2023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46222</v>
      </c>
      <c r="F194" t="inlineStr">
        <is>
          <t>ÖSTERGÖTLANDS LÄN</t>
        </is>
      </c>
      <c r="G194" t="inlineStr">
        <is>
          <t>YDRE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9054-2026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46222</v>
      </c>
      <c r="F195" t="inlineStr">
        <is>
          <t>ÖSTERGÖTLANDS LÄN</t>
        </is>
      </c>
      <c r="G195" t="inlineStr">
        <is>
          <t>YDRE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8986-2026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46222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46222</v>
      </c>
      <c r="F197" t="inlineStr">
        <is>
          <t>ÖSTERGÖTLANDS LÄN</t>
        </is>
      </c>
      <c r="G197" t="inlineStr">
        <is>
          <t>YDRE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44562</v>
      </c>
      <c r="E198" s="1" t="n">
        <v>46222</v>
      </c>
      <c r="F198" t="inlineStr">
        <is>
          <t>ÖSTERGÖTLANDS LÄN</t>
        </is>
      </c>
      <c r="G198" t="inlineStr">
        <is>
          <t>YDRE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26026-2023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46222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61942-2021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44502</v>
      </c>
      <c r="E200" s="1" t="n">
        <v>46222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54066-2025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46222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46222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54063-2025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46222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9409-2026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46222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46222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46222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46222</v>
      </c>
      <c r="F207" t="inlineStr">
        <is>
          <t>ÖSTERGÖTLANDS LÄN</t>
        </is>
      </c>
      <c r="G207" t="inlineStr">
        <is>
          <t>YDRE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46222</v>
      </c>
      <c r="F208" t="inlineStr">
        <is>
          <t>ÖSTERGÖTLANDS LÄN</t>
        </is>
      </c>
      <c r="G208" t="inlineStr">
        <is>
          <t>YDRE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10385-2026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46222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46222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46222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54569-2025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46222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54513-2025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46222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46222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46222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46222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46222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46222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46222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46222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46222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46222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51153-2022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46222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46222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61205-2023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45264</v>
      </c>
      <c r="E225" s="1" t="n">
        <v>46222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60131-2025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46222</v>
      </c>
      <c r="F226" t="inlineStr">
        <is>
          <t>ÖSTERGÖTLANDS LÄN</t>
        </is>
      </c>
      <c r="G226" t="inlineStr">
        <is>
          <t>YDRE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60135-2025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46222</v>
      </c>
      <c r="F227" t="inlineStr">
        <is>
          <t>ÖSTERGÖTLANDS LÄN</t>
        </is>
      </c>
      <c r="G227" t="inlineStr">
        <is>
          <t>YDRE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46222</v>
      </c>
      <c r="F228" t="inlineStr">
        <is>
          <t>ÖSTERGÖTLANDS LÄN</t>
        </is>
      </c>
      <c r="G228" t="inlineStr">
        <is>
          <t>YDRE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13689-2026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46222</v>
      </c>
      <c r="F229" t="inlineStr">
        <is>
          <t>ÖSTERGÖTLANDS LÄN</t>
        </is>
      </c>
      <c r="G229" t="inlineStr">
        <is>
          <t>YDRE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36711-2023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46222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46222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46222</v>
      </c>
      <c r="F232" t="inlineStr">
        <is>
          <t>ÖSTERGÖTLANDS LÄN</t>
        </is>
      </c>
      <c r="G232" t="inlineStr">
        <is>
          <t>YDRE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14143-2026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46222</v>
      </c>
      <c r="F233" t="inlineStr">
        <is>
          <t>ÖSTERGÖTLANDS LÄN</t>
        </is>
      </c>
      <c r="G233" t="inlineStr">
        <is>
          <t>YDRE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46222</v>
      </c>
      <c r="F234" t="inlineStr">
        <is>
          <t>ÖSTERGÖTLANDS LÄN</t>
        </is>
      </c>
      <c r="G234" t="inlineStr">
        <is>
          <t>YDRE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46222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46222</v>
      </c>
      <c r="F236" t="inlineStr">
        <is>
          <t>ÖSTERGÖTLANDS LÄN</t>
        </is>
      </c>
      <c r="G236" t="inlineStr">
        <is>
          <t>YDRE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46222</v>
      </c>
      <c r="F237" t="inlineStr">
        <is>
          <t>ÖSTERGÖTLANDS LÄN</t>
        </is>
      </c>
      <c r="G237" t="inlineStr">
        <is>
          <t>YDRE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46222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46222</v>
      </c>
      <c r="F239" t="inlineStr">
        <is>
          <t>ÖSTERGÖTLANDS LÄN</t>
        </is>
      </c>
      <c r="G239" t="inlineStr">
        <is>
          <t>YDRE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62244-2025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46222</v>
      </c>
      <c r="F240" t="inlineStr">
        <is>
          <t>ÖSTERGÖTLANDS LÄN</t>
        </is>
      </c>
      <c r="G240" t="inlineStr">
        <is>
          <t>YDRE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46222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46222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46222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62446-2025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46222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46222</v>
      </c>
      <c r="F245" t="inlineStr">
        <is>
          <t>ÖSTERGÖTLANDS LÄN</t>
        </is>
      </c>
      <c r="G245" t="inlineStr">
        <is>
          <t>YDRE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63264-2025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46222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46222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46222</v>
      </c>
      <c r="F248" t="inlineStr">
        <is>
          <t>ÖSTERGÖTLANDS LÄN</t>
        </is>
      </c>
      <c r="G248" t="inlineStr">
        <is>
          <t>YDRE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63237-2025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46222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46222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63536-2025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46222</v>
      </c>
      <c r="F251" t="inlineStr">
        <is>
          <t>ÖSTERGÖTLANDS LÄN</t>
        </is>
      </c>
      <c r="G251" t="inlineStr">
        <is>
          <t>YDRE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46222</v>
      </c>
      <c r="F252" t="inlineStr">
        <is>
          <t>ÖSTERGÖTLANDS LÄN</t>
        </is>
      </c>
      <c r="G252" t="inlineStr">
        <is>
          <t>YDRE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46222</v>
      </c>
      <c r="F253" t="inlineStr">
        <is>
          <t>ÖSTERGÖTLANDS LÄN</t>
        </is>
      </c>
      <c r="G253" t="inlineStr">
        <is>
          <t>YDRE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57290-2021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46222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46222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7026-2025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46222</v>
      </c>
      <c r="F256" t="inlineStr">
        <is>
          <t>ÖSTERGÖTLANDS LÄN</t>
        </is>
      </c>
      <c r="G256" t="inlineStr">
        <is>
          <t>YDRE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1176-2022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46222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44987</v>
      </c>
      <c r="E258" s="1" t="n">
        <v>46222</v>
      </c>
      <c r="F258" t="inlineStr">
        <is>
          <t>ÖSTERGÖTLANDS LÄN</t>
        </is>
      </c>
      <c r="G258" t="inlineStr">
        <is>
          <t>YDRE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42343-2022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44831</v>
      </c>
      <c r="E259" s="1" t="n">
        <v>46222</v>
      </c>
      <c r="F259" t="inlineStr">
        <is>
          <t>ÖSTERGÖTLANDS LÄN</t>
        </is>
      </c>
      <c r="G259" t="inlineStr">
        <is>
          <t>YDRE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46222</v>
      </c>
      <c r="F260" t="inlineStr">
        <is>
          <t>ÖSTERGÖTLANDS LÄN</t>
        </is>
      </c>
      <c r="G260" t="inlineStr">
        <is>
          <t>YDRE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46222</v>
      </c>
      <c r="F261" t="inlineStr">
        <is>
          <t>ÖSTERGÖTLANDS LÄN</t>
        </is>
      </c>
      <c r="G261" t="inlineStr">
        <is>
          <t>YDRE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68983-2021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46222</v>
      </c>
      <c r="F262" t="inlineStr">
        <is>
          <t>ÖSTERGÖTLANDS LÄN</t>
        </is>
      </c>
      <c r="G262" t="inlineStr">
        <is>
          <t>YDRE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46222</v>
      </c>
      <c r="F263" t="inlineStr">
        <is>
          <t>ÖSTERGÖTLANDS LÄN</t>
        </is>
      </c>
      <c r="G263" t="inlineStr">
        <is>
          <t>YDRE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17184-2026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46116</v>
      </c>
      <c r="E264" s="1" t="n">
        <v>46222</v>
      </c>
      <c r="F264" t="inlineStr">
        <is>
          <t>ÖSTERGÖTLANDS LÄN</t>
        </is>
      </c>
      <c r="G264" t="inlineStr">
        <is>
          <t>YDRE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14953-2024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46222</v>
      </c>
      <c r="F265" t="inlineStr">
        <is>
          <t>ÖSTERGÖTLANDS LÄN</t>
        </is>
      </c>
      <c r="G265" t="inlineStr">
        <is>
          <t>YDRE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46222</v>
      </c>
      <c r="F266" t="inlineStr">
        <is>
          <t>ÖSTERGÖTLANDS LÄN</t>
        </is>
      </c>
      <c r="G266" t="inlineStr">
        <is>
          <t>YDRE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17384-2026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46222</v>
      </c>
      <c r="F267" t="inlineStr">
        <is>
          <t>ÖSTERGÖTLANDS LÄN</t>
        </is>
      </c>
      <c r="G267" t="inlineStr">
        <is>
          <t>YDRE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30126-2023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46222</v>
      </c>
      <c r="F268" t="inlineStr">
        <is>
          <t>ÖSTERGÖTLANDS LÄN</t>
        </is>
      </c>
      <c r="G268" t="inlineStr">
        <is>
          <t>YDRE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46222</v>
      </c>
      <c r="F269" t="inlineStr">
        <is>
          <t>ÖSTERGÖTLANDS LÄN</t>
        </is>
      </c>
      <c r="G269" t="inlineStr">
        <is>
          <t>YDRE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18181-2026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46222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46222</v>
      </c>
      <c r="F271" t="inlineStr">
        <is>
          <t>ÖSTERGÖTLANDS LÄN</t>
        </is>
      </c>
      <c r="G271" t="inlineStr">
        <is>
          <t>YDRE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46222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46222</v>
      </c>
      <c r="F273" t="inlineStr">
        <is>
          <t>ÖSTERGÖTLANDS LÄN</t>
        </is>
      </c>
      <c r="G273" t="inlineStr">
        <is>
          <t>YDRE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62815-2021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44504</v>
      </c>
      <c r="E274" s="1" t="n">
        <v>46222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46222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37567-2023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46222</v>
      </c>
      <c r="F276" t="inlineStr">
        <is>
          <t>ÖSTERGÖTLANDS LÄN</t>
        </is>
      </c>
      <c r="G276" t="inlineStr">
        <is>
          <t>YDRE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14184-2022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44651</v>
      </c>
      <c r="E277" s="1" t="n">
        <v>46222</v>
      </c>
      <c r="F277" t="inlineStr">
        <is>
          <t>ÖSTERGÖTLANDS LÄN</t>
        </is>
      </c>
      <c r="G277" t="inlineStr">
        <is>
          <t>YDRE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62485-2021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46222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45583</v>
      </c>
      <c r="E279" s="1" t="n">
        <v>46222</v>
      </c>
      <c r="F279" t="inlineStr">
        <is>
          <t>ÖSTERGÖTLANDS LÄN</t>
        </is>
      </c>
      <c r="G279" t="inlineStr">
        <is>
          <t>YDRE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45436</v>
      </c>
      <c r="E280" s="1" t="n">
        <v>46222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57590-2023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46222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46222</v>
      </c>
      <c r="F282" t="inlineStr">
        <is>
          <t>ÖSTERGÖTLANDS LÄN</t>
        </is>
      </c>
      <c r="G282" t="inlineStr">
        <is>
          <t>YDRE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46222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46222</v>
      </c>
      <c r="F284" t="inlineStr">
        <is>
          <t>ÖSTERGÖTLANDS LÄN</t>
        </is>
      </c>
      <c r="G284" t="inlineStr">
        <is>
          <t>YDRE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46222</v>
      </c>
      <c r="F285" t="inlineStr">
        <is>
          <t>ÖSTERGÖTLANDS LÄN</t>
        </is>
      </c>
      <c r="G285" t="inlineStr">
        <is>
          <t>YDRE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36676-2025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45871</v>
      </c>
      <c r="E286" s="1" t="n">
        <v>46222</v>
      </c>
      <c r="F286" t="inlineStr">
        <is>
          <t>ÖSTERGÖTLANDS LÄN</t>
        </is>
      </c>
      <c r="G286" t="inlineStr">
        <is>
          <t>YDRE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30544-2025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46222</v>
      </c>
      <c r="F287" t="inlineStr">
        <is>
          <t>ÖSTERGÖTLANDS LÄN</t>
        </is>
      </c>
      <c r="G287" t="inlineStr">
        <is>
          <t>YDRE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46222</v>
      </c>
      <c r="F288" t="inlineStr">
        <is>
          <t>ÖSTERGÖTLANDS LÄN</t>
        </is>
      </c>
      <c r="G288" t="inlineStr">
        <is>
          <t>YDRE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30766-2025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46222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46222</v>
      </c>
      <c r="F290" t="inlineStr">
        <is>
          <t>ÖSTERGÖTLANDS LÄN</t>
        </is>
      </c>
      <c r="G290" t="inlineStr">
        <is>
          <t>YDRE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46222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46222</v>
      </c>
      <c r="F292" t="inlineStr">
        <is>
          <t>ÖSTERGÖTLANDS LÄN</t>
        </is>
      </c>
      <c r="G292" t="inlineStr">
        <is>
          <t>YDRE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30535-2025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46222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44505-2025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46222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46222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46222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46222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46222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46222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46222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46222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46222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46222</v>
      </c>
      <c r="F303" t="inlineStr">
        <is>
          <t>ÖSTERGÖTLANDS LÄN</t>
        </is>
      </c>
      <c r="G303" t="inlineStr">
        <is>
          <t>YDRE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43335-2025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46222</v>
      </c>
      <c r="F304" t="inlineStr">
        <is>
          <t>ÖSTERGÖTLANDS LÄN</t>
        </is>
      </c>
      <c r="G304" t="inlineStr">
        <is>
          <t>YDRE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46222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24637-2024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45460</v>
      </c>
      <c r="E306" s="1" t="n">
        <v>46222</v>
      </c>
      <c r="F306" t="inlineStr">
        <is>
          <t>ÖSTERGÖTLANDS LÄN</t>
        </is>
      </c>
      <c r="G306" t="inlineStr">
        <is>
          <t>YDRE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27737-2022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44743</v>
      </c>
      <c r="E307" s="1" t="n">
        <v>46222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46222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46222</v>
      </c>
      <c r="F309" t="inlineStr">
        <is>
          <t>ÖSTERGÖTLANDS LÄN</t>
        </is>
      </c>
      <c r="G309" t="inlineStr">
        <is>
          <t>YDRE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26603-2026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46222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28991-2022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46222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17309-2024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45414</v>
      </c>
      <c r="E312" s="1" t="n">
        <v>46222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46222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21064-2026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46222</v>
      </c>
      <c r="F314" t="inlineStr">
        <is>
          <t>ÖSTERGÖTLANDS LÄN</t>
        </is>
      </c>
      <c r="G314" t="inlineStr">
        <is>
          <t>YDRE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21063-2026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46222</v>
      </c>
      <c r="F315" t="inlineStr">
        <is>
          <t>ÖSTERGÖTLANDS LÄN</t>
        </is>
      </c>
      <c r="G315" t="inlineStr">
        <is>
          <t>YDRE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46222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21070-2026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46222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63830-2023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45278</v>
      </c>
      <c r="E318" s="1" t="n">
        <v>46222</v>
      </c>
      <c r="F318" t="inlineStr">
        <is>
          <t>ÖSTERGÖTLANDS LÄN</t>
        </is>
      </c>
      <c r="G318" t="inlineStr">
        <is>
          <t>YDRE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21117-2026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46222</v>
      </c>
      <c r="F319" t="inlineStr">
        <is>
          <t>ÖSTERGÖTLANDS LÄN</t>
        </is>
      </c>
      <c r="G319" t="inlineStr">
        <is>
          <t>YDRE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46222</v>
      </c>
      <c r="F320" t="inlineStr">
        <is>
          <t>ÖSTERGÖTLANDS LÄN</t>
        </is>
      </c>
      <c r="G320" t="inlineStr">
        <is>
          <t>YDRE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21982-2022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44711</v>
      </c>
      <c r="E321" s="1" t="n">
        <v>46222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16289-2022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44670</v>
      </c>
      <c r="E322" s="1" t="n">
        <v>46222</v>
      </c>
      <c r="F322" t="inlineStr">
        <is>
          <t>ÖSTERGÖTLANDS LÄN</t>
        </is>
      </c>
      <c r="G322" t="inlineStr">
        <is>
          <t>YDRE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46222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45310</v>
      </c>
      <c r="E324" s="1" t="n">
        <v>46222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27700-2026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46190</v>
      </c>
      <c r="E325" s="1" t="n">
        <v>46222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46222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55395-2023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46222</v>
      </c>
      <c r="F327" t="inlineStr">
        <is>
          <t>ÖSTERGÖTLANDS LÄN</t>
        </is>
      </c>
      <c r="G327" t="inlineStr">
        <is>
          <t>YDRE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46222</v>
      </c>
      <c r="F328" t="inlineStr">
        <is>
          <t>ÖSTERGÖTLANDS LÄN</t>
        </is>
      </c>
      <c r="G328" t="inlineStr">
        <is>
          <t>YDRE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61257-2023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46222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44939</v>
      </c>
      <c r="E330" s="1" t="n">
        <v>46222</v>
      </c>
      <c r="F330" t="inlineStr">
        <is>
          <t>ÖSTERGÖTLANDS LÄN</t>
        </is>
      </c>
      <c r="G330" t="inlineStr">
        <is>
          <t>YDRE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46222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22312-2026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46154</v>
      </c>
      <c r="E332" s="1" t="n">
        <v>46222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22175-2026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46222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45447-2023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46222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71524-2021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46222</v>
      </c>
      <c r="F335" t="inlineStr">
        <is>
          <t>ÖSTERGÖTLANDS LÄN</t>
        </is>
      </c>
      <c r="G335" t="inlineStr">
        <is>
          <t>YDRE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46222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58414-2024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45634</v>
      </c>
      <c r="E337" s="1" t="n">
        <v>46222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45671</v>
      </c>
      <c r="E338" s="1" t="n">
        <v>46222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9162-2023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46222</v>
      </c>
      <c r="F339" t="inlineStr">
        <is>
          <t>ÖSTERGÖTLANDS LÄN</t>
        </is>
      </c>
      <c r="G339" t="inlineStr">
        <is>
          <t>YDRE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16205-2024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45406</v>
      </c>
      <c r="E340" s="1" t="n">
        <v>46222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46222</v>
      </c>
      <c r="F341" t="inlineStr">
        <is>
          <t>ÖSTERGÖTLANDS LÄN</t>
        </is>
      </c>
      <c r="G341" t="inlineStr">
        <is>
          <t>YDRE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59805-2022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44908</v>
      </c>
      <c r="E342" s="1" t="n">
        <v>46222</v>
      </c>
      <c r="F342" t="inlineStr">
        <is>
          <t>ÖSTERGÖTLANDS LÄN</t>
        </is>
      </c>
      <c r="G342" t="inlineStr">
        <is>
          <t>YDRE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46222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46222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29284-2026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46222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46222</v>
      </c>
      <c r="F346" t="inlineStr">
        <is>
          <t>ÖSTERGÖTLANDS LÄN</t>
        </is>
      </c>
      <c r="G346" t="inlineStr">
        <is>
          <t>YDRE</t>
        </is>
      </c>
      <c r="I346" t="n">
        <v>17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44592</v>
      </c>
      <c r="E347" s="1" t="n">
        <v>46222</v>
      </c>
      <c r="F347" t="inlineStr">
        <is>
          <t>ÖSTERGÖTLANDS LÄN</t>
        </is>
      </c>
      <c r="G347" t="inlineStr">
        <is>
          <t>YDRE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29148-2026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46222</v>
      </c>
      <c r="F348" t="inlineStr">
        <is>
          <t>ÖSTERGÖTLANDS LÄN</t>
        </is>
      </c>
      <c r="G348" t="inlineStr">
        <is>
          <t>YDRE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46222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29201-2026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46222</v>
      </c>
      <c r="F350" t="inlineStr">
        <is>
          <t>ÖSTERGÖTLANDS LÄN</t>
        </is>
      </c>
      <c r="G350" t="inlineStr">
        <is>
          <t>YDRE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46222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58831-2022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46222</v>
      </c>
      <c r="F352" t="inlineStr">
        <is>
          <t>ÖSTERGÖTLANDS LÄN</t>
        </is>
      </c>
      <c r="G352" t="inlineStr">
        <is>
          <t>YDRE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29304-2026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46222</v>
      </c>
      <c r="F353" t="inlineStr">
        <is>
          <t>ÖSTERGÖTLANDS LÄN</t>
        </is>
      </c>
      <c r="G353" t="inlineStr">
        <is>
          <t>YDRE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44741-2021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46222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46222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44600</v>
      </c>
      <c r="E356" s="1" t="n">
        <v>46222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19261-2024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46222</v>
      </c>
      <c r="F357" t="inlineStr">
        <is>
          <t>ÖSTERGÖTLANDS LÄN</t>
        </is>
      </c>
      <c r="G357" t="inlineStr">
        <is>
          <t>YDRE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42781-2021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46222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56323-2021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44480</v>
      </c>
      <c r="E359" s="1" t="n">
        <v>46222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  <c r="X359">
        <f>HYPERLINK("https://klasma.github.io/Logging_0512/knärot/A 56323-2021 karta knärot.png", "A 56323-2021")</f>
        <v/>
      </c>
      <c r="Y359">
        <f>HYPERLINK("https://klasma.github.io/Logging_0512/klagomål/A 56323-2021 FSC-klagomål.docx", "A 56323-2021")</f>
        <v/>
      </c>
      <c r="Z359">
        <f>HYPERLINK("https://klasma.github.io/Logging_0512/klagomålsmail/A 56323-2021 FSC-klagomål mail.docx", "A 56323-2021")</f>
        <v/>
      </c>
      <c r="AA359">
        <f>HYPERLINK("https://klasma.github.io/Logging_0512/tillsyn/A 56323-2021 tillsynsbegäran.docx", "A 56323-2021")</f>
        <v/>
      </c>
      <c r="AB359">
        <f>HYPERLINK("https://klasma.github.io/Logging_0512/tillsynsmail/A 56323-2021 tillsynsbegäran mail.docx", "A 56323-2021")</f>
        <v/>
      </c>
    </row>
    <row r="360" ht="15" customHeight="1">
      <c r="A360" t="inlineStr">
        <is>
          <t>A 61636-2021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46222</v>
      </c>
      <c r="F360" t="inlineStr">
        <is>
          <t>ÖSTERGÖTLANDS LÄN</t>
        </is>
      </c>
      <c r="G360" t="inlineStr">
        <is>
          <t>YDRE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70448-2021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44536</v>
      </c>
      <c r="E361" s="1" t="n">
        <v>46222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27164-2023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46222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44953</v>
      </c>
      <c r="E363" s="1" t="n">
        <v>46222</v>
      </c>
      <c r="F363" t="inlineStr">
        <is>
          <t>ÖSTERGÖTLANDS LÄN</t>
        </is>
      </c>
      <c r="G363" t="inlineStr">
        <is>
          <t>YDRE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9159-2023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46222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35209-2023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46222</v>
      </c>
      <c r="F365" t="inlineStr">
        <is>
          <t>ÖSTERGÖTLANDS LÄN</t>
        </is>
      </c>
      <c r="G365" t="inlineStr">
        <is>
          <t>YDRE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2745-2026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46038</v>
      </c>
      <c r="E366" s="1" t="n">
        <v>46222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46222</v>
      </c>
      <c r="F367" t="inlineStr">
        <is>
          <t>ÖSTERGÖTLANDS LÄN</t>
        </is>
      </c>
      <c r="G367" t="inlineStr">
        <is>
          <t>YDRE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46222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46222</v>
      </c>
      <c r="F369" t="inlineStr">
        <is>
          <t>ÖSTERGÖTLANDS LÄN</t>
        </is>
      </c>
      <c r="G369" t="inlineStr">
        <is>
          <t>YDRE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54602-2025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46222</v>
      </c>
      <c r="F370" t="inlineStr">
        <is>
          <t>ÖSTERGÖTLANDS LÄN</t>
        </is>
      </c>
      <c r="G370" t="inlineStr">
        <is>
          <t>YDRE</t>
        </is>
      </c>
      <c r="H370" t="inlineStr">
        <is>
          <t>Sveaskog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24780-2026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46171</v>
      </c>
      <c r="E371" s="1" t="n">
        <v>46222</v>
      </c>
      <c r="F371" t="inlineStr">
        <is>
          <t>ÖSTERGÖTLANDS LÄN</t>
        </is>
      </c>
      <c r="G371" t="inlineStr">
        <is>
          <t>YDRE</t>
        </is>
      </c>
      <c r="H371" t="inlineStr">
        <is>
          <t>Övriga Aktiebolag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46222</v>
      </c>
      <c r="F372" t="inlineStr">
        <is>
          <t>ÖSTERGÖTLANDS LÄN</t>
        </is>
      </c>
      <c r="G372" t="inlineStr">
        <is>
          <t>YDRE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45595</v>
      </c>
      <c r="E373" s="1" t="n">
        <v>46222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45698</v>
      </c>
      <c r="E374" s="1" t="n">
        <v>46222</v>
      </c>
      <c r="F374" t="inlineStr">
        <is>
          <t>ÖSTERGÖTLANDS LÄN</t>
        </is>
      </c>
      <c r="G374" t="inlineStr">
        <is>
          <t>YDRE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8616-2024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46222</v>
      </c>
      <c r="F375" t="inlineStr">
        <is>
          <t>ÖSTERGÖTLANDS LÄN</t>
        </is>
      </c>
      <c r="G375" t="inlineStr">
        <is>
          <t>YDRE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56606-2021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46222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46222</v>
      </c>
      <c r="F377" t="inlineStr">
        <is>
          <t>ÖSTERGÖTLANDS LÄN</t>
        </is>
      </c>
      <c r="G377" t="inlineStr">
        <is>
          <t>YDRE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49698-2024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45596</v>
      </c>
      <c r="E378" s="1" t="n">
        <v>46222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24983-2023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46222</v>
      </c>
      <c r="F379" t="inlineStr">
        <is>
          <t>ÖSTERGÖTLANDS LÄN</t>
        </is>
      </c>
      <c r="G379" t="inlineStr">
        <is>
          <t>YDRE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46222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46222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46222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46222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46222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46222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46222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46222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46222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46222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46222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46222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46222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46222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46222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46222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46222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46222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46222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46222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46222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46222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46222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46222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46222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46222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46222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46222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46222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46222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46222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46222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46222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46222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46222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46222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46222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46222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46222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46222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2026-07-19T01:36:33Z</dcterms:created>
  <dcterms:modified xmlns:dcterms="http://purl.org/dc/terms/" xmlns:xsi="http://www.w3.org/2001/XMLSchema-instance" xsi:type="dcterms:W3CDTF">2026-07-19T01:36:34Z</dcterms:modified>
</cp:coreProperties>
</file>