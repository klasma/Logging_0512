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46281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46281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46281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46281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46281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46281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46281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46281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46281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46281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46281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46281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46281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46281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46281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46281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46281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46281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46281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46281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46281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12669-2025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45733</v>
      </c>
      <c r="E27" s="1" t="n">
        <v>46281</v>
      </c>
      <c r="F27" t="inlineStr">
        <is>
          <t>ÖSTERGÖTLANDS LÄN</t>
        </is>
      </c>
      <c r="G27" t="inlineStr">
        <is>
          <t>YDRE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Nattviol</t>
        </is>
      </c>
      <c r="W27">
        <f>HYPERLINK("https://klasma.github.io/Logging_0512/artfynd/A 12669-2025 artfynd.xlsx", "A 12669-2025")</f>
        <v/>
      </c>
      <c r="X27">
        <f>HYPERLINK("https://klasma.github.io/Logging_0512/kartor/A 12669-2025 karta.png", "A 12669-2025")</f>
        <v/>
      </c>
      <c r="Y27">
        <f>HYPERLINK("https://klasma.github.io/Logging_0512/kartor_geotiff/A 12669-2025 georefererad karta.tif", "A 12669-2025")</f>
        <v/>
      </c>
      <c r="AA27">
        <f>HYPERLINK("https://klasma.github.io/Logging_0512/klagomål/A 12669-2025 FSC-klagomål.docx", "A 12669-2025")</f>
        <v/>
      </c>
      <c r="AB27">
        <f>HYPERLINK("https://klasma.github.io/Logging_0512/klagomålsmail/A 12669-2025 FSC-klagomål mail.docx", "A 12669-2025")</f>
        <v/>
      </c>
      <c r="AC27">
        <f>HYPERLINK("https://klasma.github.io/Logging_0512/tillsyn/A 12669-2025 tillsynsbegäran.docx", "A 12669-2025")</f>
        <v/>
      </c>
      <c r="AD27">
        <f>HYPERLINK("https://klasma.github.io/Logging_0512/tillsynsmail/A 12669-2025 tillsynsbegäran mail.docx", "A 12669-2025")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46281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46281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45765-2025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46281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Sommarfibbla</t>
        </is>
      </c>
      <c r="W30">
        <f>HYPERLINK("https://klasma.github.io/Logging_0512/artfynd/A 45765-2025 artfynd.xlsx", "A 45765-2025")</f>
        <v/>
      </c>
      <c r="X30">
        <f>HYPERLINK("https://klasma.github.io/Logging_0512/kartor/A 45765-2025 karta.png", "A 45765-2025")</f>
        <v/>
      </c>
      <c r="Y30">
        <f>HYPERLINK("https://klasma.github.io/Logging_0512/kartor_geotiff/A 45765-2025 georefererad karta.tif", "A 45765-2025")</f>
        <v/>
      </c>
      <c r="AA30">
        <f>HYPERLINK("https://klasma.github.io/Logging_0512/klagomål/A 45765-2025 FSC-klagomål.docx", "A 45765-2025")</f>
        <v/>
      </c>
      <c r="AB30">
        <f>HYPERLINK("https://klasma.github.io/Logging_0512/klagomålsmail/A 45765-2025 FSC-klagomål mail.docx", "A 45765-2025")</f>
        <v/>
      </c>
      <c r="AC30">
        <f>HYPERLINK("https://klasma.github.io/Logging_0512/tillsyn/A 45765-2025 tillsynsbegäran.docx", "A 45765-2025")</f>
        <v/>
      </c>
      <c r="AD30">
        <f>HYPERLINK("https://klasma.github.io/Logging_0512/tillsynsmail/A 45765-2025 tillsynsbegäran mail.docx", "A 45765-2025")</f>
        <v/>
      </c>
    </row>
    <row r="31" ht="15" customHeight="1">
      <c r="A31" t="inlineStr">
        <is>
          <t>A 11716-2025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45727</v>
      </c>
      <c r="E31" s="1" t="n">
        <v>46281</v>
      </c>
      <c r="F31" t="inlineStr">
        <is>
          <t>ÖSTERGÖTLANDS LÄN</t>
        </is>
      </c>
      <c r="G31" t="inlineStr">
        <is>
          <t>YDRE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Kryddspindling</t>
        </is>
      </c>
      <c r="W31">
        <f>HYPERLINK("https://klasma.github.io/Logging_0512/artfynd/A 11716-2025 artfynd.xlsx", "A 11716-2025")</f>
        <v/>
      </c>
      <c r="X31">
        <f>HYPERLINK("https://klasma.github.io/Logging_0512/kartor/A 11716-2025 karta.png", "A 11716-2025")</f>
        <v/>
      </c>
      <c r="Y31">
        <f>HYPERLINK("https://klasma.github.io/Logging_0512/kartor_geotiff/A 11716-2025 georefererad karta.tif", "A 11716-2025")</f>
        <v/>
      </c>
      <c r="AA31">
        <f>HYPERLINK("https://klasma.github.io/Logging_0512/klagomål/A 11716-2025 FSC-klagomål.docx", "A 11716-2025")</f>
        <v/>
      </c>
      <c r="AB31">
        <f>HYPERLINK("https://klasma.github.io/Logging_0512/klagomålsmail/A 11716-2025 FSC-klagomål mail.docx", "A 11716-2025")</f>
        <v/>
      </c>
      <c r="AC31">
        <f>HYPERLINK("https://klasma.github.io/Logging_0512/tillsyn/A 11716-2025 tillsynsbegäran.docx", "A 11716-2025")</f>
        <v/>
      </c>
      <c r="AD31">
        <f>HYPERLINK("https://klasma.github.io/Logging_0512/tillsynsmail/A 11716-2025 tillsynsbegäran mail.docx", "A 11716-2025")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46281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46281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45354-2023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45192</v>
      </c>
      <c r="E34" s="1" t="n">
        <v>46281</v>
      </c>
      <c r="F34" t="inlineStr">
        <is>
          <t>ÖSTERGÖTLANDS LÄN</t>
        </is>
      </c>
      <c r="G34" t="inlineStr">
        <is>
          <t>YDRE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45354-2023 artfynd.xlsx", "A 45354-2023")</f>
        <v/>
      </c>
      <c r="X34">
        <f>HYPERLINK("https://klasma.github.io/Logging_0512/kartor/A 45354-2023 karta.png", "A 45354-2023")</f>
        <v/>
      </c>
      <c r="Y34">
        <f>HYPERLINK("https://klasma.github.io/Logging_0512/kartor_geotiff/A 45354-2023 georefererad karta.tif", "A 45354-2023")</f>
        <v/>
      </c>
      <c r="AA34">
        <f>HYPERLINK("https://klasma.github.io/Logging_0512/klagomål/A 45354-2023 FSC-klagomål.docx", "A 45354-2023")</f>
        <v/>
      </c>
      <c r="AB34">
        <f>HYPERLINK("https://klasma.github.io/Logging_0512/klagomålsmail/A 45354-2023 FSC-klagomål mail.docx", "A 45354-2023")</f>
        <v/>
      </c>
      <c r="AC34">
        <f>HYPERLINK("https://klasma.github.io/Logging_0512/tillsyn/A 45354-2023 tillsynsbegäran.docx", "A 45354-2023")</f>
        <v/>
      </c>
      <c r="AD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46281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46281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46281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48344-2022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46281</v>
      </c>
      <c r="F38" t="inlineStr">
        <is>
          <t>ÖSTERGÖTLANDS LÄN</t>
        </is>
      </c>
      <c r="G38" t="inlineStr">
        <is>
          <t>YDRE</t>
        </is>
      </c>
      <c r="H38" t="inlineStr">
        <is>
          <t>Övriga Aktiebolag</t>
        </is>
      </c>
      <c r="I38" t="n">
        <v>7.6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HYPERLINK("https://klasma.github.io/Logging_0512/artfynd/A 48344-2022 artfynd.xlsx", "A 48344-2022")</f>
        <v/>
      </c>
      <c r="X38">
        <f>HYPERLINK("https://klasma.github.io/Logging_0512/kartor/A 48344-2022 karta.png", "A 48344-2022")</f>
        <v/>
      </c>
      <c r="Y38">
        <f>HYPERLINK("https://klasma.github.io/Logging_0512/kartor_geotiff/A 48344-2022 georefererad karta.tif", "A 48344-2022")</f>
        <v/>
      </c>
      <c r="AA38">
        <f>HYPERLINK("https://klasma.github.io/Logging_0512/klagomål/A 48344-2022 FSC-klagomål.docx", "A 48344-2022")</f>
        <v/>
      </c>
      <c r="AB38">
        <f>HYPERLINK("https://klasma.github.io/Logging_0512/klagomålsmail/A 48344-2022 FSC-klagomål mail.docx", "A 48344-2022")</f>
        <v/>
      </c>
      <c r="AC38">
        <f>HYPERLINK("https://klasma.github.io/Logging_0512/tillsyn/A 48344-2022 tillsynsbegäran.docx", "A 48344-2022")</f>
        <v/>
      </c>
      <c r="AD38">
        <f>HYPERLINK("https://klasma.github.io/Logging_0512/tillsynsmail/A 48344-2022 tillsynsbegäran mail.docx", "A 48344-2022")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46281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46281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46281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46281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46281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46281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46281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46281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46281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46281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46281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46281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46281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46281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46281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46281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46281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46281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46281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46281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46281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46281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46281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33687-2022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44789</v>
      </c>
      <c r="E63" s="1" t="n">
        <v>46281</v>
      </c>
      <c r="F63" t="inlineStr">
        <is>
          <t>ÖSTERGÖTLANDS LÄN</t>
        </is>
      </c>
      <c r="G63" t="inlineStr">
        <is>
          <t>YDRE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44474</v>
      </c>
      <c r="E64" s="1" t="n">
        <v>46281</v>
      </c>
      <c r="F64" t="inlineStr">
        <is>
          <t>ÖSTERGÖTLANDS LÄN</t>
        </is>
      </c>
      <c r="G64" t="inlineStr">
        <is>
          <t>YDRE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44477</v>
      </c>
      <c r="E65" s="1" t="n">
        <v>46281</v>
      </c>
      <c r="F65" t="inlineStr">
        <is>
          <t>ÖSTERGÖTLANDS LÄN</t>
        </is>
      </c>
      <c r="G65" t="inlineStr">
        <is>
          <t>YDRE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65794-2021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46281</v>
      </c>
      <c r="F66" t="inlineStr">
        <is>
          <t>ÖSTERGÖTLANDS LÄN</t>
        </is>
      </c>
      <c r="G66" t="inlineStr">
        <is>
          <t>YDRE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46281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57282-2021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46281</v>
      </c>
      <c r="F68" t="inlineStr">
        <is>
          <t>ÖSTERGÖTLANDS LÄN</t>
        </is>
      </c>
      <c r="G68" t="inlineStr">
        <is>
          <t>YDRE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46281</v>
      </c>
      <c r="F69" t="inlineStr">
        <is>
          <t>ÖSTERGÖTLANDS LÄN</t>
        </is>
      </c>
      <c r="G69" t="inlineStr">
        <is>
          <t>YDRE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46281</v>
      </c>
      <c r="F70" t="inlineStr">
        <is>
          <t>ÖSTERGÖTLANDS LÄN</t>
        </is>
      </c>
      <c r="G70" t="inlineStr">
        <is>
          <t>YDRE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53534-2022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46281</v>
      </c>
      <c r="F71" t="inlineStr">
        <is>
          <t>ÖSTERGÖTLANDS LÄN</t>
        </is>
      </c>
      <c r="G71" t="inlineStr">
        <is>
          <t>YDRE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46281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46281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46281</v>
      </c>
      <c r="F74" t="inlineStr">
        <is>
          <t>ÖSTERGÖTLANDS LÄN</t>
        </is>
      </c>
      <c r="G74" t="inlineStr">
        <is>
          <t>YDRE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46281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46281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46281</v>
      </c>
      <c r="F77" t="inlineStr">
        <is>
          <t>ÖSTERGÖTLANDS LÄN</t>
        </is>
      </c>
      <c r="G77" t="inlineStr">
        <is>
          <t>YDRE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37568-2023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45159</v>
      </c>
      <c r="E78" s="1" t="n">
        <v>46281</v>
      </c>
      <c r="F78" t="inlineStr">
        <is>
          <t>ÖSTERGÖTLANDS LÄN</t>
        </is>
      </c>
      <c r="G78" t="inlineStr">
        <is>
          <t>YDRE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46281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46281</v>
      </c>
      <c r="F80" t="inlineStr">
        <is>
          <t>ÖSTERGÖTLANDS LÄN</t>
        </is>
      </c>
      <c r="G80" t="inlineStr">
        <is>
          <t>YDRE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46281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69307-2021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44531</v>
      </c>
      <c r="E82" s="1" t="n">
        <v>46281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44749</v>
      </c>
      <c r="E83" s="1" t="n">
        <v>46281</v>
      </c>
      <c r="F83" t="inlineStr">
        <is>
          <t>ÖSTERGÖTLANDS LÄN</t>
        </is>
      </c>
      <c r="G83" t="inlineStr">
        <is>
          <t>YDRE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17309-2024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45414</v>
      </c>
      <c r="E84" s="1" t="n">
        <v>46281</v>
      </c>
      <c r="F84" t="inlineStr">
        <is>
          <t>ÖSTERGÖTLANDS LÄN</t>
        </is>
      </c>
      <c r="G84" t="inlineStr">
        <is>
          <t>YDRE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46281</v>
      </c>
      <c r="F85" t="inlineStr">
        <is>
          <t>ÖSTERGÖTLANDS LÄN</t>
        </is>
      </c>
      <c r="G85" t="inlineStr">
        <is>
          <t>YDRE</t>
        </is>
      </c>
      <c r="H85" t="inlineStr">
        <is>
          <t>Övriga Aktiebolag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46281</v>
      </c>
      <c r="F86" t="inlineStr">
        <is>
          <t>ÖSTERGÖTLANDS LÄN</t>
        </is>
      </c>
      <c r="G86" t="inlineStr">
        <is>
          <t>YDRE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46281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16050-2025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46281</v>
      </c>
      <c r="F88" t="inlineStr">
        <is>
          <t>ÖSTERGÖTLANDS LÄN</t>
        </is>
      </c>
      <c r="G88" t="inlineStr">
        <is>
          <t>YDRE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46281</v>
      </c>
      <c r="F89" t="inlineStr">
        <is>
          <t>ÖSTERGÖTLANDS LÄN</t>
        </is>
      </c>
      <c r="G89" t="inlineStr">
        <is>
          <t>YDRE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46281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45278</v>
      </c>
      <c r="E91" s="1" t="n">
        <v>46281</v>
      </c>
      <c r="F91" t="inlineStr">
        <is>
          <t>ÖSTERGÖTLANDS LÄN</t>
        </is>
      </c>
      <c r="G91" t="inlineStr">
        <is>
          <t>YDRE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44916</v>
      </c>
      <c r="E92" s="1" t="n">
        <v>46281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46281</v>
      </c>
      <c r="F93" t="inlineStr">
        <is>
          <t>ÖSTERGÖTLANDS LÄN</t>
        </is>
      </c>
      <c r="G93" t="inlineStr">
        <is>
          <t>YDRE</t>
        </is>
      </c>
      <c r="H93" t="inlineStr">
        <is>
          <t>Övriga Aktiebolag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44670</v>
      </c>
      <c r="E94" s="1" t="n">
        <v>46281</v>
      </c>
      <c r="F94" t="inlineStr">
        <is>
          <t>ÖSTERGÖTLANDS LÄN</t>
        </is>
      </c>
      <c r="G94" t="inlineStr">
        <is>
          <t>YDRE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45302</v>
      </c>
      <c r="E95" s="1" t="n">
        <v>46281</v>
      </c>
      <c r="F95" t="inlineStr">
        <is>
          <t>ÖSTERGÖTLANDS LÄN</t>
        </is>
      </c>
      <c r="G95" t="inlineStr">
        <is>
          <t>YDRE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45310</v>
      </c>
      <c r="E96" s="1" t="n">
        <v>46281</v>
      </c>
      <c r="F96" t="inlineStr">
        <is>
          <t>ÖSTERGÖTLANDS LÄN</t>
        </is>
      </c>
      <c r="G96" t="inlineStr">
        <is>
          <t>YDRE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46281</v>
      </c>
      <c r="F97" t="inlineStr">
        <is>
          <t>ÖSTERGÖTLANDS LÄN</t>
        </is>
      </c>
      <c r="G97" t="inlineStr">
        <is>
          <t>YDRE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61262-2023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46281</v>
      </c>
      <c r="F98" t="inlineStr">
        <is>
          <t>ÖSTERGÖTLANDS LÄN</t>
        </is>
      </c>
      <c r="G98" t="inlineStr">
        <is>
          <t>YDRE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46281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46281</v>
      </c>
      <c r="F100" t="inlineStr">
        <is>
          <t>ÖSTERGÖTLANDS LÄN</t>
        </is>
      </c>
      <c r="G100" t="inlineStr">
        <is>
          <t>YDRE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46281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46281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46281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46281</v>
      </c>
      <c r="F104" t="inlineStr">
        <is>
          <t>ÖSTERGÖTLANDS LÄN</t>
        </is>
      </c>
      <c r="G104" t="inlineStr">
        <is>
          <t>YDRE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46281</v>
      </c>
      <c r="F105" t="inlineStr">
        <is>
          <t>ÖSTERGÖTLANDS LÄN</t>
        </is>
      </c>
      <c r="G105" t="inlineStr">
        <is>
          <t>YDRE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46281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44844</v>
      </c>
      <c r="E107" s="1" t="n">
        <v>46281</v>
      </c>
      <c r="F107" t="inlineStr">
        <is>
          <t>ÖSTERGÖTLANDS LÄN</t>
        </is>
      </c>
      <c r="G107" t="inlineStr">
        <is>
          <t>YDRE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41069-2025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46281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46281</v>
      </c>
      <c r="F109" t="inlineStr">
        <is>
          <t>ÖSTERGÖTLANDS LÄN</t>
        </is>
      </c>
      <c r="G109" t="inlineStr">
        <is>
          <t>YDRE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46281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59407-2021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44491</v>
      </c>
      <c r="E111" s="1" t="n">
        <v>46281</v>
      </c>
      <c r="F111" t="inlineStr">
        <is>
          <t>ÖSTERGÖTLANDS LÄN</t>
        </is>
      </c>
      <c r="G111" t="inlineStr">
        <is>
          <t>YDRE</t>
        </is>
      </c>
      <c r="H111" t="inlineStr">
        <is>
          <t>Sveaskog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46281</v>
      </c>
      <c r="F112" t="inlineStr">
        <is>
          <t>ÖSTERGÖTLANDS LÄN</t>
        </is>
      </c>
      <c r="G112" t="inlineStr">
        <is>
          <t>YDRE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46281</v>
      </c>
      <c r="F113" t="inlineStr">
        <is>
          <t>ÖSTERGÖTLANDS LÄN</t>
        </is>
      </c>
      <c r="G113" t="inlineStr">
        <is>
          <t>YDRE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46281</v>
      </c>
      <c r="F114" t="inlineStr">
        <is>
          <t>ÖSTERGÖTLANDS LÄN</t>
        </is>
      </c>
      <c r="G114" t="inlineStr">
        <is>
          <t>YDRE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45647</v>
      </c>
      <c r="E115" s="1" t="n">
        <v>46281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46281</v>
      </c>
      <c r="F116" t="inlineStr">
        <is>
          <t>ÖSTERGÖTLANDS LÄN</t>
        </is>
      </c>
      <c r="G116" t="inlineStr">
        <is>
          <t>YDRE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46281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46281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12.4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46281</v>
      </c>
      <c r="F119" t="inlineStr">
        <is>
          <t>ÖSTERGÖTLANDS LÄN</t>
        </is>
      </c>
      <c r="G119" t="inlineStr">
        <is>
          <t>YDRE</t>
        </is>
      </c>
      <c r="H119" t="inlineStr">
        <is>
          <t>Övriga Aktiebolag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46281</v>
      </c>
      <c r="F120" t="inlineStr">
        <is>
          <t>ÖSTERGÖTLANDS LÄN</t>
        </is>
      </c>
      <c r="G120" t="inlineStr">
        <is>
          <t>YDRE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46281</v>
      </c>
      <c r="F121" t="inlineStr">
        <is>
          <t>ÖSTERGÖTLANDS LÄN</t>
        </is>
      </c>
      <c r="G121" t="inlineStr">
        <is>
          <t>YDRE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46281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46281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46281</v>
      </c>
      <c r="F124" t="inlineStr">
        <is>
          <t>ÖSTERGÖTLANDS LÄN</t>
        </is>
      </c>
      <c r="G124" t="inlineStr">
        <is>
          <t>YDRE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46281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46281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46281</v>
      </c>
      <c r="F127" t="inlineStr">
        <is>
          <t>ÖSTERGÖTLANDS LÄN</t>
        </is>
      </c>
      <c r="G127" t="inlineStr">
        <is>
          <t>YDRE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46281</v>
      </c>
      <c r="F128" t="inlineStr">
        <is>
          <t>ÖSTERGÖTLANDS LÄN</t>
        </is>
      </c>
      <c r="G128" t="inlineStr">
        <is>
          <t>YDRE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46281</v>
      </c>
      <c r="F129" t="inlineStr">
        <is>
          <t>ÖSTERGÖTLANDS LÄN</t>
        </is>
      </c>
      <c r="G129" t="inlineStr">
        <is>
          <t>YDRE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59816-2022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44908</v>
      </c>
      <c r="E130" s="1" t="n">
        <v>46281</v>
      </c>
      <c r="F130" t="inlineStr">
        <is>
          <t>ÖSTERGÖTLANDS LÄN</t>
        </is>
      </c>
      <c r="G130" t="inlineStr">
        <is>
          <t>YDRE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46281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46281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44624</v>
      </c>
      <c r="E133" s="1" t="n">
        <v>46281</v>
      </c>
      <c r="F133" t="inlineStr">
        <is>
          <t>ÖSTERGÖTLANDS LÄN</t>
        </is>
      </c>
      <c r="G133" t="inlineStr">
        <is>
          <t>YDRE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46281</v>
      </c>
      <c r="F134" t="inlineStr">
        <is>
          <t>ÖSTERGÖTLANDS LÄN</t>
        </is>
      </c>
      <c r="G134" t="inlineStr">
        <is>
          <t>YDRE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45510</v>
      </c>
      <c r="E135" s="1" t="n">
        <v>46281</v>
      </c>
      <c r="F135" t="inlineStr">
        <is>
          <t>ÖSTERGÖTLANDS LÄN</t>
        </is>
      </c>
      <c r="G135" t="inlineStr">
        <is>
          <t>YDRE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71524-2021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46281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46281</v>
      </c>
      <c r="F137" t="inlineStr">
        <is>
          <t>ÖSTERGÖTLANDS LÄN</t>
        </is>
      </c>
      <c r="G137" t="inlineStr">
        <is>
          <t>YDRE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45355</v>
      </c>
      <c r="E138" s="1" t="n">
        <v>46281</v>
      </c>
      <c r="F138" t="inlineStr">
        <is>
          <t>ÖSTERGÖTLANDS LÄN</t>
        </is>
      </c>
      <c r="G138" t="inlineStr">
        <is>
          <t>YDRE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46116</v>
      </c>
      <c r="E139" s="1" t="n">
        <v>46281</v>
      </c>
      <c r="F139" t="inlineStr">
        <is>
          <t>ÖSTERGÖTLANDS LÄN</t>
        </is>
      </c>
      <c r="G139" t="inlineStr">
        <is>
          <t>YDRE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46281</v>
      </c>
      <c r="F140" t="inlineStr">
        <is>
          <t>ÖSTERGÖTLANDS LÄN</t>
        </is>
      </c>
      <c r="G140" t="inlineStr">
        <is>
          <t>YDRE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46281</v>
      </c>
      <c r="F141" t="inlineStr">
        <is>
          <t>ÖSTERGÖTLANDS LÄN</t>
        </is>
      </c>
      <c r="G141" t="inlineStr">
        <is>
          <t>YDRE</t>
        </is>
      </c>
      <c r="I141" t="n">
        <v>10.2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45752-2025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46281</v>
      </c>
      <c r="F142" t="inlineStr">
        <is>
          <t>ÖSTERGÖTLANDS LÄN</t>
        </is>
      </c>
      <c r="G142" t="inlineStr">
        <is>
          <t>YDRE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46281</v>
      </c>
      <c r="F143" t="inlineStr">
        <is>
          <t>ÖSTERGÖTLANDS LÄN</t>
        </is>
      </c>
      <c r="G143" t="inlineStr">
        <is>
          <t>YDRE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17384-2026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46281</v>
      </c>
      <c r="F144" t="inlineStr">
        <is>
          <t>ÖSTERGÖTLANDS LÄN</t>
        </is>
      </c>
      <c r="G144" t="inlineStr">
        <is>
          <t>YDRE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45924</v>
      </c>
      <c r="E145" s="1" t="n">
        <v>46281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46281</v>
      </c>
      <c r="F146" t="inlineStr">
        <is>
          <t>ÖSTERGÖTLANDS LÄN</t>
        </is>
      </c>
      <c r="G146" t="inlineStr">
        <is>
          <t>YDRE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46281</v>
      </c>
      <c r="F147" t="inlineStr">
        <is>
          <t>ÖSTERGÖTLANDS LÄN</t>
        </is>
      </c>
      <c r="G147" t="inlineStr">
        <is>
          <t>YDRE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18181-2026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46125</v>
      </c>
      <c r="E148" s="1" t="n">
        <v>46281</v>
      </c>
      <c r="F148" t="inlineStr">
        <is>
          <t>ÖSTERGÖTLANDS LÄN</t>
        </is>
      </c>
      <c r="G148" t="inlineStr">
        <is>
          <t>YDRE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46281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46281</v>
      </c>
      <c r="F150" t="inlineStr">
        <is>
          <t>ÖSTERGÖTLANDS LÄN</t>
        </is>
      </c>
      <c r="G150" t="inlineStr">
        <is>
          <t>YDRE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46281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46126</v>
      </c>
      <c r="E152" s="1" t="n">
        <v>46281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46281</v>
      </c>
      <c r="F153" t="inlineStr">
        <is>
          <t>ÖSTERGÖTLANDS LÄN</t>
        </is>
      </c>
      <c r="G153" t="inlineStr">
        <is>
          <t>YDRE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46281</v>
      </c>
      <c r="F154" t="inlineStr">
        <is>
          <t>ÖSTERGÖTLANDS LÄN</t>
        </is>
      </c>
      <c r="G154" t="inlineStr">
        <is>
          <t>YDRE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45634</v>
      </c>
      <c r="E155" s="1" t="n">
        <v>46281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46281</v>
      </c>
      <c r="F156" t="inlineStr">
        <is>
          <t>ÖSTERGÖTLANDS LÄN</t>
        </is>
      </c>
      <c r="G156" t="inlineStr">
        <is>
          <t>YDRE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44980</v>
      </c>
      <c r="E157" s="1" t="n">
        <v>46281</v>
      </c>
      <c r="F157" t="inlineStr">
        <is>
          <t>ÖSTERGÖTLANDS LÄN</t>
        </is>
      </c>
      <c r="G157" t="inlineStr">
        <is>
          <t>YDRE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46281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46281</v>
      </c>
      <c r="F159" t="inlineStr">
        <is>
          <t>ÖSTERGÖTLANDS LÄN</t>
        </is>
      </c>
      <c r="G159" t="inlineStr">
        <is>
          <t>YDRE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46281</v>
      </c>
      <c r="F160" t="inlineStr">
        <is>
          <t>ÖSTERGÖTLANDS LÄN</t>
        </is>
      </c>
      <c r="G160" t="inlineStr">
        <is>
          <t>YDRE</t>
        </is>
      </c>
      <c r="H160" t="inlineStr">
        <is>
          <t>Kyrkan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46281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46281</v>
      </c>
      <c r="F162" t="inlineStr">
        <is>
          <t>ÖSTERGÖTLANDS LÄN</t>
        </is>
      </c>
      <c r="G162" t="inlineStr">
        <is>
          <t>YDRE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46281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46281</v>
      </c>
      <c r="F164" t="inlineStr">
        <is>
          <t>ÖSTERGÖTLANDS LÄN</t>
        </is>
      </c>
      <c r="G164" t="inlineStr">
        <is>
          <t>YDRE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45943</v>
      </c>
      <c r="E165" s="1" t="n">
        <v>46281</v>
      </c>
      <c r="F165" t="inlineStr">
        <is>
          <t>ÖSTERGÖTLANDS LÄN</t>
        </is>
      </c>
      <c r="G165" t="inlineStr">
        <is>
          <t>YDRE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46281</v>
      </c>
      <c r="F166" t="inlineStr">
        <is>
          <t>ÖSTERGÖTLANDS LÄN</t>
        </is>
      </c>
      <c r="G166" t="inlineStr">
        <is>
          <t>YDRE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46281</v>
      </c>
      <c r="F167" t="inlineStr">
        <is>
          <t>ÖSTERGÖTLANDS LÄN</t>
        </is>
      </c>
      <c r="G167" t="inlineStr">
        <is>
          <t>YDRE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45871</v>
      </c>
      <c r="E168" s="1" t="n">
        <v>46281</v>
      </c>
      <c r="F168" t="inlineStr">
        <is>
          <t>ÖSTERGÖTLANDS LÄN</t>
        </is>
      </c>
      <c r="G168" t="inlineStr">
        <is>
          <t>YDRE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59296-2021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44490</v>
      </c>
      <c r="E169" s="1" t="n">
        <v>46281</v>
      </c>
      <c r="F169" t="inlineStr">
        <is>
          <t>ÖSTERGÖTLANDS LÄN</t>
        </is>
      </c>
      <c r="G169" t="inlineStr">
        <is>
          <t>YDRE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46281</v>
      </c>
      <c r="F170" t="inlineStr">
        <is>
          <t>ÖSTERGÖTLANDS LÄN</t>
        </is>
      </c>
      <c r="G170" t="inlineStr">
        <is>
          <t>YDRE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46281</v>
      </c>
      <c r="F171" t="inlineStr">
        <is>
          <t>ÖSTERGÖTLANDS LÄN</t>
        </is>
      </c>
      <c r="G171" t="inlineStr">
        <is>
          <t>YDRE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45793</v>
      </c>
      <c r="E172" s="1" t="n">
        <v>46281</v>
      </c>
      <c r="F172" t="inlineStr">
        <is>
          <t>ÖSTERGÖTLANDS LÄN</t>
        </is>
      </c>
      <c r="G172" t="inlineStr">
        <is>
          <t>YDRE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46281</v>
      </c>
      <c r="F173" t="inlineStr">
        <is>
          <t>ÖSTERGÖTLANDS LÄN</t>
        </is>
      </c>
      <c r="G173" t="inlineStr">
        <is>
          <t>YDRE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46281</v>
      </c>
      <c r="F174" t="inlineStr">
        <is>
          <t>ÖSTERGÖTLANDS LÄN</t>
        </is>
      </c>
      <c r="G174" t="inlineStr">
        <is>
          <t>YDRE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14101-2022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44651</v>
      </c>
      <c r="E175" s="1" t="n">
        <v>46281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46281</v>
      </c>
      <c r="F176" t="inlineStr">
        <is>
          <t>ÖSTERGÖTLANDS LÄN</t>
        </is>
      </c>
      <c r="G176" t="inlineStr">
        <is>
          <t>YDRE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46281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46281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46281</v>
      </c>
      <c r="F179" t="inlineStr">
        <is>
          <t>ÖSTERGÖTLANDS LÄN</t>
        </is>
      </c>
      <c r="G179" t="inlineStr">
        <is>
          <t>YDRE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46281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46281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46281</v>
      </c>
      <c r="F182" t="inlineStr">
        <is>
          <t>ÖSTERGÖTLANDS LÄN</t>
        </is>
      </c>
      <c r="G182" t="inlineStr">
        <is>
          <t>YDRE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46281</v>
      </c>
      <c r="F183" t="inlineStr">
        <is>
          <t>ÖSTERGÖTLANDS LÄN</t>
        </is>
      </c>
      <c r="G183" t="inlineStr">
        <is>
          <t>YDRE</t>
        </is>
      </c>
      <c r="H183" t="inlineStr">
        <is>
          <t>Kyrkan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46281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46281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46281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46281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46281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46281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63242-2023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46281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46281</v>
      </c>
      <c r="F191" t="inlineStr">
        <is>
          <t>ÖSTERGÖTLANDS LÄN</t>
        </is>
      </c>
      <c r="G191" t="inlineStr">
        <is>
          <t>YDRE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46281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46281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46281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46281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46281</v>
      </c>
      <c r="F196" t="inlineStr">
        <is>
          <t>ÖSTERGÖTLANDS LÄN</t>
        </is>
      </c>
      <c r="G196" t="inlineStr">
        <is>
          <t>YDRE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45616</v>
      </c>
      <c r="E197" s="1" t="n">
        <v>46281</v>
      </c>
      <c r="F197" t="inlineStr">
        <is>
          <t>ÖSTERGÖTLANDS LÄN</t>
        </is>
      </c>
      <c r="G197" t="inlineStr">
        <is>
          <t>YDRE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45194</v>
      </c>
      <c r="E198" s="1" t="n">
        <v>46281</v>
      </c>
      <c r="F198" t="inlineStr">
        <is>
          <t>ÖSTERGÖTLANDS LÄN</t>
        </is>
      </c>
      <c r="G198" t="inlineStr">
        <is>
          <t>YDRE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46281</v>
      </c>
      <c r="F199" t="inlineStr">
        <is>
          <t>ÖSTERGÖTLANDS LÄN</t>
        </is>
      </c>
      <c r="G199" t="inlineStr">
        <is>
          <t>YDRE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46281</v>
      </c>
      <c r="F200" t="inlineStr">
        <is>
          <t>ÖSTERGÖTLANDS LÄN</t>
        </is>
      </c>
      <c r="G200" t="inlineStr">
        <is>
          <t>YDRE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45666</v>
      </c>
      <c r="E201" s="1" t="n">
        <v>46281</v>
      </c>
      <c r="F201" t="inlineStr">
        <is>
          <t>ÖSTERGÖTLANDS LÄN</t>
        </is>
      </c>
      <c r="G201" t="inlineStr">
        <is>
          <t>YDRE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46281</v>
      </c>
      <c r="F202" t="inlineStr">
        <is>
          <t>ÖSTERGÖTLANDS LÄN</t>
        </is>
      </c>
      <c r="G202" t="inlineStr">
        <is>
          <t>YDRE</t>
        </is>
      </c>
      <c r="I202" t="n">
        <v>17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46281</v>
      </c>
      <c r="F203" t="inlineStr">
        <is>
          <t>ÖSTERGÖTLANDS LÄN</t>
        </is>
      </c>
      <c r="G203" t="inlineStr">
        <is>
          <t>YDRE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46281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46281</v>
      </c>
      <c r="F205" t="inlineStr">
        <is>
          <t>ÖSTERGÖTLANDS LÄN</t>
        </is>
      </c>
      <c r="G205" t="inlineStr">
        <is>
          <t>YDRE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46281</v>
      </c>
      <c r="F206" t="inlineStr">
        <is>
          <t>ÖSTERGÖTLANDS LÄN</t>
        </is>
      </c>
      <c r="G206" t="inlineStr">
        <is>
          <t>YDRE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44966</v>
      </c>
      <c r="E207" s="1" t="n">
        <v>46281</v>
      </c>
      <c r="F207" t="inlineStr">
        <is>
          <t>ÖSTERGÖTLANDS LÄN</t>
        </is>
      </c>
      <c r="G207" t="inlineStr">
        <is>
          <t>YDRE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46281</v>
      </c>
      <c r="F208" t="inlineStr">
        <is>
          <t>ÖSTERGÖTLANDS LÄN</t>
        </is>
      </c>
      <c r="G208" t="inlineStr">
        <is>
          <t>YDRE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45701</v>
      </c>
      <c r="E209" s="1" t="n">
        <v>46281</v>
      </c>
      <c r="F209" t="inlineStr">
        <is>
          <t>ÖSTERGÖTLANDS LÄN</t>
        </is>
      </c>
      <c r="G209" t="inlineStr">
        <is>
          <t>YDRE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46281</v>
      </c>
      <c r="F210" t="inlineStr">
        <is>
          <t>ÖSTERGÖTLANDS LÄN</t>
        </is>
      </c>
      <c r="G210" t="inlineStr">
        <is>
          <t>YDRE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46281</v>
      </c>
      <c r="F211" t="inlineStr">
        <is>
          <t>ÖSTERGÖTLANDS LÄN</t>
        </is>
      </c>
      <c r="G211" t="inlineStr">
        <is>
          <t>YDRE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45596</v>
      </c>
      <c r="E212" s="1" t="n">
        <v>46281</v>
      </c>
      <c r="F212" t="inlineStr">
        <is>
          <t>ÖSTERGÖTLANDS LÄN</t>
        </is>
      </c>
      <c r="G212" t="inlineStr">
        <is>
          <t>YDRE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45016</v>
      </c>
      <c r="E213" s="1" t="n">
        <v>46281</v>
      </c>
      <c r="F213" t="inlineStr">
        <is>
          <t>ÖSTERGÖTLANDS LÄN</t>
        </is>
      </c>
      <c r="G213" t="inlineStr">
        <is>
          <t>YDRE</t>
        </is>
      </c>
      <c r="H213" t="inlineStr">
        <is>
          <t>Övriga Aktiebolag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46281</v>
      </c>
      <c r="F214" t="inlineStr">
        <is>
          <t>ÖSTERGÖTLANDS LÄN</t>
        </is>
      </c>
      <c r="G214" t="inlineStr">
        <is>
          <t>YDRE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46281</v>
      </c>
      <c r="F215" t="inlineStr">
        <is>
          <t>ÖSTERGÖTLANDS LÄN</t>
        </is>
      </c>
      <c r="G215" t="inlineStr">
        <is>
          <t>YDRE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46281</v>
      </c>
      <c r="F216" t="inlineStr">
        <is>
          <t>ÖSTERGÖTLANDS LÄN</t>
        </is>
      </c>
      <c r="G216" t="inlineStr">
        <is>
          <t>YDRE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46281</v>
      </c>
      <c r="F217" t="inlineStr">
        <is>
          <t>ÖSTERGÖTLANDS LÄN</t>
        </is>
      </c>
      <c r="G217" t="inlineStr">
        <is>
          <t>YDRE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46281</v>
      </c>
      <c r="F218" t="inlineStr">
        <is>
          <t>ÖSTERGÖTLANDS LÄN</t>
        </is>
      </c>
      <c r="G218" t="inlineStr">
        <is>
          <t>YDRE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46281</v>
      </c>
      <c r="F219" t="inlineStr">
        <is>
          <t>ÖSTERGÖTLANDS LÄN</t>
        </is>
      </c>
      <c r="G219" t="inlineStr">
        <is>
          <t>YDRE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44600</v>
      </c>
      <c r="E220" s="1" t="n">
        <v>46281</v>
      </c>
      <c r="F220" t="inlineStr">
        <is>
          <t>ÖSTERGÖTLANDS LÄN</t>
        </is>
      </c>
      <c r="G220" t="inlineStr">
        <is>
          <t>YDRE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45634</v>
      </c>
      <c r="E221" s="1" t="n">
        <v>46281</v>
      </c>
      <c r="F221" t="inlineStr">
        <is>
          <t>ÖSTERGÖTLANDS LÄN</t>
        </is>
      </c>
      <c r="G221" t="inlineStr">
        <is>
          <t>YDRE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46281</v>
      </c>
      <c r="F222" t="inlineStr">
        <is>
          <t>ÖSTERGÖTLANDS LÄN</t>
        </is>
      </c>
      <c r="G222" t="inlineStr">
        <is>
          <t>YDRE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46281</v>
      </c>
      <c r="F223" t="inlineStr">
        <is>
          <t>ÖSTERGÖTLANDS LÄN</t>
        </is>
      </c>
      <c r="G223" t="inlineStr">
        <is>
          <t>YDRE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46281</v>
      </c>
      <c r="F224" t="inlineStr">
        <is>
          <t>ÖSTERGÖTLANDS LÄN</t>
        </is>
      </c>
      <c r="G224" t="inlineStr">
        <is>
          <t>YDRE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46281</v>
      </c>
      <c r="F225" t="inlineStr">
        <is>
          <t>ÖSTERGÖTLANDS LÄN</t>
        </is>
      </c>
      <c r="G225" t="inlineStr">
        <is>
          <t>YDRE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46281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46146</v>
      </c>
      <c r="E227" s="1" t="n">
        <v>46281</v>
      </c>
      <c r="F227" t="inlineStr">
        <is>
          <t>ÖSTERGÖTLANDS LÄN</t>
        </is>
      </c>
      <c r="G227" t="inlineStr">
        <is>
          <t>YDRE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46281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46281</v>
      </c>
      <c r="F229" t="inlineStr">
        <is>
          <t>ÖSTERGÖTLANDS LÄN</t>
        </is>
      </c>
      <c r="G229" t="inlineStr">
        <is>
          <t>YDRE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45666</v>
      </c>
      <c r="E230" s="1" t="n">
        <v>46281</v>
      </c>
      <c r="F230" t="inlineStr">
        <is>
          <t>ÖSTERGÖTLANDS LÄN</t>
        </is>
      </c>
      <c r="G230" t="inlineStr">
        <is>
          <t>YDRE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44816</v>
      </c>
      <c r="E231" s="1" t="n">
        <v>46281</v>
      </c>
      <c r="F231" t="inlineStr">
        <is>
          <t>ÖSTERGÖTLANDS LÄN</t>
        </is>
      </c>
      <c r="G231" t="inlineStr">
        <is>
          <t>YDRE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46281</v>
      </c>
      <c r="F232" t="inlineStr">
        <is>
          <t>ÖSTERGÖTLANDS LÄN</t>
        </is>
      </c>
      <c r="G232" t="inlineStr">
        <is>
          <t>YDRE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45692</v>
      </c>
      <c r="E233" s="1" t="n">
        <v>46281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44562</v>
      </c>
      <c r="E234" s="1" t="n">
        <v>46281</v>
      </c>
      <c r="F234" t="inlineStr">
        <is>
          <t>ÖSTERGÖTLANDS LÄN</t>
        </is>
      </c>
      <c r="G234" t="inlineStr">
        <is>
          <t>YDRE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46281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22312-2026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46154</v>
      </c>
      <c r="E236" s="1" t="n">
        <v>46281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46281</v>
      </c>
      <c r="F237" t="inlineStr">
        <is>
          <t>ÖSTERGÖTLANDS LÄN</t>
        </is>
      </c>
      <c r="G237" t="inlineStr">
        <is>
          <t>YDRE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44502</v>
      </c>
      <c r="E238" s="1" t="n">
        <v>46281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46281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46281</v>
      </c>
      <c r="F240" t="inlineStr">
        <is>
          <t>ÖSTERGÖTLANDS LÄN</t>
        </is>
      </c>
      <c r="G240" t="inlineStr">
        <is>
          <t>YDRE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45707</v>
      </c>
      <c r="E241" s="1" t="n">
        <v>46281</v>
      </c>
      <c r="F241" t="inlineStr">
        <is>
          <t>ÖSTERGÖTLANDS LÄN</t>
        </is>
      </c>
      <c r="G241" t="inlineStr">
        <is>
          <t>YDRE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46281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46281</v>
      </c>
      <c r="F243" t="inlineStr">
        <is>
          <t>ÖSTERGÖTLANDS LÄN</t>
        </is>
      </c>
      <c r="G243" t="inlineStr">
        <is>
          <t>YDRE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46281</v>
      </c>
      <c r="F244" t="inlineStr">
        <is>
          <t>ÖSTERGÖTLANDS LÄN</t>
        </is>
      </c>
      <c r="G244" t="inlineStr">
        <is>
          <t>YDRE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46281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46281</v>
      </c>
      <c r="F246" t="inlineStr">
        <is>
          <t>ÖSTERGÖTLANDS LÄN</t>
        </is>
      </c>
      <c r="G246" t="inlineStr">
        <is>
          <t>YDRE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46281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46281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46281</v>
      </c>
      <c r="F249" t="inlineStr">
        <is>
          <t>ÖSTERGÖTLANDS LÄN</t>
        </is>
      </c>
      <c r="G249" t="inlineStr">
        <is>
          <t>YDRE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46281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56900-2022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44894</v>
      </c>
      <c r="E251" s="1" t="n">
        <v>46281</v>
      </c>
      <c r="F251" t="inlineStr">
        <is>
          <t>ÖSTERGÖTLANDS LÄN</t>
        </is>
      </c>
      <c r="G251" t="inlineStr">
        <is>
          <t>YDRE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46281</v>
      </c>
      <c r="F252" t="inlineStr">
        <is>
          <t>ÖSTERGÖTLANDS LÄN</t>
        </is>
      </c>
      <c r="G252" t="inlineStr">
        <is>
          <t>YDRE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46281</v>
      </c>
      <c r="F253" t="inlineStr">
        <is>
          <t>ÖSTERGÖTLANDS LÄN</t>
        </is>
      </c>
      <c r="G253" t="inlineStr">
        <is>
          <t>YDRE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63538-2025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46281</v>
      </c>
      <c r="F254" t="inlineStr">
        <is>
          <t>ÖSTERGÖTLANDS LÄN</t>
        </is>
      </c>
      <c r="G254" t="inlineStr">
        <is>
          <t>YDRE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46281</v>
      </c>
      <c r="F255" t="inlineStr">
        <is>
          <t>ÖSTERGÖTLANDS LÄN</t>
        </is>
      </c>
      <c r="G255" t="inlineStr">
        <is>
          <t>YDRE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45334</v>
      </c>
      <c r="E256" s="1" t="n">
        <v>46281</v>
      </c>
      <c r="F256" t="inlineStr">
        <is>
          <t>ÖSTERGÖTLANDS LÄN</t>
        </is>
      </c>
      <c r="G256" t="inlineStr">
        <is>
          <t>YDRE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46021</v>
      </c>
      <c r="E257" s="1" t="n">
        <v>46281</v>
      </c>
      <c r="F257" t="inlineStr">
        <is>
          <t>ÖSTERGÖTLANDS LÄN</t>
        </is>
      </c>
      <c r="G257" t="inlineStr">
        <is>
          <t>YDRE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56323-2021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44480</v>
      </c>
      <c r="E258" s="1" t="n">
        <v>46281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  <c r="Z258">
        <f>HYPERLINK("https://klasma.github.io/Logging_0512/knärot/A 56323-2021 karta knärot.png", "A 56323-2021")</f>
        <v/>
      </c>
      <c r="AA258">
        <f>HYPERLINK("https://klasma.github.io/Logging_0512/klagomål/A 56323-2021 FSC-klagomål.docx", "A 56323-2021")</f>
        <v/>
      </c>
      <c r="AB258">
        <f>HYPERLINK("https://klasma.github.io/Logging_0512/klagomålsmail/A 56323-2021 FSC-klagomål mail.docx", "A 56323-2021")</f>
        <v/>
      </c>
      <c r="AC258">
        <f>HYPERLINK("https://klasma.github.io/Logging_0512/tillsyn/A 56323-2021 tillsynsbegäran.docx", "A 56323-2021")</f>
        <v/>
      </c>
      <c r="AD258">
        <f>HYPERLINK("https://klasma.github.io/Logging_0512/tillsynsmail/A 56323-2021 tillsynsbegäran mail.docx", "A 56323-2021")</f>
        <v/>
      </c>
    </row>
    <row r="259" ht="15" customHeight="1">
      <c r="A259" t="inlineStr">
        <is>
          <t>A 2745-2026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46038</v>
      </c>
      <c r="E259" s="1" t="n">
        <v>46281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46281</v>
      </c>
      <c r="F260" t="inlineStr">
        <is>
          <t>ÖSTERGÖTLANDS LÄN</t>
        </is>
      </c>
      <c r="G260" t="inlineStr">
        <is>
          <t>YDRE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56313-2021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44480</v>
      </c>
      <c r="E261" s="1" t="n">
        <v>46281</v>
      </c>
      <c r="F261" t="inlineStr">
        <is>
          <t>ÖSTERGÖTLANDS LÄN</t>
        </is>
      </c>
      <c r="G261" t="inlineStr">
        <is>
          <t>YDRE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46281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44868</v>
      </c>
      <c r="E263" s="1" t="n">
        <v>46281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61205-2023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45264</v>
      </c>
      <c r="E264" s="1" t="n">
        <v>46281</v>
      </c>
      <c r="F264" t="inlineStr">
        <is>
          <t>ÖSTERGÖTLANDS LÄN</t>
        </is>
      </c>
      <c r="G264" t="inlineStr">
        <is>
          <t>YDRE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46281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61636-2021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44501</v>
      </c>
      <c r="E266" s="1" t="n">
        <v>46281</v>
      </c>
      <c r="F266" t="inlineStr">
        <is>
          <t>ÖSTERGÖTLANDS LÄN</t>
        </is>
      </c>
      <c r="G266" t="inlineStr">
        <is>
          <t>YDRE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24780-2026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46171</v>
      </c>
      <c r="E267" s="1" t="n">
        <v>46281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46044</v>
      </c>
      <c r="E268" s="1" t="n">
        <v>46281</v>
      </c>
      <c r="F268" t="inlineStr">
        <is>
          <t>ÖSTERGÖTLANDS LÄN</t>
        </is>
      </c>
      <c r="G268" t="inlineStr">
        <is>
          <t>YDRE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70448-2021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44536</v>
      </c>
      <c r="E269" s="1" t="n">
        <v>46281</v>
      </c>
      <c r="F269" t="inlineStr">
        <is>
          <t>ÖSTERGÖTLANDS LÄN</t>
        </is>
      </c>
      <c r="G269" t="inlineStr">
        <is>
          <t>YDRE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36711-2023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45153</v>
      </c>
      <c r="E270" s="1" t="n">
        <v>46281</v>
      </c>
      <c r="F270" t="inlineStr">
        <is>
          <t>ÖSTERGÖTLANDS LÄN</t>
        </is>
      </c>
      <c r="G270" t="inlineStr">
        <is>
          <t>YDRE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46281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46281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62859-2023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45272</v>
      </c>
      <c r="E273" s="1" t="n">
        <v>46281</v>
      </c>
      <c r="F273" t="inlineStr">
        <is>
          <t>ÖSTERGÖTLANDS LÄN</t>
        </is>
      </c>
      <c r="G273" t="inlineStr">
        <is>
          <t>YDRE</t>
        </is>
      </c>
      <c r="H273" t="inlineStr">
        <is>
          <t>Övriga Aktiebolag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46281</v>
      </c>
      <c r="F274" t="inlineStr">
        <is>
          <t>ÖSTERGÖTLANDS LÄN</t>
        </is>
      </c>
      <c r="G274" t="inlineStr">
        <is>
          <t>YDRE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45580</v>
      </c>
      <c r="E275" s="1" t="n">
        <v>46281</v>
      </c>
      <c r="F275" t="inlineStr">
        <is>
          <t>ÖSTERGÖTLANDS LÄN</t>
        </is>
      </c>
      <c r="G275" t="inlineStr">
        <is>
          <t>YDRE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46281</v>
      </c>
      <c r="F276" t="inlineStr">
        <is>
          <t>ÖSTERGÖTLANDS LÄN</t>
        </is>
      </c>
      <c r="G276" t="inlineStr">
        <is>
          <t>YDRE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46281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46281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6293-2026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46055</v>
      </c>
      <c r="E279" s="1" t="n">
        <v>46281</v>
      </c>
      <c r="F279" t="inlineStr">
        <is>
          <t>ÖSTERGÖTLANDS LÄN</t>
        </is>
      </c>
      <c r="G279" t="inlineStr">
        <is>
          <t>YDRE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44994</v>
      </c>
      <c r="E280" s="1" t="n">
        <v>46281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46058</v>
      </c>
      <c r="E281" s="1" t="n">
        <v>46281</v>
      </c>
      <c r="F281" t="inlineStr">
        <is>
          <t>ÖSTERGÖTLANDS LÄN</t>
        </is>
      </c>
      <c r="G281" t="inlineStr">
        <is>
          <t>YDRE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46281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46281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7641-2026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46281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57290-2021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44483</v>
      </c>
      <c r="E285" s="1" t="n">
        <v>46281</v>
      </c>
      <c r="F285" t="inlineStr">
        <is>
          <t>ÖSTERGÖTLANDS LÄN</t>
        </is>
      </c>
      <c r="G285" t="inlineStr">
        <is>
          <t>YDRE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46281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46281</v>
      </c>
      <c r="F287" t="inlineStr">
        <is>
          <t>ÖSTERGÖTLANDS LÄN</t>
        </is>
      </c>
      <c r="G287" t="inlineStr">
        <is>
          <t>YDRE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45096</v>
      </c>
      <c r="E288" s="1" t="n">
        <v>46281</v>
      </c>
      <c r="F288" t="inlineStr">
        <is>
          <t>ÖSTERGÖTLANDS LÄN</t>
        </is>
      </c>
      <c r="G288" t="inlineStr">
        <is>
          <t>YDRE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46281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46281</v>
      </c>
      <c r="F290" t="inlineStr">
        <is>
          <t>ÖSTERGÖTLANDS LÄN</t>
        </is>
      </c>
      <c r="G290" t="inlineStr">
        <is>
          <t>YDRE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46281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46281</v>
      </c>
      <c r="F292" t="inlineStr">
        <is>
          <t>ÖSTERGÖTLANDS LÄN</t>
        </is>
      </c>
      <c r="G292" t="inlineStr">
        <is>
          <t>YDRE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44987</v>
      </c>
      <c r="E293" s="1" t="n">
        <v>46281</v>
      </c>
      <c r="F293" t="inlineStr">
        <is>
          <t>ÖSTERGÖTLANDS LÄN</t>
        </is>
      </c>
      <c r="G293" t="inlineStr">
        <is>
          <t>YDRE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46281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46077</v>
      </c>
      <c r="E295" s="1" t="n">
        <v>46281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46281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46281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46281</v>
      </c>
      <c r="F298" t="inlineStr">
        <is>
          <t>ÖSTERGÖTLANDS LÄN</t>
        </is>
      </c>
      <c r="G298" t="inlineStr">
        <is>
          <t>YDRE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46281</v>
      </c>
      <c r="F299" t="inlineStr">
        <is>
          <t>ÖSTERGÖTLANDS LÄN</t>
        </is>
      </c>
      <c r="G299" t="inlineStr">
        <is>
          <t>YDRE</t>
        </is>
      </c>
      <c r="H299" t="inlineStr">
        <is>
          <t>Kyrkan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46281</v>
      </c>
      <c r="F300" t="inlineStr">
        <is>
          <t>ÖSTERGÖTLANDS LÄN</t>
        </is>
      </c>
      <c r="G300" t="inlineStr">
        <is>
          <t>YDRE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68983-2021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44530</v>
      </c>
      <c r="E301" s="1" t="n">
        <v>46281</v>
      </c>
      <c r="F301" t="inlineStr">
        <is>
          <t>ÖSTERGÖTLANDS LÄN</t>
        </is>
      </c>
      <c r="G301" t="inlineStr">
        <is>
          <t>YDRE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45335</v>
      </c>
      <c r="E302" s="1" t="n">
        <v>46281</v>
      </c>
      <c r="F302" t="inlineStr">
        <is>
          <t>ÖSTERGÖTLANDS LÄN</t>
        </is>
      </c>
      <c r="G302" t="inlineStr">
        <is>
          <t>YDRE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46281</v>
      </c>
      <c r="F303" t="inlineStr">
        <is>
          <t>ÖSTERGÖTLANDS LÄN</t>
        </is>
      </c>
      <c r="G303" t="inlineStr">
        <is>
          <t>YDRE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27700-2026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46190</v>
      </c>
      <c r="E304" s="1" t="n">
        <v>46281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44980</v>
      </c>
      <c r="E305" s="1" t="n">
        <v>46281</v>
      </c>
      <c r="F305" t="inlineStr">
        <is>
          <t>ÖSTERGÖTLANDS LÄN</t>
        </is>
      </c>
      <c r="G305" t="inlineStr">
        <is>
          <t>YDRE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46281</v>
      </c>
      <c r="F306" t="inlineStr">
        <is>
          <t>ÖSTERGÖTLANDS LÄN</t>
        </is>
      </c>
      <c r="G306" t="inlineStr">
        <is>
          <t>YDRE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46240</v>
      </c>
      <c r="E307" s="1" t="n">
        <v>46281</v>
      </c>
      <c r="F307" t="inlineStr">
        <is>
          <t>ÖSTERGÖTLANDS LÄN</t>
        </is>
      </c>
      <c r="G307" t="inlineStr">
        <is>
          <t>YDRE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46240</v>
      </c>
      <c r="E308" s="1" t="n">
        <v>46281</v>
      </c>
      <c r="F308" t="inlineStr">
        <is>
          <t>ÖSTERGÖTLANDS LÄN</t>
        </is>
      </c>
      <c r="G308" t="inlineStr">
        <is>
          <t>YDRE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14953-2024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45398</v>
      </c>
      <c r="E309" s="1" t="n">
        <v>46281</v>
      </c>
      <c r="F309" t="inlineStr">
        <is>
          <t>ÖSTERGÖTLANDS LÄN</t>
        </is>
      </c>
      <c r="G309" t="inlineStr">
        <is>
          <t>YDRE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46281</v>
      </c>
      <c r="F310" t="inlineStr">
        <is>
          <t>ÖSTERGÖTLANDS LÄN</t>
        </is>
      </c>
      <c r="G310" t="inlineStr">
        <is>
          <t>YDRE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45077</v>
      </c>
      <c r="E311" s="1" t="n">
        <v>46281</v>
      </c>
      <c r="F311" t="inlineStr">
        <is>
          <t>ÖSTERGÖTLANDS LÄN</t>
        </is>
      </c>
      <c r="G311" t="inlineStr">
        <is>
          <t>YDRE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45138</v>
      </c>
      <c r="E312" s="1" t="n">
        <v>46281</v>
      </c>
      <c r="F312" t="inlineStr">
        <is>
          <t>ÖSTERGÖTLANDS LÄN</t>
        </is>
      </c>
      <c r="G312" t="inlineStr">
        <is>
          <t>YDRE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46281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62815-2021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44504</v>
      </c>
      <c r="E314" s="1" t="n">
        <v>46281</v>
      </c>
      <c r="F314" t="inlineStr">
        <is>
          <t>ÖSTERGÖTLANDS LÄN</t>
        </is>
      </c>
      <c r="G314" t="inlineStr">
        <is>
          <t>YDRE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46281</v>
      </c>
      <c r="F315" t="inlineStr">
        <is>
          <t>ÖSTERGÖTLANDS LÄN</t>
        </is>
      </c>
      <c r="G315" t="inlineStr">
        <is>
          <t>YDRE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37567-2023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46281</v>
      </c>
      <c r="F316" t="inlineStr">
        <is>
          <t>ÖSTERGÖTLANDS LÄN</t>
        </is>
      </c>
      <c r="G316" t="inlineStr">
        <is>
          <t>YDRE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46281</v>
      </c>
      <c r="F317" t="inlineStr">
        <is>
          <t>ÖSTERGÖTLANDS LÄN</t>
        </is>
      </c>
      <c r="G317" t="inlineStr">
        <is>
          <t>YDRE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46281</v>
      </c>
      <c r="F318" t="inlineStr">
        <is>
          <t>ÖSTERGÖTLANDS LÄN</t>
        </is>
      </c>
      <c r="G318" t="inlineStr">
        <is>
          <t>YDRE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14184-2022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44651</v>
      </c>
      <c r="E319" s="1" t="n">
        <v>46281</v>
      </c>
      <c r="F319" t="inlineStr">
        <is>
          <t>ÖSTERGÖTLANDS LÄN</t>
        </is>
      </c>
      <c r="G319" t="inlineStr">
        <is>
          <t>YDRE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62485-2021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44503</v>
      </c>
      <c r="E320" s="1" t="n">
        <v>46281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45583</v>
      </c>
      <c r="E321" s="1" t="n">
        <v>46281</v>
      </c>
      <c r="F321" t="inlineStr">
        <is>
          <t>ÖSTERGÖTLANDS LÄN</t>
        </is>
      </c>
      <c r="G321" t="inlineStr">
        <is>
          <t>YDRE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46281</v>
      </c>
      <c r="F322" t="inlineStr">
        <is>
          <t>ÖSTERGÖTLANDS LÄN</t>
        </is>
      </c>
      <c r="G322" t="inlineStr">
        <is>
          <t>YDRE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46281</v>
      </c>
      <c r="F323" t="inlineStr">
        <is>
          <t>ÖSTERGÖTLANDS LÄN</t>
        </is>
      </c>
      <c r="G323" t="inlineStr">
        <is>
          <t>YDRE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46281</v>
      </c>
      <c r="F324" t="inlineStr">
        <is>
          <t>ÖSTERGÖTLANDS LÄN</t>
        </is>
      </c>
      <c r="G324" t="inlineStr">
        <is>
          <t>YDRE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45436</v>
      </c>
      <c r="E325" s="1" t="n">
        <v>46281</v>
      </c>
      <c r="F325" t="inlineStr">
        <is>
          <t>ÖSTERGÖTLANDS LÄN</t>
        </is>
      </c>
      <c r="G325" t="inlineStr">
        <is>
          <t>YDRE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7306-2022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44606</v>
      </c>
      <c r="E326" s="1" t="n">
        <v>46281</v>
      </c>
      <c r="F326" t="inlineStr">
        <is>
          <t>ÖSTERGÖTLANDS LÄN</t>
        </is>
      </c>
      <c r="G326" t="inlineStr">
        <is>
          <t>YDRE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45755</v>
      </c>
      <c r="E327" s="1" t="n">
        <v>46281</v>
      </c>
      <c r="F327" t="inlineStr">
        <is>
          <t>ÖSTERGÖTLANDS LÄN</t>
        </is>
      </c>
      <c r="G327" t="inlineStr">
        <is>
          <t>YDRE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46281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45104</v>
      </c>
      <c r="E329" s="1" t="n">
        <v>46281</v>
      </c>
      <c r="F329" t="inlineStr">
        <is>
          <t>ÖSTERGÖTLANDS LÄN</t>
        </is>
      </c>
      <c r="G329" t="inlineStr">
        <is>
          <t>YDRE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46281</v>
      </c>
      <c r="F330" t="inlineStr">
        <is>
          <t>ÖSTERGÖTLANDS LÄN</t>
        </is>
      </c>
      <c r="G330" t="inlineStr">
        <is>
          <t>YDRE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46281</v>
      </c>
      <c r="F331" t="inlineStr">
        <is>
          <t>ÖSTERGÖTLANDS LÄN</t>
        </is>
      </c>
      <c r="G331" t="inlineStr">
        <is>
          <t>YDRE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46281</v>
      </c>
      <c r="F332" t="inlineStr">
        <is>
          <t>ÖSTERGÖTLANDS LÄN</t>
        </is>
      </c>
      <c r="G332" t="inlineStr">
        <is>
          <t>YDRE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46281</v>
      </c>
      <c r="F333" t="inlineStr">
        <is>
          <t>ÖSTERGÖTLANDS LÄN</t>
        </is>
      </c>
      <c r="G333" t="inlineStr">
        <is>
          <t>YDRE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45449-2023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45194</v>
      </c>
      <c r="E334" s="1" t="n">
        <v>46281</v>
      </c>
      <c r="F334" t="inlineStr">
        <is>
          <t>ÖSTERGÖTLANDS LÄN</t>
        </is>
      </c>
      <c r="G334" t="inlineStr">
        <is>
          <t>YDRE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44655</v>
      </c>
      <c r="E335" s="1" t="n">
        <v>46281</v>
      </c>
      <c r="F335" t="inlineStr">
        <is>
          <t>ÖSTERGÖTLANDS LÄN</t>
        </is>
      </c>
      <c r="G335" t="inlineStr">
        <is>
          <t>YDRE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46281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46281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44789</v>
      </c>
      <c r="E338" s="1" t="n">
        <v>46281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45698</v>
      </c>
      <c r="E339" s="1" t="n">
        <v>46281</v>
      </c>
      <c r="F339" t="inlineStr">
        <is>
          <t>ÖSTERGÖTLANDS LÄN</t>
        </is>
      </c>
      <c r="G339" t="inlineStr">
        <is>
          <t>YDRE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2079-2022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44576</v>
      </c>
      <c r="E340" s="1" t="n">
        <v>46281</v>
      </c>
      <c r="F340" t="inlineStr">
        <is>
          <t>ÖSTERGÖTLANDS LÄN</t>
        </is>
      </c>
      <c r="G340" t="inlineStr">
        <is>
          <t>YDRE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45758</v>
      </c>
      <c r="E341" s="1" t="n">
        <v>46281</v>
      </c>
      <c r="F341" t="inlineStr">
        <is>
          <t>ÖSTERGÖTLANDS LÄN</t>
        </is>
      </c>
      <c r="G341" t="inlineStr">
        <is>
          <t>YDRE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45434</v>
      </c>
      <c r="E342" s="1" t="n">
        <v>46281</v>
      </c>
      <c r="F342" t="inlineStr">
        <is>
          <t>ÖSTERGÖTLANDS LÄN</t>
        </is>
      </c>
      <c r="G342" t="inlineStr">
        <is>
          <t>YDRE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46281</v>
      </c>
      <c r="F343" t="inlineStr">
        <is>
          <t>ÖSTERGÖTLANDS LÄN</t>
        </is>
      </c>
      <c r="G343" t="inlineStr">
        <is>
          <t>YDRE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46281</v>
      </c>
      <c r="F344" t="inlineStr">
        <is>
          <t>ÖSTERGÖTLANDS LÄN</t>
        </is>
      </c>
      <c r="G344" t="inlineStr">
        <is>
          <t>YDRE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24637-2024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46281</v>
      </c>
      <c r="F345" t="inlineStr">
        <is>
          <t>ÖSTERGÖTLANDS LÄN</t>
        </is>
      </c>
      <c r="G345" t="inlineStr">
        <is>
          <t>YDRE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46281</v>
      </c>
      <c r="F346" t="inlineStr">
        <is>
          <t>ÖSTERGÖTLANDS LÄN</t>
        </is>
      </c>
      <c r="G346" t="inlineStr">
        <is>
          <t>YDRE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44480</v>
      </c>
      <c r="E347" s="1" t="n">
        <v>46281</v>
      </c>
      <c r="F347" t="inlineStr">
        <is>
          <t>ÖSTERGÖTLANDS LÄN</t>
        </is>
      </c>
      <c r="G347" t="inlineStr">
        <is>
          <t>YDRE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45664</v>
      </c>
      <c r="E348" s="1" t="n">
        <v>46281</v>
      </c>
      <c r="F348" t="inlineStr">
        <is>
          <t>ÖSTERGÖTLANDS LÄN</t>
        </is>
      </c>
      <c r="G348" t="inlineStr">
        <is>
          <t>YDRE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27737-2022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46281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45596</v>
      </c>
      <c r="E350" s="1" t="n">
        <v>46281</v>
      </c>
      <c r="F350" t="inlineStr">
        <is>
          <t>ÖSTERGÖTLANDS LÄN</t>
        </is>
      </c>
      <c r="G350" t="inlineStr">
        <is>
          <t>YDRE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45085</v>
      </c>
      <c r="E351" s="1" t="n">
        <v>46281</v>
      </c>
      <c r="F351" t="inlineStr">
        <is>
          <t>ÖSTERGÖTLANDS LÄN</t>
        </is>
      </c>
      <c r="G351" t="inlineStr">
        <is>
          <t>YDRE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46281</v>
      </c>
      <c r="F352" t="inlineStr">
        <is>
          <t>ÖSTERGÖTLANDS LÄN</t>
        </is>
      </c>
      <c r="G352" t="inlineStr">
        <is>
          <t>YDRE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17296-2024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46281</v>
      </c>
      <c r="F353" t="inlineStr">
        <is>
          <t>ÖSTERGÖTLANDS LÄN</t>
        </is>
      </c>
      <c r="G353" t="inlineStr">
        <is>
          <t>YDRE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46281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46281</v>
      </c>
      <c r="F355" t="inlineStr">
        <is>
          <t>ÖSTERGÖTLANDS LÄN</t>
        </is>
      </c>
      <c r="G355" t="inlineStr">
        <is>
          <t>YDRE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44635</v>
      </c>
      <c r="E356" s="1" t="n">
        <v>46281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46281</v>
      </c>
      <c r="F357" t="inlineStr">
        <is>
          <t>ÖSTERGÖTLANDS LÄN</t>
        </is>
      </c>
      <c r="G357" t="inlineStr">
        <is>
          <t>YDRE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46281</v>
      </c>
      <c r="F358" t="inlineStr">
        <is>
          <t>ÖSTERGÖTLANDS LÄN</t>
        </is>
      </c>
      <c r="G358" t="inlineStr">
        <is>
          <t>YDRE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45665</v>
      </c>
      <c r="E359" s="1" t="n">
        <v>46281</v>
      </c>
      <c r="F359" t="inlineStr">
        <is>
          <t>ÖSTERGÖTLANDS LÄN</t>
        </is>
      </c>
      <c r="G359" t="inlineStr">
        <is>
          <t>YDRE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45110</v>
      </c>
      <c r="E360" s="1" t="n">
        <v>46281</v>
      </c>
      <c r="F360" t="inlineStr">
        <is>
          <t>ÖSTERGÖTLANDS LÄN</t>
        </is>
      </c>
      <c r="G360" t="inlineStr">
        <is>
          <t>YDRE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45218</v>
      </c>
      <c r="E361" s="1" t="n">
        <v>46281</v>
      </c>
      <c r="F361" t="inlineStr">
        <is>
          <t>ÖSTERGÖTLANDS LÄN</t>
        </is>
      </c>
      <c r="G361" t="inlineStr">
        <is>
          <t>YDRE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45236</v>
      </c>
      <c r="E362" s="1" t="n">
        <v>46281</v>
      </c>
      <c r="F362" t="inlineStr">
        <is>
          <t>ÖSTERGÖTLANDS LÄN</t>
        </is>
      </c>
      <c r="G362" t="inlineStr">
        <is>
          <t>YDRE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46273</v>
      </c>
      <c r="E363" s="1" t="n">
        <v>46281</v>
      </c>
      <c r="F363" t="inlineStr">
        <is>
          <t>ÖSTERGÖTLANDS LÄN</t>
        </is>
      </c>
      <c r="G363" t="inlineStr">
        <is>
          <t>YDRE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46273</v>
      </c>
      <c r="E364" s="1" t="n">
        <v>46281</v>
      </c>
      <c r="F364" t="inlineStr">
        <is>
          <t>ÖSTERGÖTLANDS LÄN</t>
        </is>
      </c>
      <c r="G364" t="inlineStr">
        <is>
          <t>YDRE</t>
        </is>
      </c>
      <c r="I364" t="n">
        <v>15.6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46281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46273</v>
      </c>
      <c r="E366" s="1" t="n">
        <v>46281</v>
      </c>
      <c r="F366" t="inlineStr">
        <is>
          <t>ÖSTERGÖTLANDS LÄN</t>
        </is>
      </c>
      <c r="G366" t="inlineStr">
        <is>
          <t>YDRE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46281</v>
      </c>
      <c r="F367" t="inlineStr">
        <is>
          <t>ÖSTERGÖTLANDS LÄN</t>
        </is>
      </c>
      <c r="G367" t="inlineStr">
        <is>
          <t>YDRE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46281</v>
      </c>
      <c r="F368" t="inlineStr">
        <is>
          <t>ÖSTERGÖTLANDS LÄN</t>
        </is>
      </c>
      <c r="G368" t="inlineStr">
        <is>
          <t>YDRE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46281</v>
      </c>
      <c r="F369" t="inlineStr">
        <is>
          <t>ÖSTERGÖTLANDS LÄN</t>
        </is>
      </c>
      <c r="G369" t="inlineStr">
        <is>
          <t>YDRE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45677</v>
      </c>
      <c r="E370" s="1" t="n">
        <v>46281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45707</v>
      </c>
      <c r="E371" s="1" t="n">
        <v>46281</v>
      </c>
      <c r="F371" t="inlineStr">
        <is>
          <t>ÖSTERGÖTLANDS LÄN</t>
        </is>
      </c>
      <c r="G371" t="inlineStr">
        <is>
          <t>YDRE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46275</v>
      </c>
      <c r="E372" s="1" t="n">
        <v>46281</v>
      </c>
      <c r="F372" t="inlineStr">
        <is>
          <t>ÖSTERGÖTLANDS LÄN</t>
        </is>
      </c>
      <c r="G372" t="inlineStr">
        <is>
          <t>YDRE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46281</v>
      </c>
      <c r="F373" t="inlineStr">
        <is>
          <t>ÖSTERGÖTLANDS LÄN</t>
        </is>
      </c>
      <c r="G373" t="inlineStr">
        <is>
          <t>YDRE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46281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46281</v>
      </c>
      <c r="F375" t="inlineStr">
        <is>
          <t>ÖSTERGÖTLANDS LÄN</t>
        </is>
      </c>
      <c r="G375" t="inlineStr">
        <is>
          <t>YDRE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45414</v>
      </c>
      <c r="E376" s="1" t="n">
        <v>46281</v>
      </c>
      <c r="F376" t="inlineStr">
        <is>
          <t>ÖSTERGÖTLANDS LÄN</t>
        </is>
      </c>
      <c r="G376" t="inlineStr">
        <is>
          <t>YDRE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46281</v>
      </c>
      <c r="F377" t="inlineStr">
        <is>
          <t>ÖSTERGÖTLANDS LÄN</t>
        </is>
      </c>
      <c r="G377" t="inlineStr">
        <is>
          <t>YDRE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45468</v>
      </c>
      <c r="E378" s="1" t="n">
        <v>46281</v>
      </c>
      <c r="F378" t="inlineStr">
        <is>
          <t>ÖSTERGÖTLANDS LÄN</t>
        </is>
      </c>
      <c r="G378" t="inlineStr">
        <is>
          <t>YDRE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45492</v>
      </c>
      <c r="E379" s="1" t="n">
        <v>46281</v>
      </c>
      <c r="F379" t="inlineStr">
        <is>
          <t>ÖSTERGÖTLANDS LÄN</t>
        </is>
      </c>
      <c r="G379" t="inlineStr">
        <is>
          <t>YDRE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38059-2026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46281</v>
      </c>
      <c r="F380" t="inlineStr">
        <is>
          <t>ÖSTERGÖTLANDS LÄN</t>
        </is>
      </c>
      <c r="G380" t="inlineStr">
        <is>
          <t>YDRE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45666</v>
      </c>
      <c r="E381" s="1" t="n">
        <v>46281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45475</v>
      </c>
      <c r="E382" s="1" t="n">
        <v>46281</v>
      </c>
      <c r="F382" t="inlineStr">
        <is>
          <t>ÖSTERGÖTLANDS LÄN</t>
        </is>
      </c>
      <c r="G382" t="inlineStr">
        <is>
          <t>YDRE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9180-2025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46281</v>
      </c>
      <c r="F383" t="inlineStr">
        <is>
          <t>ÖSTERGÖTLANDS LÄN</t>
        </is>
      </c>
      <c r="G383" t="inlineStr">
        <is>
          <t>YDRE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46281</v>
      </c>
      <c r="F384" t="inlineStr">
        <is>
          <t>ÖSTERGÖTLANDS LÄN</t>
        </is>
      </c>
      <c r="G384" t="inlineStr">
        <is>
          <t>YDRE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46281</v>
      </c>
      <c r="F385" t="inlineStr">
        <is>
          <t>ÖSTERGÖTLANDS LÄN</t>
        </is>
      </c>
      <c r="G385" t="inlineStr">
        <is>
          <t>YDRE</t>
        </is>
      </c>
      <c r="H385" t="inlineStr">
        <is>
          <t>Övriga Aktiebolag</t>
        </is>
      </c>
      <c r="I385" t="n">
        <v>18.2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46281</v>
      </c>
      <c r="F386" t="inlineStr">
        <is>
          <t>ÖSTERGÖTLANDS LÄN</t>
        </is>
      </c>
      <c r="G386" t="inlineStr">
        <is>
          <t>YDRE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46281</v>
      </c>
      <c r="F387" t="inlineStr">
        <is>
          <t>ÖSTERGÖTLANDS LÄN</t>
        </is>
      </c>
      <c r="G387" t="inlineStr">
        <is>
          <t>YDRE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46281</v>
      </c>
      <c r="F388" t="inlineStr">
        <is>
          <t>ÖSTERGÖTLANDS LÄN</t>
        </is>
      </c>
      <c r="G388" t="inlineStr">
        <is>
          <t>YDRE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46281</v>
      </c>
      <c r="F389" t="inlineStr">
        <is>
          <t>ÖSTERGÖTLANDS LÄN</t>
        </is>
      </c>
      <c r="G389" t="inlineStr">
        <is>
          <t>YDRE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46281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45821</v>
      </c>
      <c r="E391" s="1" t="n">
        <v>46281</v>
      </c>
      <c r="F391" t="inlineStr">
        <is>
          <t>ÖSTERGÖTLANDS LÄN</t>
        </is>
      </c>
      <c r="G391" t="inlineStr">
        <is>
          <t>YDRE</t>
        </is>
      </c>
      <c r="H391" t="inlineStr">
        <is>
          <t>Kyrkan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46281</v>
      </c>
      <c r="F392" t="inlineStr">
        <is>
          <t>ÖSTERGÖTLANDS LÄN</t>
        </is>
      </c>
      <c r="G392" t="inlineStr">
        <is>
          <t>YDRE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46281</v>
      </c>
      <c r="F393" t="inlineStr">
        <is>
          <t>ÖSTERGÖTLANDS LÄN</t>
        </is>
      </c>
      <c r="G393" t="inlineStr">
        <is>
          <t>YDRE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46281</v>
      </c>
      <c r="F394" t="inlineStr">
        <is>
          <t>ÖSTERGÖTLANDS LÄN</t>
        </is>
      </c>
      <c r="G394" t="inlineStr">
        <is>
          <t>YDRE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46281</v>
      </c>
      <c r="F395" t="inlineStr">
        <is>
          <t>ÖSTERGÖTLANDS LÄN</t>
        </is>
      </c>
      <c r="G395" t="inlineStr">
        <is>
          <t>YDRE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46281</v>
      </c>
      <c r="F396" t="inlineStr">
        <is>
          <t>ÖSTERGÖTLANDS LÄN</t>
        </is>
      </c>
      <c r="G396" t="inlineStr">
        <is>
          <t>YDRE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46281</v>
      </c>
      <c r="F397" t="inlineStr">
        <is>
          <t>ÖSTERGÖTLANDS LÄN</t>
        </is>
      </c>
      <c r="G397" t="inlineStr">
        <is>
          <t>YDRE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46281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32635-2025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45838</v>
      </c>
      <c r="E399" s="1" t="n">
        <v>46281</v>
      </c>
      <c r="F399" t="inlineStr">
        <is>
          <t>ÖSTERGÖTLANDS LÄN</t>
        </is>
      </c>
      <c r="G399" t="inlineStr">
        <is>
          <t>YDRE</t>
        </is>
      </c>
      <c r="H399" t="inlineStr">
        <is>
          <t>Övriga Aktiebolag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46281</v>
      </c>
      <c r="F400" t="inlineStr">
        <is>
          <t>ÖSTERGÖTLANDS LÄN</t>
        </is>
      </c>
      <c r="G400" t="inlineStr">
        <is>
          <t>YDRE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45810</v>
      </c>
      <c r="E401" s="1" t="n">
        <v>46281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45769</v>
      </c>
      <c r="E402" s="1" t="n">
        <v>46281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46281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46281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46281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46281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46281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2026-09-16T02:02:50Z</dcterms:created>
  <dcterms:modified xmlns:dcterms="http://purl.org/dc/terms/" xmlns:xsi="http://www.w3.org/2001/XMLSchema-instance" xsi:type="dcterms:W3CDTF">2026-09-16T02:02:51Z</dcterms:modified>
</cp:coreProperties>
</file>