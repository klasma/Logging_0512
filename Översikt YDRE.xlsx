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46254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46254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46254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46254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46254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46254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46254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46254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46254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46254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46254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46254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46254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46254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46254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46254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46254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46254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46254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46254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46254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46254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46254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46254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46254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11716-2025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46254</v>
      </c>
      <c r="F28" t="inlineStr">
        <is>
          <t>ÖSTERGÖTLANDS LÄN</t>
        </is>
      </c>
      <c r="G28" t="inlineStr">
        <is>
          <t>YDRE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Kryddspindling</t>
        </is>
      </c>
      <c r="W28">
        <f>HYPERLINK("https://klasma.github.io/Logging_0512/artfynd/A 11716-2025 artfynd.xlsx", "A 11716-2025")</f>
        <v/>
      </c>
      <c r="X28">
        <f>HYPERLINK("https://klasma.github.io/Logging_0512/kartor/A 11716-2025 karta.png", "A 11716-2025")</f>
        <v/>
      </c>
      <c r="Y28">
        <f>HYPERLINK("https://klasma.github.io/Logging_0512/kartor_geotiff/A 11716-2025 georefererad karta.tif", "A 11716-2025")</f>
        <v/>
      </c>
      <c r="AA28">
        <f>HYPERLINK("https://klasma.github.io/Logging_0512/klagomål/A 11716-2025 FSC-klagomål.docx", "A 11716-2025")</f>
        <v/>
      </c>
      <c r="AB28">
        <f>HYPERLINK("https://klasma.github.io/Logging_0512/klagomålsmail/A 11716-2025 FSC-klagomål mail.docx", "A 11716-2025")</f>
        <v/>
      </c>
      <c r="AC28">
        <f>HYPERLINK("https://klasma.github.io/Logging_0512/tillsyn/A 11716-2025 tillsynsbegäran.docx", "A 11716-2025")</f>
        <v/>
      </c>
      <c r="AD28">
        <f>HYPERLINK("https://klasma.github.io/Logging_0512/tillsynsmail/A 11716-2025 tillsynsbegäran mail.docx", "A 11716-2025")</f>
        <v/>
      </c>
    </row>
    <row r="29" ht="15" customHeight="1">
      <c r="A29" t="inlineStr">
        <is>
          <t>A 45765-2025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46254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Sommarfibbla</t>
        </is>
      </c>
      <c r="W29">
        <f>HYPERLINK("https://klasma.github.io/Logging_0512/artfynd/A 45765-2025 artfynd.xlsx", "A 45765-2025")</f>
        <v/>
      </c>
      <c r="X29">
        <f>HYPERLINK("https://klasma.github.io/Logging_0512/kartor/A 45765-2025 karta.png", "A 45765-2025")</f>
        <v/>
      </c>
      <c r="Y29">
        <f>HYPERLINK("https://klasma.github.io/Logging_0512/kartor_geotiff/A 45765-2025 georefererad karta.tif", "A 45765-2025")</f>
        <v/>
      </c>
      <c r="AA29">
        <f>HYPERLINK("https://klasma.github.io/Logging_0512/klagomål/A 45765-2025 FSC-klagomål.docx", "A 45765-2025")</f>
        <v/>
      </c>
      <c r="AB29">
        <f>HYPERLINK("https://klasma.github.io/Logging_0512/klagomålsmail/A 45765-2025 FSC-klagomål mail.docx", "A 45765-2025")</f>
        <v/>
      </c>
      <c r="AC29">
        <f>HYPERLINK("https://klasma.github.io/Logging_0512/tillsyn/A 45765-2025 tillsynsbegäran.docx", "A 45765-2025")</f>
        <v/>
      </c>
      <c r="AD29">
        <f>HYPERLINK("https://klasma.github.io/Logging_0512/tillsynsmail/A 45765-2025 tillsynsbegäran mail.docx", "A 45765-2025")</f>
        <v/>
      </c>
    </row>
    <row r="30" ht="15" customHeight="1">
      <c r="A30" t="inlineStr">
        <is>
          <t>A 19370-2025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46254</v>
      </c>
      <c r="F30" t="inlineStr">
        <is>
          <t>ÖSTERGÖTLANDS LÄN</t>
        </is>
      </c>
      <c r="G30" t="inlineStr">
        <is>
          <t>YDRE</t>
        </is>
      </c>
      <c r="I30" t="n">
        <v>5.3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Smal guldkornsfibbla</t>
        </is>
      </c>
      <c r="W30">
        <f>HYPERLINK("https://klasma.github.io/Logging_0512/artfynd/A 19370-2025 artfynd.xlsx", "A 19370-2025")</f>
        <v/>
      </c>
      <c r="X30">
        <f>HYPERLINK("https://klasma.github.io/Logging_0512/kartor/A 19370-2025 karta.png", "A 19370-2025")</f>
        <v/>
      </c>
      <c r="Y30">
        <f>HYPERLINK("https://klasma.github.io/Logging_0512/kartor_geotiff/A 19370-2025 georefererad karta.tif", "A 19370-2025")</f>
        <v/>
      </c>
      <c r="AA30">
        <f>HYPERLINK("https://klasma.github.io/Logging_0512/klagomål/A 19370-2025 FSC-klagomål.docx", "A 19370-2025")</f>
        <v/>
      </c>
      <c r="AB30">
        <f>HYPERLINK("https://klasma.github.io/Logging_0512/klagomålsmail/A 19370-2025 FSC-klagomål mail.docx", "A 19370-2025")</f>
        <v/>
      </c>
      <c r="AC30">
        <f>HYPERLINK("https://klasma.github.io/Logging_0512/tillsyn/A 19370-2025 tillsynsbegäran.docx", "A 19370-2025")</f>
        <v/>
      </c>
      <c r="AD30">
        <f>HYPERLINK("https://klasma.github.io/Logging_0512/tillsynsmail/A 19370-2025 tillsynsbegäran mail.docx", "A 19370-2025")</f>
        <v/>
      </c>
    </row>
    <row r="31" ht="15" customHeight="1">
      <c r="A31" t="inlineStr">
        <is>
          <t>A 53049-2024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45611</v>
      </c>
      <c r="E31" s="1" t="n">
        <v>46254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Mosippa</t>
        </is>
      </c>
      <c r="W31">
        <f>HYPERLINK("https://klasma.github.io/Logging_0512/artfynd/A 53049-2024 artfynd.xlsx", "A 53049-2024")</f>
        <v/>
      </c>
      <c r="X31">
        <f>HYPERLINK("https://klasma.github.io/Logging_0512/kartor/A 53049-2024 karta.png", "A 53049-2024")</f>
        <v/>
      </c>
      <c r="Y31">
        <f>HYPERLINK("https://klasma.github.io/Logging_0512/kartor_geotiff/A 53049-2024 georefererad karta.tif", "A 53049-2024")</f>
        <v/>
      </c>
      <c r="AA31">
        <f>HYPERLINK("https://klasma.github.io/Logging_0512/klagomål/A 53049-2024 FSC-klagomål.docx", "A 53049-2024")</f>
        <v/>
      </c>
      <c r="AB31">
        <f>HYPERLINK("https://klasma.github.io/Logging_0512/klagomålsmail/A 53049-2024 FSC-klagomål mail.docx", "A 53049-2024")</f>
        <v/>
      </c>
      <c r="AC31">
        <f>HYPERLINK("https://klasma.github.io/Logging_0512/tillsyn/A 53049-2024 tillsynsbegäran.docx", "A 53049-2024")</f>
        <v/>
      </c>
      <c r="AD31">
        <f>HYPERLINK("https://klasma.github.io/Logging_0512/tillsynsmail/A 53049-2024 tillsynsbegäran mail.docx", "A 53049-2024")</f>
        <v/>
      </c>
    </row>
    <row r="32" ht="15" customHeight="1">
      <c r="A32" t="inlineStr">
        <is>
          <t>A 11273-2024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45371</v>
      </c>
      <c r="E32" s="1" t="n">
        <v>46254</v>
      </c>
      <c r="F32" t="inlineStr">
        <is>
          <t>ÖSTERGÖTLANDS LÄN</t>
        </is>
      </c>
      <c r="G32" t="inlineStr">
        <is>
          <t>YDRE</t>
        </is>
      </c>
      <c r="I32" t="n">
        <v>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Lungrot</t>
        </is>
      </c>
      <c r="W32">
        <f>HYPERLINK("https://klasma.github.io/Logging_0512/artfynd/A 11273-2024 artfynd.xlsx", "A 11273-2024")</f>
        <v/>
      </c>
      <c r="X32">
        <f>HYPERLINK("https://klasma.github.io/Logging_0512/kartor/A 11273-2024 karta.png", "A 11273-2024")</f>
        <v/>
      </c>
      <c r="Y32">
        <f>HYPERLINK("https://klasma.github.io/Logging_0512/kartor_geotiff/A 11273-2024 georefererad karta.tif", "A 11273-2024")</f>
        <v/>
      </c>
      <c r="AA32">
        <f>HYPERLINK("https://klasma.github.io/Logging_0512/klagomål/A 11273-2024 FSC-klagomål.docx", "A 11273-2024")</f>
        <v/>
      </c>
      <c r="AB32">
        <f>HYPERLINK("https://klasma.github.io/Logging_0512/klagomålsmail/A 11273-2024 FSC-klagomål mail.docx", "A 11273-2024")</f>
        <v/>
      </c>
      <c r="AC32">
        <f>HYPERLINK("https://klasma.github.io/Logging_0512/tillsyn/A 11273-2024 tillsynsbegäran.docx", "A 11273-2024")</f>
        <v/>
      </c>
      <c r="AD32">
        <f>HYPERLINK("https://klasma.github.io/Logging_0512/tillsynsmail/A 11273-2024 tillsynsbegäran mail.docx", "A 11273-2024")</f>
        <v/>
      </c>
    </row>
    <row r="33" ht="15" customHeight="1">
      <c r="A33" t="inlineStr">
        <is>
          <t>A 44503-2025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46254</v>
      </c>
      <c r="F33" t="inlineStr">
        <is>
          <t>ÖSTERGÖTLANDS LÄN</t>
        </is>
      </c>
      <c r="G33" t="inlineStr">
        <is>
          <t>YDRE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44503-2025 artfynd.xlsx", "A 44503-2025")</f>
        <v/>
      </c>
      <c r="X33">
        <f>HYPERLINK("https://klasma.github.io/Logging_0512/kartor/A 44503-2025 karta.png", "A 44503-2025")</f>
        <v/>
      </c>
      <c r="Y33">
        <f>HYPERLINK("https://klasma.github.io/Logging_0512/kartor_geotiff/A 44503-2025 georefererad karta.tif", "A 44503-2025")</f>
        <v/>
      </c>
      <c r="AA33">
        <f>HYPERLINK("https://klasma.github.io/Logging_0512/klagomål/A 44503-2025 FSC-klagomål.docx", "A 44503-2025")</f>
        <v/>
      </c>
      <c r="AB33">
        <f>HYPERLINK("https://klasma.github.io/Logging_0512/klagomålsmail/A 44503-2025 FSC-klagomål mail.docx", "A 44503-2025")</f>
        <v/>
      </c>
      <c r="AC33">
        <f>HYPERLINK("https://klasma.github.io/Logging_0512/tillsyn/A 44503-2025 tillsynsbegäran.docx", "A 44503-2025")</f>
        <v/>
      </c>
      <c r="AD33">
        <f>HYPERLINK("https://klasma.github.io/Logging_0512/tillsynsmail/A 44503-2025 tillsynsbegäran mail.docx", "A 44503-2025")</f>
        <v/>
      </c>
    </row>
    <row r="34" ht="15" customHeight="1">
      <c r="A34" t="inlineStr">
        <is>
          <t>A 41907-2024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45561</v>
      </c>
      <c r="E34" s="1" t="n">
        <v>46254</v>
      </c>
      <c r="F34" t="inlineStr">
        <is>
          <t>ÖSTERGÖTLANDS LÄN</t>
        </is>
      </c>
      <c r="G34" t="inlineStr">
        <is>
          <t>YDRE</t>
        </is>
      </c>
      <c r="I34" t="n">
        <v>1.2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HYPERLINK("https://klasma.github.io/Logging_0512/artfynd/A 41907-2024 artfynd.xlsx", "A 41907-2024")</f>
        <v/>
      </c>
      <c r="X34">
        <f>HYPERLINK("https://klasma.github.io/Logging_0512/kartor/A 41907-2024 karta.png", "A 41907-2024")</f>
        <v/>
      </c>
      <c r="Y34">
        <f>HYPERLINK("https://klasma.github.io/Logging_0512/kartor_geotiff/A 41907-2024 georefererad karta.tif", "A 41907-2024")</f>
        <v/>
      </c>
      <c r="AA34">
        <f>HYPERLINK("https://klasma.github.io/Logging_0512/klagomål/A 41907-2024 FSC-klagomål.docx", "A 41907-2024")</f>
        <v/>
      </c>
      <c r="AB34">
        <f>HYPERLINK("https://klasma.github.io/Logging_0512/klagomålsmail/A 41907-2024 FSC-klagomål mail.docx", "A 41907-2024")</f>
        <v/>
      </c>
      <c r="AC34">
        <f>HYPERLINK("https://klasma.github.io/Logging_0512/tillsyn/A 41907-2024 tillsynsbegäran.docx", "A 41907-2024")</f>
        <v/>
      </c>
      <c r="AD34">
        <f>HYPERLINK("https://klasma.github.io/Logging_0512/tillsynsmail/A 41907-2024 tillsynsbegäran mail.docx", "A 41907-2024")</f>
        <v/>
      </c>
    </row>
    <row r="35" ht="15" customHeight="1">
      <c r="A35" t="inlineStr">
        <is>
          <t>A 45771-2025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46254</v>
      </c>
      <c r="F35" t="inlineStr">
        <is>
          <t>ÖSTERGÖTLANDS LÄN</t>
        </is>
      </c>
      <c r="G35" t="inlineStr">
        <is>
          <t>YDRE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Kattfotslav</t>
        </is>
      </c>
      <c r="W35">
        <f>HYPERLINK("https://klasma.github.io/Logging_0512/artfynd/A 45771-2025 artfynd.xlsx", "A 45771-2025")</f>
        <v/>
      </c>
      <c r="X35">
        <f>HYPERLINK("https://klasma.github.io/Logging_0512/kartor/A 45771-2025 karta.png", "A 45771-2025")</f>
        <v/>
      </c>
      <c r="Y35">
        <f>HYPERLINK("https://klasma.github.io/Logging_0512/kartor_geotiff/A 45771-2025 georefererad karta.tif", "A 45771-2025")</f>
        <v/>
      </c>
      <c r="AA35">
        <f>HYPERLINK("https://klasma.github.io/Logging_0512/klagomål/A 45771-2025 FSC-klagomål.docx", "A 45771-2025")</f>
        <v/>
      </c>
      <c r="AB35">
        <f>HYPERLINK("https://klasma.github.io/Logging_0512/klagomålsmail/A 45771-2025 FSC-klagomål mail.docx", "A 45771-2025")</f>
        <v/>
      </c>
      <c r="AC35">
        <f>HYPERLINK("https://klasma.github.io/Logging_0512/tillsyn/A 45771-2025 tillsynsbegäran.docx", "A 45771-2025")</f>
        <v/>
      </c>
      <c r="AD35">
        <f>HYPERLINK("https://klasma.github.io/Logging_0512/tillsynsmail/A 45771-2025 tillsynsbegäran mail.docx", "A 45771-2025")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46254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54520-2025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46254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Talltita</t>
        </is>
      </c>
      <c r="W37">
        <f>HYPERLINK("https://klasma.github.io/Logging_0512/artfynd/A 54520-2025 artfynd.xlsx", "A 54520-2025")</f>
        <v/>
      </c>
      <c r="X37">
        <f>HYPERLINK("https://klasma.github.io/Logging_0512/kartor/A 54520-2025 karta.png", "A 54520-2025")</f>
        <v/>
      </c>
      <c r="Y37">
        <f>HYPERLINK("https://klasma.github.io/Logging_0512/kartor_geotiff/A 54520-2025 georefererad karta.tif", "A 54520-2025")</f>
        <v/>
      </c>
      <c r="AA37">
        <f>HYPERLINK("https://klasma.github.io/Logging_0512/klagomål/A 54520-2025 FSC-klagomål.docx", "A 54520-2025")</f>
        <v/>
      </c>
      <c r="AB37">
        <f>HYPERLINK("https://klasma.github.io/Logging_0512/klagomålsmail/A 54520-2025 FSC-klagomål mail.docx", "A 54520-2025")</f>
        <v/>
      </c>
      <c r="AC37">
        <f>HYPERLINK("https://klasma.github.io/Logging_0512/tillsyn/A 54520-2025 tillsynsbegäran.docx", "A 54520-2025")</f>
        <v/>
      </c>
      <c r="AD37">
        <f>HYPERLINK("https://klasma.github.io/Logging_0512/tillsynsmail/A 54520-2025 tillsynsbegäran mail.docx", "A 54520-2025")</f>
        <v/>
      </c>
      <c r="AE37">
        <f>HYPERLINK("https://klasma.github.io/Logging_0512/fåglar/A 54520-2025 prioriterade fågelarter.docx", "A 54520-2025")</f>
        <v/>
      </c>
    </row>
    <row r="38" ht="15" customHeight="1">
      <c r="A38" t="inlineStr">
        <is>
          <t>A 54075-2025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46254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HYPERLINK("https://klasma.github.io/Logging_0512/artfynd/A 54075-2025 artfynd.xlsx", "A 54075-2025")</f>
        <v/>
      </c>
      <c r="X38">
        <f>HYPERLINK("https://klasma.github.io/Logging_0512/kartor/A 54075-2025 karta.png", "A 54075-2025")</f>
        <v/>
      </c>
      <c r="Y38">
        <f>HYPERLINK("https://klasma.github.io/Logging_0512/kartor_geotiff/A 54075-2025 georefererad karta.tif", "A 54075-2025")</f>
        <v/>
      </c>
      <c r="AA38">
        <f>HYPERLINK("https://klasma.github.io/Logging_0512/klagomål/A 54075-2025 FSC-klagomål.docx", "A 54075-2025")</f>
        <v/>
      </c>
      <c r="AB38">
        <f>HYPERLINK("https://klasma.github.io/Logging_0512/klagomålsmail/A 54075-2025 FSC-klagomål mail.docx", "A 54075-2025")</f>
        <v/>
      </c>
      <c r="AC38">
        <f>HYPERLINK("https://klasma.github.io/Logging_0512/tillsyn/A 54075-2025 tillsynsbegäran.docx", "A 54075-2025")</f>
        <v/>
      </c>
      <c r="AD38">
        <f>HYPERLINK("https://klasma.github.io/Logging_0512/tillsynsmail/A 54075-2025 tillsynsbegäran mail.docx", "A 54075-2025")</f>
        <v/>
      </c>
    </row>
    <row r="39" ht="15" customHeight="1">
      <c r="A39" t="inlineStr">
        <is>
          <t>A 29200-2026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46202</v>
      </c>
      <c r="E39" s="1" t="n">
        <v>46254</v>
      </c>
      <c r="F39" t="inlineStr">
        <is>
          <t>ÖSTERGÖTLANDS LÄN</t>
        </is>
      </c>
      <c r="G39" t="inlineStr">
        <is>
          <t>YDRE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HYPERLINK("https://klasma.github.io/Logging_0512/artfynd/A 29200-2026 artfynd.xlsx", "A 29200-2026")</f>
        <v/>
      </c>
      <c r="X39">
        <f>HYPERLINK("https://klasma.github.io/Logging_0512/kartor/A 29200-2026 karta.png", "A 29200-2026")</f>
        <v/>
      </c>
      <c r="Y39">
        <f>HYPERLINK("https://klasma.github.io/Logging_0512/kartor_geotiff/A 29200-2026 georefererad karta.tif", "A 29200-2026")</f>
        <v/>
      </c>
      <c r="AA39">
        <f>HYPERLINK("https://klasma.github.io/Logging_0512/klagomål/A 29200-2026 FSC-klagomål.docx", "A 29200-2026")</f>
        <v/>
      </c>
      <c r="AB39">
        <f>HYPERLINK("https://klasma.github.io/Logging_0512/klagomålsmail/A 29200-2026 FSC-klagomål mail.docx", "A 29200-2026")</f>
        <v/>
      </c>
      <c r="AC39">
        <f>HYPERLINK("https://klasma.github.io/Logging_0512/tillsyn/A 29200-2026 tillsynsbegäran.docx", "A 29200-2026")</f>
        <v/>
      </c>
      <c r="AD39">
        <f>HYPERLINK("https://klasma.github.io/Logging_0512/tillsynsmail/A 29200-2026 tillsynsbegäran mail.docx", "A 29200-2026")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46254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45354-2023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46254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HYPERLINK("https://klasma.github.io/Logging_0512/artfynd/A 45354-2023 artfynd.xlsx", "A 45354-2023")</f>
        <v/>
      </c>
      <c r="X41">
        <f>HYPERLINK("https://klasma.github.io/Logging_0512/kartor/A 45354-2023 karta.png", "A 45354-2023")</f>
        <v/>
      </c>
      <c r="Y41">
        <f>HYPERLINK("https://klasma.github.io/Logging_0512/kartor_geotiff/A 45354-2023 georefererad karta.tif", "A 45354-2023")</f>
        <v/>
      </c>
      <c r="AA41">
        <f>HYPERLINK("https://klasma.github.io/Logging_0512/klagomål/A 45354-2023 FSC-klagomål.docx", "A 45354-2023")</f>
        <v/>
      </c>
      <c r="AB41">
        <f>HYPERLINK("https://klasma.github.io/Logging_0512/klagomålsmail/A 45354-2023 FSC-klagomål mail.docx", "A 45354-2023")</f>
        <v/>
      </c>
      <c r="AC41">
        <f>HYPERLINK("https://klasma.github.io/Logging_0512/tillsyn/A 45354-2023 tillsynsbegäran.docx", "A 45354-2023")</f>
        <v/>
      </c>
      <c r="AD41">
        <f>HYPERLINK("https://klasma.github.io/Logging_0512/tillsynsmail/A 45354-2023 tillsynsbegäran mail.docx", "A 45354-2023")</f>
        <v/>
      </c>
    </row>
    <row r="42" ht="15" customHeight="1">
      <c r="A42" t="inlineStr">
        <is>
          <t>A 4248-2026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46045</v>
      </c>
      <c r="E42" s="1" t="n">
        <v>46254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HYPERLINK("https://klasma.github.io/Logging_0512/artfynd/A 4248-2026 artfynd.xlsx", "A 4248-2026")</f>
        <v/>
      </c>
      <c r="X42">
        <f>HYPERLINK("https://klasma.github.io/Logging_0512/kartor/A 4248-2026 karta.png", "A 4248-2026")</f>
        <v/>
      </c>
      <c r="Y42">
        <f>HYPERLINK("https://klasma.github.io/Logging_0512/kartor_geotiff/A 4248-2026 georefererad karta.tif", "A 4248-2026")</f>
        <v/>
      </c>
      <c r="AA42">
        <f>HYPERLINK("https://klasma.github.io/Logging_0512/klagomål/A 4248-2026 FSC-klagomål.docx", "A 4248-2026")</f>
        <v/>
      </c>
      <c r="AB42">
        <f>HYPERLINK("https://klasma.github.io/Logging_0512/klagomålsmail/A 4248-2026 FSC-klagomål mail.docx", "A 4248-2026")</f>
        <v/>
      </c>
      <c r="AC42">
        <f>HYPERLINK("https://klasma.github.io/Logging_0512/tillsyn/A 4248-2026 tillsynsbegäran.docx", "A 4248-2026")</f>
        <v/>
      </c>
      <c r="AD42">
        <f>HYPERLINK("https://klasma.github.io/Logging_0512/tillsynsmail/A 4248-2026 tillsynsbegäran mail.docx", "A 4248-2026")</f>
        <v/>
      </c>
      <c r="AE42">
        <f>HYPERLINK("https://klasma.github.io/Logging_0512/fåglar/A 4248-2026 prioriterade fågelarter.docx", "A 4248-2026")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46254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9051-2026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46254</v>
      </c>
      <c r="F44" t="inlineStr">
        <is>
          <t>ÖSTERGÖTLANDS LÄN</t>
        </is>
      </c>
      <c r="G44" t="inlineStr">
        <is>
          <t>YDRE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Slåtterfibbla</t>
        </is>
      </c>
      <c r="W44">
        <f>HYPERLINK("https://klasma.github.io/Logging_0512/artfynd/A 9051-2026 artfynd.xlsx", "A 9051-2026")</f>
        <v/>
      </c>
      <c r="X44">
        <f>HYPERLINK("https://klasma.github.io/Logging_0512/kartor/A 9051-2026 karta.png", "A 9051-2026")</f>
        <v/>
      </c>
      <c r="Y44">
        <f>HYPERLINK("https://klasma.github.io/Logging_0512/kartor_geotiff/A 9051-2026 georefererad karta.tif", "A 9051-2026")</f>
        <v/>
      </c>
      <c r="AA44">
        <f>HYPERLINK("https://klasma.github.io/Logging_0512/klagomål/A 9051-2026 FSC-klagomål.docx", "A 9051-2026")</f>
        <v/>
      </c>
      <c r="AB44">
        <f>HYPERLINK("https://klasma.github.io/Logging_0512/klagomålsmail/A 9051-2026 FSC-klagomål mail.docx", "A 9051-2026")</f>
        <v/>
      </c>
      <c r="AC44">
        <f>HYPERLINK("https://klasma.github.io/Logging_0512/tillsyn/A 9051-2026 tillsynsbegäran.docx", "A 9051-2026")</f>
        <v/>
      </c>
      <c r="AD44">
        <f>HYPERLINK("https://klasma.github.io/Logging_0512/tillsynsmail/A 9051-2026 tillsynsbegäran mail.docx", "A 9051-2026")</f>
        <v/>
      </c>
    </row>
    <row r="45" ht="15" customHeight="1">
      <c r="A45" t="inlineStr">
        <is>
          <t>A 8923-2026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46254</v>
      </c>
      <c r="F45" t="inlineStr">
        <is>
          <t>ÖSTERGÖTLANDS LÄN</t>
        </is>
      </c>
      <c r="G45" t="inlineStr">
        <is>
          <t>YDRE</t>
        </is>
      </c>
      <c r="H45" t="inlineStr">
        <is>
          <t>Övriga Aktiebolag</t>
        </is>
      </c>
      <c r="I45" t="n">
        <v>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HYPERLINK("https://klasma.github.io/Logging_0512/artfynd/A 8923-2026 artfynd.xlsx", "A 8923-2026")</f>
        <v/>
      </c>
      <c r="X45">
        <f>HYPERLINK("https://klasma.github.io/Logging_0512/kartor/A 8923-2026 karta.png", "A 8923-2026")</f>
        <v/>
      </c>
      <c r="Y45">
        <f>HYPERLINK("https://klasma.github.io/Logging_0512/kartor_geotiff/A 8923-2026 georefererad karta.tif", "A 8923-2026")</f>
        <v/>
      </c>
      <c r="AA45">
        <f>HYPERLINK("https://klasma.github.io/Logging_0512/klagomål/A 8923-2026 FSC-klagomål.docx", "A 8923-2026")</f>
        <v/>
      </c>
      <c r="AB45">
        <f>HYPERLINK("https://klasma.github.io/Logging_0512/klagomålsmail/A 8923-2026 FSC-klagomål mail.docx", "A 8923-2026")</f>
        <v/>
      </c>
      <c r="AC45">
        <f>HYPERLINK("https://klasma.github.io/Logging_0512/tillsyn/A 8923-2026 tillsynsbegäran.docx", "A 8923-2026")</f>
        <v/>
      </c>
      <c r="AD45">
        <f>HYPERLINK("https://klasma.github.io/Logging_0512/tillsynsmail/A 8923-2026 tillsynsbegäran mail.docx", "A 8923-2026")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46254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46254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46254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46254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46254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46254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46254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46254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46254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46254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46254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46254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46254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46254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46254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46254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46254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46254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46254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46254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46254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46254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46254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46254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46254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46254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46254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46254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46254</v>
      </c>
      <c r="F74" t="inlineStr">
        <is>
          <t>ÖSTERGÖTLANDS LÄN</t>
        </is>
      </c>
      <c r="G74" t="inlineStr">
        <is>
          <t>YDRE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46254</v>
      </c>
      <c r="F75" t="inlineStr">
        <is>
          <t>ÖSTERGÖTLANDS LÄN</t>
        </is>
      </c>
      <c r="G75" t="inlineStr">
        <is>
          <t>YDRE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46254</v>
      </c>
      <c r="F76" t="inlineStr">
        <is>
          <t>ÖSTERGÖTLANDS LÄN</t>
        </is>
      </c>
      <c r="G76" t="inlineStr">
        <is>
          <t>YDRE</t>
        </is>
      </c>
      <c r="H76" t="inlineStr">
        <is>
          <t>Övriga Aktiebolag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46254</v>
      </c>
      <c r="F77" t="inlineStr">
        <is>
          <t>ÖSTERGÖTLANDS LÄN</t>
        </is>
      </c>
      <c r="G77" t="inlineStr">
        <is>
          <t>YDRE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46254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46254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46254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46254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46254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69307-2021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44531</v>
      </c>
      <c r="E83" s="1" t="n">
        <v>46254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45432</v>
      </c>
      <c r="E84" s="1" t="n">
        <v>46254</v>
      </c>
      <c r="F84" t="inlineStr">
        <is>
          <t>ÖSTERGÖTLANDS LÄN</t>
        </is>
      </c>
      <c r="G84" t="inlineStr">
        <is>
          <t>YDRE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46254</v>
      </c>
      <c r="F85" t="inlineStr">
        <is>
          <t>ÖSTERGÖTLANDS LÄN</t>
        </is>
      </c>
      <c r="G85" t="inlineStr">
        <is>
          <t>YDRE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55844-2021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44476</v>
      </c>
      <c r="E86" s="1" t="n">
        <v>46254</v>
      </c>
      <c r="F86" t="inlineStr">
        <is>
          <t>ÖSTERGÖTLANDS LÄN</t>
        </is>
      </c>
      <c r="G86" t="inlineStr">
        <is>
          <t>YDRE</t>
        </is>
      </c>
      <c r="H86" t="inlineStr">
        <is>
          <t>Sveaskog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30049-2023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46254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46254</v>
      </c>
      <c r="F88" t="inlineStr">
        <is>
          <t>ÖSTERGÖTLANDS LÄN</t>
        </is>
      </c>
      <c r="G88" t="inlineStr">
        <is>
          <t>YDRE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46254</v>
      </c>
      <c r="F89" t="inlineStr">
        <is>
          <t>ÖSTERGÖTLANDS LÄN</t>
        </is>
      </c>
      <c r="G89" t="inlineStr">
        <is>
          <t>YDRE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71524-2021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46254</v>
      </c>
      <c r="F90" t="inlineStr">
        <is>
          <t>ÖSTERGÖTLANDS LÄN</t>
        </is>
      </c>
      <c r="G90" t="inlineStr">
        <is>
          <t>YDRE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46254</v>
      </c>
      <c r="F91" t="inlineStr">
        <is>
          <t>ÖSTERGÖTLANDS LÄN</t>
        </is>
      </c>
      <c r="G91" t="inlineStr">
        <is>
          <t>YDRE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45714</v>
      </c>
      <c r="E92" s="1" t="n">
        <v>46254</v>
      </c>
      <c r="F92" t="inlineStr">
        <is>
          <t>ÖSTERGÖTLANDS LÄN</t>
        </is>
      </c>
      <c r="G92" t="inlineStr">
        <is>
          <t>YDRE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46254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46254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44283-2021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44435</v>
      </c>
      <c r="E95" s="1" t="n">
        <v>46254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46254</v>
      </c>
      <c r="F96" t="inlineStr">
        <is>
          <t>ÖSTERGÖTLANDS LÄN</t>
        </is>
      </c>
      <c r="G96" t="inlineStr">
        <is>
          <t>YDRE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45138</v>
      </c>
      <c r="E97" s="1" t="n">
        <v>46254</v>
      </c>
      <c r="F97" t="inlineStr">
        <is>
          <t>ÖSTERGÖTLANDS LÄN</t>
        </is>
      </c>
      <c r="G97" t="inlineStr">
        <is>
          <t>YDRE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46254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46254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46254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46254</v>
      </c>
      <c r="F101" t="inlineStr">
        <is>
          <t>ÖSTERGÖTLANDS LÄN</t>
        </is>
      </c>
      <c r="G101" t="inlineStr">
        <is>
          <t>YDRE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46254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46254</v>
      </c>
      <c r="F103" t="inlineStr">
        <is>
          <t>ÖSTERGÖTLANDS LÄN</t>
        </is>
      </c>
      <c r="G103" t="inlineStr">
        <is>
          <t>YDRE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44592</v>
      </c>
      <c r="E104" s="1" t="n">
        <v>46254</v>
      </c>
      <c r="F104" t="inlineStr">
        <is>
          <t>ÖSTERGÖTLANDS LÄN</t>
        </is>
      </c>
      <c r="G104" t="inlineStr">
        <is>
          <t>YDRE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46254</v>
      </c>
      <c r="F105" t="inlineStr">
        <is>
          <t>ÖSTERGÖTLANDS LÄN</t>
        </is>
      </c>
      <c r="G105" t="inlineStr">
        <is>
          <t>YDRE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46254</v>
      </c>
      <c r="F106" t="inlineStr">
        <is>
          <t>ÖSTERGÖTLANDS LÄN</t>
        </is>
      </c>
      <c r="G106" t="inlineStr">
        <is>
          <t>YDRE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46254</v>
      </c>
      <c r="F107" t="inlineStr">
        <is>
          <t>ÖSTERGÖTLANDS LÄN</t>
        </is>
      </c>
      <c r="G107" t="inlineStr">
        <is>
          <t>YDRE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46254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46254</v>
      </c>
      <c r="F109" t="inlineStr">
        <is>
          <t>ÖSTERGÖTLANDS LÄN</t>
        </is>
      </c>
      <c r="G109" t="inlineStr">
        <is>
          <t>YDRE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45261</v>
      </c>
      <c r="E110" s="1" t="n">
        <v>46254</v>
      </c>
      <c r="F110" t="inlineStr">
        <is>
          <t>ÖSTERGÖTLANDS LÄN</t>
        </is>
      </c>
      <c r="G110" t="inlineStr">
        <is>
          <t>YDRE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46254</v>
      </c>
      <c r="F111" t="inlineStr">
        <is>
          <t>ÖSTERGÖTLANDS LÄN</t>
        </is>
      </c>
      <c r="G111" t="inlineStr">
        <is>
          <t>YDRE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46254</v>
      </c>
      <c r="F112" t="inlineStr">
        <is>
          <t>ÖSTERGÖTLANDS LÄN</t>
        </is>
      </c>
      <c r="G112" t="inlineStr">
        <is>
          <t>YDRE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46254</v>
      </c>
      <c r="F113" t="inlineStr">
        <is>
          <t>ÖSTERGÖTLANDS LÄN</t>
        </is>
      </c>
      <c r="G113" t="inlineStr">
        <is>
          <t>YDRE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46254</v>
      </c>
      <c r="F114" t="inlineStr">
        <is>
          <t>ÖSTERGÖTLANDS LÄN</t>
        </is>
      </c>
      <c r="G114" t="inlineStr">
        <is>
          <t>YDRE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46254</v>
      </c>
      <c r="F115" t="inlineStr">
        <is>
          <t>ÖSTERGÖTLANDS LÄN</t>
        </is>
      </c>
      <c r="G115" t="inlineStr">
        <is>
          <t>YDRE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46254</v>
      </c>
      <c r="F116" t="inlineStr">
        <is>
          <t>ÖSTERGÖTLANDS LÄN</t>
        </is>
      </c>
      <c r="G116" t="inlineStr">
        <is>
          <t>YDRE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46254</v>
      </c>
      <c r="F117" t="inlineStr">
        <is>
          <t>ÖSTERGÖTLANDS LÄN</t>
        </is>
      </c>
      <c r="G117" t="inlineStr">
        <is>
          <t>YDRE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17309-2024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46254</v>
      </c>
      <c r="F118" t="inlineStr">
        <is>
          <t>ÖSTERGÖTLANDS LÄN</t>
        </is>
      </c>
      <c r="G118" t="inlineStr">
        <is>
          <t>YDRE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44504</v>
      </c>
      <c r="E119" s="1" t="n">
        <v>46254</v>
      </c>
      <c r="F119" t="inlineStr">
        <is>
          <t>ÖSTERGÖTLANDS LÄN</t>
        </is>
      </c>
      <c r="G119" t="inlineStr">
        <is>
          <t>YDRE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45170</v>
      </c>
      <c r="E120" s="1" t="n">
        <v>46254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46254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44447</v>
      </c>
      <c r="E122" s="1" t="n">
        <v>46254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46254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46254</v>
      </c>
      <c r="F124" t="inlineStr">
        <is>
          <t>ÖSTERGÖTLANDS LÄN</t>
        </is>
      </c>
      <c r="G124" t="inlineStr">
        <is>
          <t>YDRE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44980</v>
      </c>
      <c r="E125" s="1" t="n">
        <v>46254</v>
      </c>
      <c r="F125" t="inlineStr">
        <is>
          <t>ÖSTERGÖTLANDS LÄN</t>
        </is>
      </c>
      <c r="G125" t="inlineStr">
        <is>
          <t>YDRE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46254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46254</v>
      </c>
      <c r="F127" t="inlineStr">
        <is>
          <t>ÖSTERGÖTLANDS LÄN</t>
        </is>
      </c>
      <c r="G127" t="inlineStr">
        <is>
          <t>YDRE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45434</v>
      </c>
      <c r="E128" s="1" t="n">
        <v>46254</v>
      </c>
      <c r="F128" t="inlineStr">
        <is>
          <t>ÖSTERGÖTLANDS LÄN</t>
        </is>
      </c>
      <c r="G128" t="inlineStr">
        <is>
          <t>YDRE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46254</v>
      </c>
      <c r="F129" t="inlineStr">
        <is>
          <t>ÖSTERGÖTLANDS LÄN</t>
        </is>
      </c>
      <c r="G129" t="inlineStr">
        <is>
          <t>YDRE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45216</v>
      </c>
      <c r="E130" s="1" t="n">
        <v>46254</v>
      </c>
      <c r="F130" t="inlineStr">
        <is>
          <t>ÖSTERGÖTLANDS LÄN</t>
        </is>
      </c>
      <c r="G130" t="inlineStr">
        <is>
          <t>YDRE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45216</v>
      </c>
      <c r="E131" s="1" t="n">
        <v>46254</v>
      </c>
      <c r="F131" t="inlineStr">
        <is>
          <t>ÖSTERGÖTLANDS LÄN</t>
        </is>
      </c>
      <c r="G131" t="inlineStr">
        <is>
          <t>YDRE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46254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46254</v>
      </c>
      <c r="F133" t="inlineStr">
        <is>
          <t>ÖSTERGÖTLANDS LÄN</t>
        </is>
      </c>
      <c r="G133" t="inlineStr">
        <is>
          <t>YDRE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46254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46254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46254</v>
      </c>
      <c r="F136" t="inlineStr">
        <is>
          <t>ÖSTERGÖTLANDS LÄN</t>
        </is>
      </c>
      <c r="G136" t="inlineStr">
        <is>
          <t>YDRE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46254</v>
      </c>
      <c r="F137" t="inlineStr">
        <is>
          <t>ÖSTERGÖTLANDS LÄN</t>
        </is>
      </c>
      <c r="G137" t="inlineStr">
        <is>
          <t>YDRE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44939</v>
      </c>
      <c r="E138" s="1" t="n">
        <v>46254</v>
      </c>
      <c r="F138" t="inlineStr">
        <is>
          <t>ÖSTERGÖTLANDS LÄN</t>
        </is>
      </c>
      <c r="G138" t="inlineStr">
        <is>
          <t>YDRE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46254</v>
      </c>
      <c r="F139" t="inlineStr">
        <is>
          <t>ÖSTERGÖTLANDS LÄN</t>
        </is>
      </c>
      <c r="G139" t="inlineStr">
        <is>
          <t>YDRE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44994</v>
      </c>
      <c r="E140" s="1" t="n">
        <v>46254</v>
      </c>
      <c r="F140" t="inlineStr">
        <is>
          <t>ÖSTERGÖTLANDS LÄN</t>
        </is>
      </c>
      <c r="G140" t="inlineStr">
        <is>
          <t>YDRE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46254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44480</v>
      </c>
      <c r="E142" s="1" t="n">
        <v>46254</v>
      </c>
      <c r="F142" t="inlineStr">
        <is>
          <t>ÖSTERGÖTLANDS LÄN</t>
        </is>
      </c>
      <c r="G142" t="inlineStr">
        <is>
          <t>YDRE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46254</v>
      </c>
      <c r="F143" t="inlineStr">
        <is>
          <t>ÖSTERGÖTLANDS LÄN</t>
        </is>
      </c>
      <c r="G143" t="inlineStr">
        <is>
          <t>YDRE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44576</v>
      </c>
      <c r="E144" s="1" t="n">
        <v>46254</v>
      </c>
      <c r="F144" t="inlineStr">
        <is>
          <t>ÖSTERGÖTLANDS LÄN</t>
        </is>
      </c>
      <c r="G144" t="inlineStr">
        <is>
          <t>YDRE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46254</v>
      </c>
      <c r="F145" t="inlineStr">
        <is>
          <t>ÖSTERGÖTLANDS LÄN</t>
        </is>
      </c>
      <c r="G145" t="inlineStr">
        <is>
          <t>YDRE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44994</v>
      </c>
      <c r="E146" s="1" t="n">
        <v>46254</v>
      </c>
      <c r="F146" t="inlineStr">
        <is>
          <t>ÖSTERGÖTLANDS LÄN</t>
        </is>
      </c>
      <c r="G146" t="inlineStr">
        <is>
          <t>YDRE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46254</v>
      </c>
      <c r="F147" t="inlineStr">
        <is>
          <t>ÖSTERGÖTLANDS LÄN</t>
        </is>
      </c>
      <c r="G147" t="inlineStr">
        <is>
          <t>YDRE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11902-2022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44635</v>
      </c>
      <c r="E148" s="1" t="n">
        <v>46254</v>
      </c>
      <c r="F148" t="inlineStr">
        <is>
          <t>ÖSTERGÖTLANDS LÄN</t>
        </is>
      </c>
      <c r="G148" t="inlineStr">
        <is>
          <t>YDRE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45871</v>
      </c>
      <c r="E149" s="1" t="n">
        <v>46254</v>
      </c>
      <c r="F149" t="inlineStr">
        <is>
          <t>ÖSTERGÖTLANDS LÄN</t>
        </is>
      </c>
      <c r="G149" t="inlineStr">
        <is>
          <t>YDRE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46254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46254</v>
      </c>
      <c r="F151" t="inlineStr">
        <is>
          <t>ÖSTERGÖTLANDS LÄN</t>
        </is>
      </c>
      <c r="G151" t="inlineStr">
        <is>
          <t>YDRE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33680-2022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46254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30544-2025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46254</v>
      </c>
      <c r="F153" t="inlineStr">
        <is>
          <t>ÖSTERGÖTLANDS LÄN</t>
        </is>
      </c>
      <c r="G153" t="inlineStr">
        <is>
          <t>YDRE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46254</v>
      </c>
      <c r="F154" t="inlineStr">
        <is>
          <t>ÖSTERGÖTLANDS LÄN</t>
        </is>
      </c>
      <c r="G154" t="inlineStr">
        <is>
          <t>YDRE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46254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46254</v>
      </c>
      <c r="F156" t="inlineStr">
        <is>
          <t>ÖSTERGÖTLANDS LÄN</t>
        </is>
      </c>
      <c r="G156" t="inlineStr">
        <is>
          <t>YDRE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46254</v>
      </c>
      <c r="F157" t="inlineStr">
        <is>
          <t>ÖSTERGÖTLANDS LÄN</t>
        </is>
      </c>
      <c r="G157" t="inlineStr">
        <is>
          <t>YDRE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46254</v>
      </c>
      <c r="F158" t="inlineStr">
        <is>
          <t>ÖSTERGÖTLANDS LÄN</t>
        </is>
      </c>
      <c r="G158" t="inlineStr">
        <is>
          <t>YDRE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59812-2022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46254</v>
      </c>
      <c r="F159" t="inlineStr">
        <is>
          <t>ÖSTERGÖTLANDS LÄN</t>
        </is>
      </c>
      <c r="G159" t="inlineStr">
        <is>
          <t>YDRE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45153</v>
      </c>
      <c r="E160" s="1" t="n">
        <v>46254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46254</v>
      </c>
      <c r="F161" t="inlineStr">
        <is>
          <t>ÖSTERGÖTLANDS LÄN</t>
        </is>
      </c>
      <c r="G161" t="inlineStr">
        <is>
          <t>YDRE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46254</v>
      </c>
      <c r="F162" t="inlineStr">
        <is>
          <t>ÖSTERGÖTLANDS LÄN</t>
        </is>
      </c>
      <c r="G162" t="inlineStr">
        <is>
          <t>YDRE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46254</v>
      </c>
      <c r="F163" t="inlineStr">
        <is>
          <t>ÖSTERGÖTLANDS LÄN</t>
        </is>
      </c>
      <c r="G163" t="inlineStr">
        <is>
          <t>YDRE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46254</v>
      </c>
      <c r="F164" t="inlineStr">
        <is>
          <t>ÖSTERGÖTLANDS LÄN</t>
        </is>
      </c>
      <c r="G164" t="inlineStr">
        <is>
          <t>YDRE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45647</v>
      </c>
      <c r="E165" s="1" t="n">
        <v>46254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46254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46254</v>
      </c>
      <c r="F167" t="inlineStr">
        <is>
          <t>ÖSTERGÖTLANDS LÄN</t>
        </is>
      </c>
      <c r="G167" t="inlineStr">
        <is>
          <t>YDRE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46254</v>
      </c>
      <c r="F168" t="inlineStr">
        <is>
          <t>ÖSTERGÖTLANDS LÄN</t>
        </is>
      </c>
      <c r="G168" t="inlineStr">
        <is>
          <t>YDRE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46254</v>
      </c>
      <c r="F169" t="inlineStr">
        <is>
          <t>ÖSTERGÖTLANDS LÄN</t>
        </is>
      </c>
      <c r="G169" t="inlineStr">
        <is>
          <t>YDRE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46254</v>
      </c>
      <c r="F170" t="inlineStr">
        <is>
          <t>ÖSTERGÖTLANDS LÄN</t>
        </is>
      </c>
      <c r="G170" t="inlineStr">
        <is>
          <t>YDRE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46254</v>
      </c>
      <c r="F171" t="inlineStr">
        <is>
          <t>ÖSTERGÖTLANDS LÄN</t>
        </is>
      </c>
      <c r="G171" t="inlineStr">
        <is>
          <t>YDRE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46254</v>
      </c>
      <c r="F172" t="inlineStr">
        <is>
          <t>ÖSTERGÖTLANDS LÄN</t>
        </is>
      </c>
      <c r="G172" t="inlineStr">
        <is>
          <t>YDRE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46254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46254</v>
      </c>
      <c r="F174" t="inlineStr">
        <is>
          <t>ÖSTERGÖTLANDS LÄN</t>
        </is>
      </c>
      <c r="G174" t="inlineStr">
        <is>
          <t>YDRE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46254</v>
      </c>
      <c r="F175" t="inlineStr">
        <is>
          <t>ÖSTERGÖTLANDS LÄN</t>
        </is>
      </c>
      <c r="G175" t="inlineStr">
        <is>
          <t>YDRE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46254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46254</v>
      </c>
      <c r="F177" t="inlineStr">
        <is>
          <t>ÖSTERGÖTLANDS LÄN</t>
        </is>
      </c>
      <c r="G177" t="inlineStr">
        <is>
          <t>YDRE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44953</v>
      </c>
      <c r="E178" s="1" t="n">
        <v>46254</v>
      </c>
      <c r="F178" t="inlineStr">
        <is>
          <t>ÖSTERGÖTLANDS LÄN</t>
        </is>
      </c>
      <c r="G178" t="inlineStr">
        <is>
          <t>YDRE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46254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22312-2026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46154</v>
      </c>
      <c r="E180" s="1" t="n">
        <v>46254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46254</v>
      </c>
      <c r="F181" t="inlineStr">
        <is>
          <t>ÖSTERGÖTLANDS LÄN</t>
        </is>
      </c>
      <c r="G181" t="inlineStr">
        <is>
          <t>YDRE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46254</v>
      </c>
      <c r="F182" t="inlineStr">
        <is>
          <t>ÖSTERGÖTLANDS LÄN</t>
        </is>
      </c>
      <c r="G182" t="inlineStr">
        <is>
          <t>YDRE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56323-2021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46254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  <c r="Z183">
        <f>HYPERLINK("https://klasma.github.io/Logging_0512/knärot/A 56323-2021 karta knärot.png", "A 56323-2021")</f>
        <v/>
      </c>
      <c r="AA183">
        <f>HYPERLINK("https://klasma.github.io/Logging_0512/klagomål/A 56323-2021 FSC-klagomål.docx", "A 56323-2021")</f>
        <v/>
      </c>
      <c r="AB183">
        <f>HYPERLINK("https://klasma.github.io/Logging_0512/klagomålsmail/A 56323-2021 FSC-klagomål mail.docx", "A 56323-2021")</f>
        <v/>
      </c>
      <c r="AC183">
        <f>HYPERLINK("https://klasma.github.io/Logging_0512/tillsyn/A 56323-2021 tillsynsbegäran.docx", "A 56323-2021")</f>
        <v/>
      </c>
      <c r="AD183">
        <f>HYPERLINK("https://klasma.github.io/Logging_0512/tillsynsmail/A 56323-2021 tillsynsbegäran mail.docx", "A 56323-2021")</f>
        <v/>
      </c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46254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45909</v>
      </c>
      <c r="E185" s="1" t="n">
        <v>46254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46254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46254</v>
      </c>
      <c r="F187" t="inlineStr">
        <is>
          <t>ÖSTERGÖTLANDS LÄN</t>
        </is>
      </c>
      <c r="G187" t="inlineStr">
        <is>
          <t>YDRE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46254</v>
      </c>
      <c r="F188" t="inlineStr">
        <is>
          <t>ÖSTERGÖTLANDS LÄN</t>
        </is>
      </c>
      <c r="G188" t="inlineStr">
        <is>
          <t>YDRE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46254</v>
      </c>
      <c r="F189" t="inlineStr">
        <is>
          <t>ÖSTERGÖTLANDS LÄN</t>
        </is>
      </c>
      <c r="G189" t="inlineStr">
        <is>
          <t>YDRE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45714</v>
      </c>
      <c r="E190" s="1" t="n">
        <v>46254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46254</v>
      </c>
      <c r="F191" t="inlineStr">
        <is>
          <t>ÖSTERGÖTLANDS LÄN</t>
        </is>
      </c>
      <c r="G191" t="inlineStr">
        <is>
          <t>YDRE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46254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45916</v>
      </c>
      <c r="E193" s="1" t="n">
        <v>46254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45916</v>
      </c>
      <c r="E194" s="1" t="n">
        <v>46254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46254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46254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46254</v>
      </c>
      <c r="F197" t="inlineStr">
        <is>
          <t>ÖSTERGÖTLANDS LÄN</t>
        </is>
      </c>
      <c r="G197" t="inlineStr">
        <is>
          <t>YDRE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46038</v>
      </c>
      <c r="E198" s="1" t="n">
        <v>46254</v>
      </c>
      <c r="F198" t="inlineStr">
        <is>
          <t>ÖSTERGÖTLANDS LÄN</t>
        </is>
      </c>
      <c r="G198" t="inlineStr">
        <is>
          <t>YDRE</t>
        </is>
      </c>
      <c r="H198" t="inlineStr">
        <is>
          <t>Övriga Aktiebolag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46254</v>
      </c>
      <c r="F199" t="inlineStr">
        <is>
          <t>ÖSTERGÖTLANDS LÄN</t>
        </is>
      </c>
      <c r="G199" t="inlineStr">
        <is>
          <t>YDRE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45428</v>
      </c>
      <c r="E200" s="1" t="n">
        <v>46254</v>
      </c>
      <c r="F200" t="inlineStr">
        <is>
          <t>ÖSTERGÖTLANDS LÄN</t>
        </is>
      </c>
      <c r="G200" t="inlineStr">
        <is>
          <t>YDRE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46254</v>
      </c>
      <c r="F201" t="inlineStr">
        <is>
          <t>ÖSTERGÖTLANDS LÄN</t>
        </is>
      </c>
      <c r="G201" t="inlineStr">
        <is>
          <t>YDRE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46254</v>
      </c>
      <c r="F202" t="inlineStr">
        <is>
          <t>ÖSTERGÖTLANDS LÄN</t>
        </is>
      </c>
      <c r="G202" t="inlineStr">
        <is>
          <t>YDRE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46254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24780-2026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46171</v>
      </c>
      <c r="E204" s="1" t="n">
        <v>46254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46254</v>
      </c>
      <c r="F205" t="inlineStr">
        <is>
          <t>ÖSTERGÖTLANDS LÄN</t>
        </is>
      </c>
      <c r="G205" t="inlineStr">
        <is>
          <t>YDRE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46086-2025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45924</v>
      </c>
      <c r="E206" s="1" t="n">
        <v>46254</v>
      </c>
      <c r="F206" t="inlineStr">
        <is>
          <t>ÖSTERGÖTLANDS LÄN</t>
        </is>
      </c>
      <c r="G206" t="inlineStr">
        <is>
          <t>YDRE</t>
        </is>
      </c>
      <c r="H206" t="inlineStr">
        <is>
          <t>Övriga Aktiebolag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45449-2023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45194</v>
      </c>
      <c r="E207" s="1" t="n">
        <v>46254</v>
      </c>
      <c r="F207" t="inlineStr">
        <is>
          <t>ÖSTERGÖTLANDS LÄN</t>
        </is>
      </c>
      <c r="G207" t="inlineStr">
        <is>
          <t>YDRE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46254</v>
      </c>
      <c r="F208" t="inlineStr">
        <is>
          <t>ÖSTERGÖTLANDS LÄN</t>
        </is>
      </c>
      <c r="G208" t="inlineStr">
        <is>
          <t>YDRE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46254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46254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44439</v>
      </c>
      <c r="E211" s="1" t="n">
        <v>46254</v>
      </c>
      <c r="F211" t="inlineStr">
        <is>
          <t>ÖSTERGÖTLANDS LÄN</t>
        </is>
      </c>
      <c r="G211" t="inlineStr">
        <is>
          <t>YDRE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44562</v>
      </c>
      <c r="E212" s="1" t="n">
        <v>46254</v>
      </c>
      <c r="F212" t="inlineStr">
        <is>
          <t>ÖSTERGÖTLANDS LÄN</t>
        </is>
      </c>
      <c r="G212" t="inlineStr">
        <is>
          <t>YDRE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46254</v>
      </c>
      <c r="F213" t="inlineStr">
        <is>
          <t>ÖSTERGÖTLANDS LÄN</t>
        </is>
      </c>
      <c r="G213" t="inlineStr">
        <is>
          <t>YDRE</t>
        </is>
      </c>
      <c r="H213" t="inlineStr">
        <is>
          <t>Övriga Aktiebolag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45414</v>
      </c>
      <c r="E214" s="1" t="n">
        <v>46254</v>
      </c>
      <c r="F214" t="inlineStr">
        <is>
          <t>ÖSTERGÖTLANDS LÄN</t>
        </is>
      </c>
      <c r="G214" t="inlineStr">
        <is>
          <t>YDRE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46254</v>
      </c>
      <c r="F215" t="inlineStr">
        <is>
          <t>ÖSTERGÖTLANDS LÄN</t>
        </is>
      </c>
      <c r="G215" t="inlineStr">
        <is>
          <t>YDRE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46254</v>
      </c>
      <c r="F216" t="inlineStr">
        <is>
          <t>ÖSTERGÖTLANDS LÄN</t>
        </is>
      </c>
      <c r="G216" t="inlineStr">
        <is>
          <t>YDRE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70448-2021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44536</v>
      </c>
      <c r="E217" s="1" t="n">
        <v>46254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46254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42781-2021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44428</v>
      </c>
      <c r="E219" s="1" t="n">
        <v>46254</v>
      </c>
      <c r="F219" t="inlineStr">
        <is>
          <t>ÖSTERGÖTLANDS LÄN</t>
        </is>
      </c>
      <c r="G219" t="inlineStr">
        <is>
          <t>YDRE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46254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46254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46254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46254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46254</v>
      </c>
      <c r="F224" t="inlineStr">
        <is>
          <t>ÖSTERGÖTLANDS LÄN</t>
        </is>
      </c>
      <c r="G224" t="inlineStr">
        <is>
          <t>YDRE</t>
        </is>
      </c>
      <c r="H224" t="inlineStr">
        <is>
          <t>Övriga Aktiebolag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46254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46254</v>
      </c>
      <c r="F226" t="inlineStr">
        <is>
          <t>ÖSTERGÖTLANDS LÄN</t>
        </is>
      </c>
      <c r="G226" t="inlineStr">
        <is>
          <t>YDRE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46254</v>
      </c>
      <c r="F227" t="inlineStr">
        <is>
          <t>ÖSTERGÖTLANDS LÄN</t>
        </is>
      </c>
      <c r="G227" t="inlineStr">
        <is>
          <t>YDRE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26603-2026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46254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46254</v>
      </c>
      <c r="F229" t="inlineStr">
        <is>
          <t>ÖSTERGÖTLANDS LÄN</t>
        </is>
      </c>
      <c r="G229" t="inlineStr">
        <is>
          <t>YDRE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46254</v>
      </c>
      <c r="F230" t="inlineStr">
        <is>
          <t>ÖSTERGÖTLANDS LÄN</t>
        </is>
      </c>
      <c r="G230" t="inlineStr">
        <is>
          <t>YDRE</t>
        </is>
      </c>
      <c r="H230" t="inlineStr">
        <is>
          <t>Kyrkan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44624</v>
      </c>
      <c r="E231" s="1" t="n">
        <v>46254</v>
      </c>
      <c r="F231" t="inlineStr">
        <is>
          <t>ÖSTERGÖTLANDS LÄN</t>
        </is>
      </c>
      <c r="G231" t="inlineStr">
        <is>
          <t>YDRE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45940</v>
      </c>
      <c r="E232" s="1" t="n">
        <v>46254</v>
      </c>
      <c r="F232" t="inlineStr">
        <is>
          <t>ÖSTERGÖTLANDS LÄN</t>
        </is>
      </c>
      <c r="G232" t="inlineStr">
        <is>
          <t>YDRE</t>
        </is>
      </c>
      <c r="H232" t="inlineStr">
        <is>
          <t>Kyrkan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27700-2026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46190</v>
      </c>
      <c r="E233" s="1" t="n">
        <v>46254</v>
      </c>
      <c r="F233" t="inlineStr">
        <is>
          <t>ÖSTERGÖTLANDS LÄN</t>
        </is>
      </c>
      <c r="G233" t="inlineStr">
        <is>
          <t>YDRE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27874-2026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46191</v>
      </c>
      <c r="E234" s="1" t="n">
        <v>46254</v>
      </c>
      <c r="F234" t="inlineStr">
        <is>
          <t>ÖSTERGÖTLANDS LÄN</t>
        </is>
      </c>
      <c r="G234" t="inlineStr">
        <is>
          <t>YDRE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45302</v>
      </c>
      <c r="E235" s="1" t="n">
        <v>46254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46254</v>
      </c>
      <c r="F236" t="inlineStr">
        <is>
          <t>ÖSTERGÖTLANDS LÄN</t>
        </is>
      </c>
      <c r="G236" t="inlineStr">
        <is>
          <t>YDRE</t>
        </is>
      </c>
      <c r="H236" t="inlineStr">
        <is>
          <t>Sveaskog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46254</v>
      </c>
      <c r="F237" t="inlineStr">
        <is>
          <t>ÖSTERGÖTLANDS LÄN</t>
        </is>
      </c>
      <c r="G237" t="inlineStr">
        <is>
          <t>YDRE</t>
        </is>
      </c>
      <c r="H237" t="inlineStr">
        <is>
          <t>Sveaskog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46254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46254</v>
      </c>
      <c r="F239" t="inlineStr">
        <is>
          <t>ÖSTERGÖTLANDS LÄN</t>
        </is>
      </c>
      <c r="G239" t="inlineStr">
        <is>
          <t>YDRE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46240</v>
      </c>
      <c r="E240" s="1" t="n">
        <v>46254</v>
      </c>
      <c r="F240" t="inlineStr">
        <is>
          <t>ÖSTERGÖTLANDS LÄN</t>
        </is>
      </c>
      <c r="G240" t="inlineStr">
        <is>
          <t>YDRE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46254</v>
      </c>
      <c r="F241" t="inlineStr">
        <is>
          <t>ÖSTERGÖTLANDS LÄN</t>
        </is>
      </c>
      <c r="G241" t="inlineStr">
        <is>
          <t>YDRE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46240</v>
      </c>
      <c r="E242" s="1" t="n">
        <v>46254</v>
      </c>
      <c r="F242" t="inlineStr">
        <is>
          <t>ÖSTERGÖTLANDS LÄN</t>
        </is>
      </c>
      <c r="G242" t="inlineStr">
        <is>
          <t>YDRE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46254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46254</v>
      </c>
      <c r="F244" t="inlineStr">
        <is>
          <t>ÖSTERGÖTLANDS LÄN</t>
        </is>
      </c>
      <c r="G244" t="inlineStr">
        <is>
          <t>YDRE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46254</v>
      </c>
      <c r="F245" t="inlineStr">
        <is>
          <t>ÖSTERGÖTLANDS LÄN</t>
        </is>
      </c>
      <c r="G245" t="inlineStr">
        <is>
          <t>YDRE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46254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46254</v>
      </c>
      <c r="F247" t="inlineStr">
        <is>
          <t>ÖSTERGÖTLANDS LÄN</t>
        </is>
      </c>
      <c r="G247" t="inlineStr">
        <is>
          <t>YDRE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46254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46254</v>
      </c>
      <c r="F249" t="inlineStr">
        <is>
          <t>ÖSTERGÖTLANDS LÄN</t>
        </is>
      </c>
      <c r="G249" t="inlineStr">
        <is>
          <t>YDRE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45964</v>
      </c>
      <c r="E250" s="1" t="n">
        <v>46254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45964</v>
      </c>
      <c r="E251" s="1" t="n">
        <v>46254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54063-2025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46254</v>
      </c>
      <c r="F252" t="inlineStr">
        <is>
          <t>ÖSTERGÖTLANDS LÄN</t>
        </is>
      </c>
      <c r="G252" t="inlineStr">
        <is>
          <t>YDRE</t>
        </is>
      </c>
      <c r="H252" t="inlineStr">
        <is>
          <t>Sveaskog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46254</v>
      </c>
      <c r="F253" t="inlineStr">
        <is>
          <t>ÖSTERGÖTLANDS LÄN</t>
        </is>
      </c>
      <c r="G253" t="inlineStr">
        <is>
          <t>YDRE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46254</v>
      </c>
      <c r="F254" t="inlineStr">
        <is>
          <t>ÖSTERGÖTLANDS LÄN</t>
        </is>
      </c>
      <c r="G254" t="inlineStr">
        <is>
          <t>YDRE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46254</v>
      </c>
      <c r="F255" t="inlineStr">
        <is>
          <t>ÖSTERGÖTLANDS LÄN</t>
        </is>
      </c>
      <c r="G255" t="inlineStr">
        <is>
          <t>YDRE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46254</v>
      </c>
      <c r="F256" t="inlineStr">
        <is>
          <t>ÖSTERGÖTLANDS LÄN</t>
        </is>
      </c>
      <c r="G256" t="inlineStr">
        <is>
          <t>YDRE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46254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46254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44868</v>
      </c>
      <c r="E259" s="1" t="n">
        <v>46254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46254</v>
      </c>
      <c r="F260" t="inlineStr">
        <is>
          <t>ÖSTERGÖTLANDS LÄN</t>
        </is>
      </c>
      <c r="G260" t="inlineStr">
        <is>
          <t>YDRE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45755</v>
      </c>
      <c r="E261" s="1" t="n">
        <v>46254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46254</v>
      </c>
      <c r="F262" t="inlineStr">
        <is>
          <t>ÖSTERGÖTLANDS LÄN</t>
        </is>
      </c>
      <c r="G262" t="inlineStr">
        <is>
          <t>YDRE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46254</v>
      </c>
      <c r="F263" t="inlineStr">
        <is>
          <t>ÖSTERGÖTLANDS LÄN</t>
        </is>
      </c>
      <c r="G263" t="inlineStr">
        <is>
          <t>YDRE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46254</v>
      </c>
      <c r="F264" t="inlineStr">
        <is>
          <t>ÖSTERGÖTLANDS LÄN</t>
        </is>
      </c>
      <c r="G264" t="inlineStr">
        <is>
          <t>YDRE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44966</v>
      </c>
      <c r="E265" s="1" t="n">
        <v>46254</v>
      </c>
      <c r="F265" t="inlineStr">
        <is>
          <t>ÖSTERGÖTLANDS LÄN</t>
        </is>
      </c>
      <c r="G265" t="inlineStr">
        <is>
          <t>YDRE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44572</v>
      </c>
      <c r="E266" s="1" t="n">
        <v>46254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59407-2021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46254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61636-2021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46254</v>
      </c>
      <c r="F268" t="inlineStr">
        <is>
          <t>ÖSTERGÖTLANDS LÄN</t>
        </is>
      </c>
      <c r="G268" t="inlineStr">
        <is>
          <t>YDRE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46254</v>
      </c>
      <c r="F269" t="inlineStr">
        <is>
          <t>ÖSTERGÖTLANDS LÄN</t>
        </is>
      </c>
      <c r="G269" t="inlineStr">
        <is>
          <t>YDRE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46254</v>
      </c>
      <c r="F270" t="inlineStr">
        <is>
          <t>ÖSTERGÖTLANDS LÄN</t>
        </is>
      </c>
      <c r="G270" t="inlineStr">
        <is>
          <t>YDRE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46254</v>
      </c>
      <c r="F271" t="inlineStr">
        <is>
          <t>ÖSTERGÖTLANDS LÄN</t>
        </is>
      </c>
      <c r="G271" t="inlineStr">
        <is>
          <t>YDRE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45994</v>
      </c>
      <c r="E272" s="1" t="n">
        <v>46254</v>
      </c>
      <c r="F272" t="inlineStr">
        <is>
          <t>ÖSTERGÖTLANDS LÄN</t>
        </is>
      </c>
      <c r="G272" t="inlineStr">
        <is>
          <t>YDRE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46254</v>
      </c>
      <c r="F273" t="inlineStr">
        <is>
          <t>ÖSTERGÖTLANDS LÄN</t>
        </is>
      </c>
      <c r="G273" t="inlineStr">
        <is>
          <t>YDRE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45575</v>
      </c>
      <c r="E274" s="1" t="n">
        <v>46254</v>
      </c>
      <c r="F274" t="inlineStr">
        <is>
          <t>ÖSTERGÖTLANDS LÄN</t>
        </is>
      </c>
      <c r="G274" t="inlineStr">
        <is>
          <t>YDRE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46254</v>
      </c>
      <c r="F275" t="inlineStr">
        <is>
          <t>ÖSTERGÖTLANDS LÄN</t>
        </is>
      </c>
      <c r="G275" t="inlineStr">
        <is>
          <t>YDRE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44874</v>
      </c>
      <c r="E276" s="1" t="n">
        <v>46254</v>
      </c>
      <c r="F276" t="inlineStr">
        <is>
          <t>ÖSTERGÖTLANDS LÄN</t>
        </is>
      </c>
      <c r="G276" t="inlineStr">
        <is>
          <t>YDRE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46254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44711</v>
      </c>
      <c r="E278" s="1" t="n">
        <v>46254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62448-2025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46254</v>
      </c>
      <c r="F279" t="inlineStr">
        <is>
          <t>ÖSTERGÖTLANDS LÄN</t>
        </is>
      </c>
      <c r="G279" t="inlineStr">
        <is>
          <t>YDRE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46254</v>
      </c>
      <c r="F280" t="inlineStr">
        <is>
          <t>ÖSTERGÖTLANDS LÄN</t>
        </is>
      </c>
      <c r="G280" t="inlineStr">
        <is>
          <t>YDRE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46007</v>
      </c>
      <c r="E281" s="1" t="n">
        <v>46254</v>
      </c>
      <c r="F281" t="inlineStr">
        <is>
          <t>ÖSTERGÖTLANDS LÄN</t>
        </is>
      </c>
      <c r="G281" t="inlineStr">
        <is>
          <t>YDRE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46254</v>
      </c>
      <c r="F282" t="inlineStr">
        <is>
          <t>ÖSTERGÖTLANDS LÄN</t>
        </is>
      </c>
      <c r="G282" t="inlineStr">
        <is>
          <t>YDRE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46254</v>
      </c>
      <c r="F283" t="inlineStr">
        <is>
          <t>ÖSTERGÖTLANDS LÄN</t>
        </is>
      </c>
      <c r="G283" t="inlineStr">
        <is>
          <t>YDRE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46254</v>
      </c>
      <c r="F284" t="inlineStr">
        <is>
          <t>ÖSTERGÖTLANDS LÄN</t>
        </is>
      </c>
      <c r="G284" t="inlineStr">
        <is>
          <t>YDRE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46254</v>
      </c>
      <c r="F285" t="inlineStr">
        <is>
          <t>ÖSTERGÖTLANDS LÄN</t>
        </is>
      </c>
      <c r="G285" t="inlineStr">
        <is>
          <t>YDRE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46254</v>
      </c>
      <c r="F286" t="inlineStr">
        <is>
          <t>ÖSTERGÖTLANDS LÄN</t>
        </is>
      </c>
      <c r="G286" t="inlineStr">
        <is>
          <t>YDRE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46254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46254</v>
      </c>
      <c r="F288" t="inlineStr">
        <is>
          <t>ÖSTERGÖTLANDS LÄN</t>
        </is>
      </c>
      <c r="G288" t="inlineStr">
        <is>
          <t>YDRE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63544-2025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46254</v>
      </c>
      <c r="F289" t="inlineStr">
        <is>
          <t>ÖSTERGÖTLANDS LÄN</t>
        </is>
      </c>
      <c r="G289" t="inlineStr">
        <is>
          <t>YDRE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46254</v>
      </c>
      <c r="F290" t="inlineStr">
        <is>
          <t>ÖSTERGÖTLANDS LÄN</t>
        </is>
      </c>
      <c r="G290" t="inlineStr">
        <is>
          <t>YDRE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46254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46254</v>
      </c>
      <c r="F292" t="inlineStr">
        <is>
          <t>ÖSTERGÖTLANDS LÄN</t>
        </is>
      </c>
      <c r="G292" t="inlineStr">
        <is>
          <t>YDRE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63998-2025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46021</v>
      </c>
      <c r="E293" s="1" t="n">
        <v>46254</v>
      </c>
      <c r="F293" t="inlineStr">
        <is>
          <t>ÖSTERGÖTLANDS LÄN</t>
        </is>
      </c>
      <c r="G293" t="inlineStr">
        <is>
          <t>YDRE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45460</v>
      </c>
      <c r="E294" s="1" t="n">
        <v>46254</v>
      </c>
      <c r="F294" t="inlineStr">
        <is>
          <t>ÖSTERGÖTLANDS LÄN</t>
        </is>
      </c>
      <c r="G294" t="inlineStr">
        <is>
          <t>YDRE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46254</v>
      </c>
      <c r="F295" t="inlineStr">
        <is>
          <t>ÖSTERGÖTLANDS LÄN</t>
        </is>
      </c>
      <c r="G295" t="inlineStr">
        <is>
          <t>YDRE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46254</v>
      </c>
      <c r="F296" t="inlineStr">
        <is>
          <t>ÖSTERGÖTLANDS LÄN</t>
        </is>
      </c>
      <c r="G296" t="inlineStr">
        <is>
          <t>YDRE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46254</v>
      </c>
      <c r="F297" t="inlineStr">
        <is>
          <t>ÖSTERGÖTLANDS LÄN</t>
        </is>
      </c>
      <c r="G297" t="inlineStr">
        <is>
          <t>YDRE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46254</v>
      </c>
      <c r="F298" t="inlineStr">
        <is>
          <t>ÖSTERGÖTLANDS LÄN</t>
        </is>
      </c>
      <c r="G298" t="inlineStr">
        <is>
          <t>YDRE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44741-2021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44438</v>
      </c>
      <c r="E299" s="1" t="n">
        <v>46254</v>
      </c>
      <c r="F299" t="inlineStr">
        <is>
          <t>ÖSTERGÖTLANDS LÄN</t>
        </is>
      </c>
      <c r="G299" t="inlineStr">
        <is>
          <t>YDRE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46254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46254</v>
      </c>
      <c r="F301" t="inlineStr">
        <is>
          <t>ÖSTERGÖTLANDS LÄN</t>
        </is>
      </c>
      <c r="G301" t="inlineStr">
        <is>
          <t>YDRE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68983-2021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44530</v>
      </c>
      <c r="E302" s="1" t="n">
        <v>46254</v>
      </c>
      <c r="F302" t="inlineStr">
        <is>
          <t>ÖSTERGÖTLANDS LÄN</t>
        </is>
      </c>
      <c r="G302" t="inlineStr">
        <is>
          <t>YDRE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46254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46254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46254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46254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46254</v>
      </c>
      <c r="F307" t="inlineStr">
        <is>
          <t>ÖSTERGÖTLANDS LÄN</t>
        </is>
      </c>
      <c r="G307" t="inlineStr">
        <is>
          <t>YDRE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45398</v>
      </c>
      <c r="E308" s="1" t="n">
        <v>46254</v>
      </c>
      <c r="F308" t="inlineStr">
        <is>
          <t>ÖSTERGÖTLANDS LÄN</t>
        </is>
      </c>
      <c r="G308" t="inlineStr">
        <is>
          <t>YDRE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46254</v>
      </c>
      <c r="F309" t="inlineStr">
        <is>
          <t>ÖSTERGÖTLANDS LÄN</t>
        </is>
      </c>
      <c r="G309" t="inlineStr">
        <is>
          <t>YDRE</t>
        </is>
      </c>
      <c r="I309" t="n">
        <v>10.2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46254</v>
      </c>
      <c r="F310" t="inlineStr">
        <is>
          <t>ÖSTERGÖTLANDS LÄN</t>
        </is>
      </c>
      <c r="G310" t="inlineStr">
        <is>
          <t>YDRE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46254</v>
      </c>
      <c r="F311" t="inlineStr">
        <is>
          <t>ÖSTERGÖTLANDS LÄN</t>
        </is>
      </c>
      <c r="G311" t="inlineStr">
        <is>
          <t>YDRE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46254</v>
      </c>
      <c r="F312" t="inlineStr">
        <is>
          <t>ÖSTERGÖTLANDS LÄN</t>
        </is>
      </c>
      <c r="G312" t="inlineStr">
        <is>
          <t>YDRE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46055</v>
      </c>
      <c r="E313" s="1" t="n">
        <v>46254</v>
      </c>
      <c r="F313" t="inlineStr">
        <is>
          <t>ÖSTERGÖTLANDS LÄN</t>
        </is>
      </c>
      <c r="G313" t="inlineStr">
        <is>
          <t>YDRE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46254</v>
      </c>
      <c r="F314" t="inlineStr">
        <is>
          <t>ÖSTERGÖTLANDS LÄN</t>
        </is>
      </c>
      <c r="G314" t="inlineStr">
        <is>
          <t>YDRE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45638</v>
      </c>
      <c r="E315" s="1" t="n">
        <v>46254</v>
      </c>
      <c r="F315" t="inlineStr">
        <is>
          <t>ÖSTERGÖTLANDS LÄN</t>
        </is>
      </c>
      <c r="G315" t="inlineStr">
        <is>
          <t>YDRE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45414</v>
      </c>
      <c r="E316" s="1" t="n">
        <v>46254</v>
      </c>
      <c r="F316" t="inlineStr">
        <is>
          <t>ÖSTERGÖTLANDS LÄN</t>
        </is>
      </c>
      <c r="G316" t="inlineStr">
        <is>
          <t>YDRE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46254</v>
      </c>
      <c r="F317" t="inlineStr">
        <is>
          <t>ÖSTERGÖTLANDS LÄN</t>
        </is>
      </c>
      <c r="G317" t="inlineStr">
        <is>
          <t>YDRE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46254</v>
      </c>
      <c r="F318" t="inlineStr">
        <is>
          <t>ÖSTERGÖTLANDS LÄN</t>
        </is>
      </c>
      <c r="G318" t="inlineStr">
        <is>
          <t>YDRE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38928-2022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44816</v>
      </c>
      <c r="E319" s="1" t="n">
        <v>46254</v>
      </c>
      <c r="F319" t="inlineStr">
        <is>
          <t>ÖSTERGÖTLANDS LÄN</t>
        </is>
      </c>
      <c r="G319" t="inlineStr">
        <is>
          <t>YDRE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46254</v>
      </c>
      <c r="F320" t="inlineStr">
        <is>
          <t>ÖSTERGÖTLANDS LÄN</t>
        </is>
      </c>
      <c r="G320" t="inlineStr">
        <is>
          <t>YDRE</t>
        </is>
      </c>
      <c r="H320" t="inlineStr">
        <is>
          <t>Övriga Aktiebolag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46254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45016</v>
      </c>
      <c r="E322" s="1" t="n">
        <v>46254</v>
      </c>
      <c r="F322" t="inlineStr">
        <is>
          <t>ÖSTERGÖTLANDS LÄN</t>
        </is>
      </c>
      <c r="G322" t="inlineStr">
        <is>
          <t>YDRE</t>
        </is>
      </c>
      <c r="H322" t="inlineStr">
        <is>
          <t>Övriga Aktiebolag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46254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46069</v>
      </c>
      <c r="E324" s="1" t="n">
        <v>46254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46254</v>
      </c>
      <c r="F325" t="inlineStr">
        <is>
          <t>ÖSTERGÖTLANDS LÄN</t>
        </is>
      </c>
      <c r="G325" t="inlineStr">
        <is>
          <t>YDRE</t>
        </is>
      </c>
      <c r="H325" t="inlineStr">
        <is>
          <t>Övriga Aktiebolag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46254</v>
      </c>
      <c r="F326" t="inlineStr">
        <is>
          <t>ÖSTERGÖTLANDS LÄN</t>
        </is>
      </c>
      <c r="G326" t="inlineStr">
        <is>
          <t>YDRE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9409-2026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46071</v>
      </c>
      <c r="E327" s="1" t="n">
        <v>46254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44655</v>
      </c>
      <c r="E328" s="1" t="n">
        <v>46254</v>
      </c>
      <c r="F328" t="inlineStr">
        <is>
          <t>ÖSTERGÖTLANDS LÄN</t>
        </is>
      </c>
      <c r="G328" t="inlineStr">
        <is>
          <t>YDRE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45348</v>
      </c>
      <c r="E329" s="1" t="n">
        <v>46254</v>
      </c>
      <c r="F329" t="inlineStr">
        <is>
          <t>ÖSTERGÖTLANDS LÄN</t>
        </is>
      </c>
      <c r="G329" t="inlineStr">
        <is>
          <t>YDRE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46077</v>
      </c>
      <c r="E330" s="1" t="n">
        <v>46254</v>
      </c>
      <c r="F330" t="inlineStr">
        <is>
          <t>ÖSTERGÖTLANDS LÄN</t>
        </is>
      </c>
      <c r="G330" t="inlineStr">
        <is>
          <t>YDRE</t>
        </is>
      </c>
      <c r="H330" t="inlineStr">
        <is>
          <t>Övriga Aktiebolag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46254</v>
      </c>
      <c r="F331" t="inlineStr">
        <is>
          <t>ÖSTERGÖTLANDS LÄN</t>
        </is>
      </c>
      <c r="G331" t="inlineStr">
        <is>
          <t>YDRE</t>
        </is>
      </c>
      <c r="H331" t="inlineStr">
        <is>
          <t>Övriga Aktiebolag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46254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46254</v>
      </c>
      <c r="F333" t="inlineStr">
        <is>
          <t>ÖSTERGÖTLANDS LÄN</t>
        </is>
      </c>
      <c r="G333" t="inlineStr">
        <is>
          <t>YDRE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46254</v>
      </c>
      <c r="F334" t="inlineStr">
        <is>
          <t>ÖSTERGÖTLANDS LÄN</t>
        </is>
      </c>
      <c r="G334" t="inlineStr">
        <is>
          <t>YDRE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46254</v>
      </c>
      <c r="F335" t="inlineStr">
        <is>
          <t>ÖSTERGÖTLANDS LÄN</t>
        </is>
      </c>
      <c r="G335" t="inlineStr">
        <is>
          <t>YDRE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46254</v>
      </c>
      <c r="F336" t="inlineStr">
        <is>
          <t>ÖSTERGÖTLANDS LÄN</t>
        </is>
      </c>
      <c r="G336" t="inlineStr">
        <is>
          <t>YDRE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59805-2022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44908</v>
      </c>
      <c r="E337" s="1" t="n">
        <v>46254</v>
      </c>
      <c r="F337" t="inlineStr">
        <is>
          <t>ÖSTERGÖTLANDS LÄN</t>
        </is>
      </c>
      <c r="G337" t="inlineStr">
        <is>
          <t>YDRE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45634</v>
      </c>
      <c r="E338" s="1" t="n">
        <v>46254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46254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46254</v>
      </c>
      <c r="F340" t="inlineStr">
        <is>
          <t>ÖSTERGÖTLANDS LÄN</t>
        </is>
      </c>
      <c r="G340" t="inlineStr">
        <is>
          <t>YDRE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14184-2022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44651</v>
      </c>
      <c r="E341" s="1" t="n">
        <v>46254</v>
      </c>
      <c r="F341" t="inlineStr">
        <is>
          <t>ÖSTERGÖTLANDS LÄN</t>
        </is>
      </c>
      <c r="G341" t="inlineStr">
        <is>
          <t>YDRE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45395-2022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44844</v>
      </c>
      <c r="E342" s="1" t="n">
        <v>46254</v>
      </c>
      <c r="F342" t="inlineStr">
        <is>
          <t>ÖSTERGÖTLANDS LÄN</t>
        </is>
      </c>
      <c r="G342" t="inlineStr">
        <is>
          <t>YDRE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45257</v>
      </c>
      <c r="E343" s="1" t="n">
        <v>46254</v>
      </c>
      <c r="F343" t="inlineStr">
        <is>
          <t>ÖSTERGÖTLANDS LÄN</t>
        </is>
      </c>
      <c r="G343" t="inlineStr">
        <is>
          <t>YDRE</t>
        </is>
      </c>
      <c r="I343" t="n">
        <v>17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46254</v>
      </c>
      <c r="F344" t="inlineStr">
        <is>
          <t>ÖSTERGÖTLANDS LÄN</t>
        </is>
      </c>
      <c r="G344" t="inlineStr">
        <is>
          <t>YDRE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46254</v>
      </c>
      <c r="F345" t="inlineStr">
        <is>
          <t>ÖSTERGÖTLANDS LÄN</t>
        </is>
      </c>
      <c r="G345" t="inlineStr">
        <is>
          <t>YDRE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46254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46254</v>
      </c>
      <c r="F347" t="inlineStr">
        <is>
          <t>ÖSTERGÖTLANDS LÄN</t>
        </is>
      </c>
      <c r="G347" t="inlineStr">
        <is>
          <t>YDRE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46254</v>
      </c>
      <c r="F348" t="inlineStr">
        <is>
          <t>ÖSTERGÖTLANDS LÄN</t>
        </is>
      </c>
      <c r="G348" t="inlineStr">
        <is>
          <t>YDRE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46254</v>
      </c>
      <c r="F349" t="inlineStr">
        <is>
          <t>ÖSTERGÖTLANDS LÄN</t>
        </is>
      </c>
      <c r="G349" t="inlineStr">
        <is>
          <t>YDRE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46254</v>
      </c>
      <c r="F350" t="inlineStr">
        <is>
          <t>ÖSTERGÖTLANDS LÄN</t>
        </is>
      </c>
      <c r="G350" t="inlineStr">
        <is>
          <t>YDRE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14600-2026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46254</v>
      </c>
      <c r="F351" t="inlineStr">
        <is>
          <t>ÖSTERGÖTLANDS LÄN</t>
        </is>
      </c>
      <c r="G351" t="inlineStr">
        <is>
          <t>YDRE</t>
        </is>
      </c>
      <c r="I351" t="n">
        <v>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46101</v>
      </c>
      <c r="E352" s="1" t="n">
        <v>46254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46254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45273</v>
      </c>
      <c r="E354" s="1" t="n">
        <v>46254</v>
      </c>
      <c r="F354" t="inlineStr">
        <is>
          <t>ÖSTERGÖTLANDS LÄN</t>
        </is>
      </c>
      <c r="G354" t="inlineStr">
        <is>
          <t>YDRE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46254</v>
      </c>
      <c r="F355" t="inlineStr">
        <is>
          <t>ÖSTERGÖTLANDS LÄN</t>
        </is>
      </c>
      <c r="G355" t="inlineStr">
        <is>
          <t>YDRE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46254</v>
      </c>
      <c r="F356" t="inlineStr">
        <is>
          <t>ÖSTERGÖTLANDS LÄN</t>
        </is>
      </c>
      <c r="G356" t="inlineStr">
        <is>
          <t>YDRE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16289-2022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46254</v>
      </c>
      <c r="F357" t="inlineStr">
        <is>
          <t>ÖSTERGÖTLANDS LÄN</t>
        </is>
      </c>
      <c r="G357" t="inlineStr">
        <is>
          <t>YDRE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46254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14101-2022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44651</v>
      </c>
      <c r="E359" s="1" t="n">
        <v>46254</v>
      </c>
      <c r="F359" t="inlineStr">
        <is>
          <t>ÖSTERGÖTLANDS LÄN</t>
        </is>
      </c>
      <c r="G359" t="inlineStr">
        <is>
          <t>YDRE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46254</v>
      </c>
      <c r="F360" t="inlineStr">
        <is>
          <t>ÖSTERGÖTLANDS LÄN</t>
        </is>
      </c>
      <c r="G360" t="inlineStr">
        <is>
          <t>YDRE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44490</v>
      </c>
      <c r="E361" s="1" t="n">
        <v>46254</v>
      </c>
      <c r="F361" t="inlineStr">
        <is>
          <t>ÖSTERGÖTLANDS LÄN</t>
        </is>
      </c>
      <c r="G361" t="inlineStr">
        <is>
          <t>YDRE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46254</v>
      </c>
      <c r="F362" t="inlineStr">
        <is>
          <t>ÖSTERGÖTLANDS LÄN</t>
        </is>
      </c>
      <c r="G362" t="inlineStr">
        <is>
          <t>YDRE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46116</v>
      </c>
      <c r="E363" s="1" t="n">
        <v>46254</v>
      </c>
      <c r="F363" t="inlineStr">
        <is>
          <t>ÖSTERGÖTLANDS LÄN</t>
        </is>
      </c>
      <c r="G363" t="inlineStr">
        <is>
          <t>YDRE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46119</v>
      </c>
      <c r="E364" s="1" t="n">
        <v>46254</v>
      </c>
      <c r="F364" t="inlineStr">
        <is>
          <t>ÖSTERGÖTLANDS LÄN</t>
        </is>
      </c>
      <c r="G364" t="inlineStr">
        <is>
          <t>YDRE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46254</v>
      </c>
      <c r="F365" t="inlineStr">
        <is>
          <t>ÖSTERGÖTLANDS LÄN</t>
        </is>
      </c>
      <c r="G365" t="inlineStr">
        <is>
          <t>YDRE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17705-2026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46254</v>
      </c>
      <c r="F366" t="inlineStr">
        <is>
          <t>ÖSTERGÖTLANDS LÄN</t>
        </is>
      </c>
      <c r="G366" t="inlineStr">
        <is>
          <t>YDRE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46254</v>
      </c>
      <c r="F367" t="inlineStr">
        <is>
          <t>ÖSTERGÖTLANDS LÄN</t>
        </is>
      </c>
      <c r="G367" t="inlineStr">
        <is>
          <t>YDRE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46254</v>
      </c>
      <c r="F368" t="inlineStr">
        <is>
          <t>ÖSTERGÖTLANDS LÄN</t>
        </is>
      </c>
      <c r="G368" t="inlineStr">
        <is>
          <t>YDRE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46254</v>
      </c>
      <c r="F369" t="inlineStr">
        <is>
          <t>ÖSTERGÖTLANDS LÄN</t>
        </is>
      </c>
      <c r="G369" t="inlineStr">
        <is>
          <t>YDRE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46254</v>
      </c>
      <c r="F370" t="inlineStr">
        <is>
          <t>ÖSTERGÖTLANDS LÄN</t>
        </is>
      </c>
      <c r="G370" t="inlineStr">
        <is>
          <t>YDRE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46254</v>
      </c>
      <c r="F371" t="inlineStr">
        <is>
          <t>ÖSTERGÖTLANDS LÄN</t>
        </is>
      </c>
      <c r="G371" t="inlineStr">
        <is>
          <t>YDRE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46254</v>
      </c>
      <c r="F372" t="inlineStr">
        <is>
          <t>ÖSTERGÖTLANDS LÄN</t>
        </is>
      </c>
      <c r="G372" t="inlineStr">
        <is>
          <t>YDRE</t>
        </is>
      </c>
      <c r="H372" t="inlineStr">
        <is>
          <t>Övriga Aktiebolag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45748</v>
      </c>
      <c r="E373" s="1" t="n">
        <v>46254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45264</v>
      </c>
      <c r="E374" s="1" t="n">
        <v>46254</v>
      </c>
      <c r="F374" t="inlineStr">
        <is>
          <t>ÖSTERGÖTLANDS LÄN</t>
        </is>
      </c>
      <c r="G374" t="inlineStr">
        <is>
          <t>YDRE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46254</v>
      </c>
      <c r="F375" t="inlineStr">
        <is>
          <t>ÖSTERGÖTLANDS LÄN</t>
        </is>
      </c>
      <c r="G375" t="inlineStr">
        <is>
          <t>YDRE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57290-2021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46254</v>
      </c>
      <c r="F376" t="inlineStr">
        <is>
          <t>ÖSTERGÖTLANDS LÄN</t>
        </is>
      </c>
      <c r="G376" t="inlineStr">
        <is>
          <t>YDRE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45492</v>
      </c>
      <c r="E377" s="1" t="n">
        <v>46254</v>
      </c>
      <c r="F377" t="inlineStr">
        <is>
          <t>ÖSTERGÖTLANDS LÄN</t>
        </is>
      </c>
      <c r="G377" t="inlineStr">
        <is>
          <t>YDRE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45468</v>
      </c>
      <c r="E378" s="1" t="n">
        <v>46254</v>
      </c>
      <c r="F378" t="inlineStr">
        <is>
          <t>ÖSTERGÖTLANDS LÄN</t>
        </is>
      </c>
      <c r="G378" t="inlineStr">
        <is>
          <t>YDRE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46254</v>
      </c>
      <c r="F379" t="inlineStr">
        <is>
          <t>ÖSTERGÖTLANDS LÄN</t>
        </is>
      </c>
      <c r="G379" t="inlineStr">
        <is>
          <t>YDRE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46254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46254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46254</v>
      </c>
      <c r="F382" t="inlineStr">
        <is>
          <t>ÖSTERGÖTLANDS LÄN</t>
        </is>
      </c>
      <c r="G382" t="inlineStr">
        <is>
          <t>YDRE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45544</v>
      </c>
      <c r="E383" s="1" t="n">
        <v>46254</v>
      </c>
      <c r="F383" t="inlineStr">
        <is>
          <t>ÖSTERGÖTLANDS LÄN</t>
        </is>
      </c>
      <c r="G383" t="inlineStr">
        <is>
          <t>YDRE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46254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46254</v>
      </c>
      <c r="F385" t="inlineStr">
        <is>
          <t>ÖSTERGÖTLANDS LÄN</t>
        </is>
      </c>
      <c r="G385" t="inlineStr">
        <is>
          <t>YDRE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45719</v>
      </c>
      <c r="E386" s="1" t="n">
        <v>46254</v>
      </c>
      <c r="F386" t="inlineStr">
        <is>
          <t>ÖSTERGÖTLANDS LÄN</t>
        </is>
      </c>
      <c r="G386" t="inlineStr">
        <is>
          <t>YDRE</t>
        </is>
      </c>
      <c r="H386" t="inlineStr">
        <is>
          <t>Övriga Aktiebolag</t>
        </is>
      </c>
      <c r="I386" t="n">
        <v>18.2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45475</v>
      </c>
      <c r="E387" s="1" t="n">
        <v>46254</v>
      </c>
      <c r="F387" t="inlineStr">
        <is>
          <t>ÖSTERGÖTLANDS LÄN</t>
        </is>
      </c>
      <c r="G387" t="inlineStr">
        <is>
          <t>YDRE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45616</v>
      </c>
      <c r="E388" s="1" t="n">
        <v>46254</v>
      </c>
      <c r="F388" t="inlineStr">
        <is>
          <t>ÖSTERGÖTLANDS LÄN</t>
        </is>
      </c>
      <c r="G388" t="inlineStr">
        <is>
          <t>YDRE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10414-2024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45365</v>
      </c>
      <c r="E389" s="1" t="n">
        <v>46254</v>
      </c>
      <c r="F389" t="inlineStr">
        <is>
          <t>ÖSTERGÖTLANDS LÄN</t>
        </is>
      </c>
      <c r="G389" t="inlineStr">
        <is>
          <t>YDRE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46254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46254</v>
      </c>
      <c r="F391" t="inlineStr">
        <is>
          <t>ÖSTERGÖTLANDS LÄN</t>
        </is>
      </c>
      <c r="G391" t="inlineStr">
        <is>
          <t>YDRE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45726</v>
      </c>
      <c r="E392" s="1" t="n">
        <v>46254</v>
      </c>
      <c r="F392" t="inlineStr">
        <is>
          <t>ÖSTERGÖTLANDS LÄN</t>
        </is>
      </c>
      <c r="G392" t="inlineStr">
        <is>
          <t>YDRE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55867-2023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45239</v>
      </c>
      <c r="E393" s="1" t="n">
        <v>46254</v>
      </c>
      <c r="F393" t="inlineStr">
        <is>
          <t>ÖSTERGÖTLANDS LÄN</t>
        </is>
      </c>
      <c r="G393" t="inlineStr">
        <is>
          <t>YDRE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45821</v>
      </c>
      <c r="E394" s="1" t="n">
        <v>46254</v>
      </c>
      <c r="F394" t="inlineStr">
        <is>
          <t>ÖSTERGÖTLANDS LÄN</t>
        </is>
      </c>
      <c r="G394" t="inlineStr">
        <is>
          <t>YDRE</t>
        </is>
      </c>
      <c r="H394" t="inlineStr">
        <is>
          <t>Kyrkan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46254</v>
      </c>
      <c r="F395" t="inlineStr">
        <is>
          <t>ÖSTERGÖTLANDS LÄN</t>
        </is>
      </c>
      <c r="G395" t="inlineStr">
        <is>
          <t>YDRE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46254</v>
      </c>
      <c r="F396" t="inlineStr">
        <is>
          <t>ÖSTERGÖTLANDS LÄN</t>
        </is>
      </c>
      <c r="G396" t="inlineStr">
        <is>
          <t>YDRE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46254</v>
      </c>
      <c r="F397" t="inlineStr">
        <is>
          <t>ÖSTERGÖTLANDS LÄN</t>
        </is>
      </c>
      <c r="G397" t="inlineStr">
        <is>
          <t>YDRE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46254</v>
      </c>
      <c r="F398" t="inlineStr">
        <is>
          <t>ÖSTERGÖTLANDS LÄN</t>
        </is>
      </c>
      <c r="G398" t="inlineStr">
        <is>
          <t>YDRE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46254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46254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46254</v>
      </c>
      <c r="F401" t="inlineStr">
        <is>
          <t>ÖSTERGÖTLANDS LÄN</t>
        </is>
      </c>
      <c r="G401" t="inlineStr">
        <is>
          <t>YDRE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46254</v>
      </c>
      <c r="F402" t="inlineStr">
        <is>
          <t>ÖSTERGÖTLANDS LÄN</t>
        </is>
      </c>
      <c r="G402" t="inlineStr">
        <is>
          <t>YDRE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46254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32635-2025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45838</v>
      </c>
      <c r="E404" s="1" t="n">
        <v>46254</v>
      </c>
      <c r="F404" t="inlineStr">
        <is>
          <t>ÖSTERGÖTLANDS LÄN</t>
        </is>
      </c>
      <c r="G404" t="inlineStr">
        <is>
          <t>YDRE</t>
        </is>
      </c>
      <c r="H404" t="inlineStr">
        <is>
          <t>Övriga Aktiebolag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45790</v>
      </c>
      <c r="E405" s="1" t="n">
        <v>46254</v>
      </c>
      <c r="F405" t="inlineStr">
        <is>
          <t>ÖSTERGÖTLANDS LÄN</t>
        </is>
      </c>
      <c r="G405" t="inlineStr">
        <is>
          <t>YDRE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45810</v>
      </c>
      <c r="E406" s="1" t="n">
        <v>46254</v>
      </c>
      <c r="F406" t="inlineStr">
        <is>
          <t>ÖSTERGÖTLANDS LÄN</t>
        </is>
      </c>
      <c r="G406" t="inlineStr">
        <is>
          <t>YDRE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45769</v>
      </c>
      <c r="E407" s="1" t="n">
        <v>46254</v>
      </c>
      <c r="F407" t="inlineStr">
        <is>
          <t>ÖSTERGÖTLANDS LÄN</t>
        </is>
      </c>
      <c r="G407" t="inlineStr">
        <is>
          <t>YDRE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5385-2021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44431</v>
      </c>
      <c r="E408" s="1" t="n">
        <v>46254</v>
      </c>
      <c r="F408" t="inlineStr">
        <is>
          <t>ÖSTERGÖTLANDS LÄN</t>
        </is>
      </c>
      <c r="G408" t="inlineStr">
        <is>
          <t>YDRE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416-2022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44585</v>
      </c>
      <c r="E409" s="1" t="n">
        <v>46254</v>
      </c>
      <c r="F409" t="inlineStr">
        <is>
          <t>ÖSTERGÖTLANDS LÄN</t>
        </is>
      </c>
      <c r="G409" t="inlineStr">
        <is>
          <t>YDRE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2053-2025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45839</v>
      </c>
      <c r="E410" s="1" t="n">
        <v>46254</v>
      </c>
      <c r="F410" t="inlineStr">
        <is>
          <t>ÖSTERGÖTLANDS LÄN</t>
        </is>
      </c>
      <c r="G410" t="inlineStr">
        <is>
          <t>YDRE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2604-2025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45916</v>
      </c>
      <c r="E411" s="1" t="n">
        <v>46254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3063-2025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45964</v>
      </c>
      <c r="E412" s="1" t="n">
        <v>46254</v>
      </c>
      <c r="F412" t="inlineStr">
        <is>
          <t>ÖSTERGÖTLANDS LÄN</t>
        </is>
      </c>
      <c r="G412" t="inlineStr">
        <is>
          <t>YDRE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384-2026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46066</v>
      </c>
      <c r="E413" s="1" t="n">
        <v>46254</v>
      </c>
      <c r="F413" t="inlineStr">
        <is>
          <t>ÖSTERGÖTLANDS LÄN</t>
        </is>
      </c>
      <c r="G413" t="inlineStr">
        <is>
          <t>YDRE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2026-08-20T01:45:49Z</dcterms:created>
  <dcterms:modified xmlns:dcterms="http://purl.org/dc/terms/" xmlns:xsi="http://www.w3.org/2001/XMLSchema-instance" xsi:type="dcterms:W3CDTF">2026-08-20T01:45:50Z</dcterms:modified>
</cp:coreProperties>
</file>