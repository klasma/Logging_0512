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46256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46256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46256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46256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46256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46256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46256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46256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23612-2025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45792</v>
      </c>
      <c r="E12" s="1" t="n">
        <v>46256</v>
      </c>
      <c r="F12" t="inlineStr">
        <is>
          <t>ÖSTERGÖTLANDS LÄN</t>
        </is>
      </c>
      <c r="G12" t="inlineStr">
        <is>
          <t>YDRE</t>
        </is>
      </c>
      <c r="I12" t="n">
        <v>2.1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Tallticka
Blomkålssvamp</t>
        </is>
      </c>
      <c r="W12">
        <f>HYPERLINK("https://klasma.github.io/Logging_0512/artfynd/A 23612-2025 artfynd.xlsx", "A 23612-2025")</f>
        <v/>
      </c>
      <c r="X12">
        <f>HYPERLINK("https://klasma.github.io/Logging_0512/kartor/A 23612-2025 karta.png", "A 23612-2025")</f>
        <v/>
      </c>
      <c r="Y12">
        <f>HYPERLINK("https://klasma.github.io/Logging_0512/kartor_geotiff/A 23612-2025 georefererad karta.tif", "A 23612-2025")</f>
        <v/>
      </c>
      <c r="AA12">
        <f>HYPERLINK("https://klasma.github.io/Logging_0512/klagomål/A 23612-2025 FSC-klagomål.docx", "A 23612-2025")</f>
        <v/>
      </c>
      <c r="AB12">
        <f>HYPERLINK("https://klasma.github.io/Logging_0512/klagomålsmail/A 23612-2025 FSC-klagomål mail.docx", "A 23612-2025")</f>
        <v/>
      </c>
      <c r="AC12">
        <f>HYPERLINK("https://klasma.github.io/Logging_0512/tillsyn/A 23612-2025 tillsynsbegäran.docx", "A 23612-2025")</f>
        <v/>
      </c>
      <c r="AD12">
        <f>HYPERLINK("https://klasma.github.io/Logging_0512/tillsynsmail/A 23612-2025 tillsynsbegäran mail.docx", "A 23612-2025")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46256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17526-2024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46256</v>
      </c>
      <c r="F14" t="inlineStr">
        <is>
          <t>ÖSTERGÖTLANDS LÄN</t>
        </is>
      </c>
      <c r="G14" t="inlineStr">
        <is>
          <t>YDRE</t>
        </is>
      </c>
      <c r="I14" t="n">
        <v>1.6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Svinrot
Blåsippa</t>
        </is>
      </c>
      <c r="W14">
        <f>HYPERLINK("https://klasma.github.io/Logging_0512/artfynd/A 17526-2024 artfynd.xlsx", "A 17526-2024")</f>
        <v/>
      </c>
      <c r="X14">
        <f>HYPERLINK("https://klasma.github.io/Logging_0512/kartor/A 17526-2024 karta.png", "A 17526-2024")</f>
        <v/>
      </c>
      <c r="Y14">
        <f>HYPERLINK("https://klasma.github.io/Logging_0512/kartor_geotiff/A 17526-2024 georefererad karta.tif", "A 17526-2024")</f>
        <v/>
      </c>
      <c r="AA14">
        <f>HYPERLINK("https://klasma.github.io/Logging_0512/klagomål/A 17526-2024 FSC-klagomål.docx", "A 17526-2024")</f>
        <v/>
      </c>
      <c r="AB14">
        <f>HYPERLINK("https://klasma.github.io/Logging_0512/klagomålsmail/A 17526-2024 FSC-klagomål mail.docx", "A 17526-2024")</f>
        <v/>
      </c>
      <c r="AC14">
        <f>HYPERLINK("https://klasma.github.io/Logging_0512/tillsyn/A 17526-2024 tillsynsbegäran.docx", "A 17526-2024")</f>
        <v/>
      </c>
      <c r="AD14">
        <f>HYPERLINK("https://klasma.github.io/Logging_0512/tillsynsmail/A 17526-2024 tillsynsbegäran mail.docx", "A 17526-2024")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46256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33676-2022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46256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1.8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Svinrot
Mattlummer</t>
        </is>
      </c>
      <c r="W16">
        <f>HYPERLINK("https://klasma.github.io/Logging_0512/artfynd/A 33676-2022 artfynd.xlsx", "A 33676-2022")</f>
        <v/>
      </c>
      <c r="X16">
        <f>HYPERLINK("https://klasma.github.io/Logging_0512/kartor/A 33676-2022 karta.png", "A 33676-2022")</f>
        <v/>
      </c>
      <c r="Y16">
        <f>HYPERLINK("https://klasma.github.io/Logging_0512/kartor_geotiff/A 33676-2022 georefererad karta.tif", "A 33676-2022")</f>
        <v/>
      </c>
      <c r="AA16">
        <f>HYPERLINK("https://klasma.github.io/Logging_0512/klagomål/A 33676-2022 FSC-klagomål.docx", "A 33676-2022")</f>
        <v/>
      </c>
      <c r="AB16">
        <f>HYPERLINK("https://klasma.github.io/Logging_0512/klagomålsmail/A 33676-2022 FSC-klagomål mail.docx", "A 33676-2022")</f>
        <v/>
      </c>
      <c r="AC16">
        <f>HYPERLINK("https://klasma.github.io/Logging_0512/tillsyn/A 33676-2022 tillsynsbegäran.docx", "A 33676-2022")</f>
        <v/>
      </c>
      <c r="AD16">
        <f>HYPERLINK("https://klasma.github.io/Logging_0512/tillsynsmail/A 33676-2022 tillsynsbegäran mail.docx", "A 33676-2022")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46256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46256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46256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46256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46256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46256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46256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46256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46256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19370-2025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46256</v>
      </c>
      <c r="F26" t="inlineStr">
        <is>
          <t>ÖSTERGÖTLANDS LÄN</t>
        </is>
      </c>
      <c r="G26" t="inlineStr">
        <is>
          <t>YDRE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Smal guldkornsfibbla</t>
        </is>
      </c>
      <c r="W26">
        <f>HYPERLINK("https://klasma.github.io/Logging_0512/artfynd/A 19370-2025 artfynd.xlsx", "A 19370-2025")</f>
        <v/>
      </c>
      <c r="X26">
        <f>HYPERLINK("https://klasma.github.io/Logging_0512/kartor/A 19370-2025 karta.png", "A 19370-2025")</f>
        <v/>
      </c>
      <c r="Y26">
        <f>HYPERLINK("https://klasma.github.io/Logging_0512/kartor_geotiff/A 19370-2025 georefererad karta.tif", "A 19370-2025")</f>
        <v/>
      </c>
      <c r="AA26">
        <f>HYPERLINK("https://klasma.github.io/Logging_0512/klagomål/A 19370-2025 FSC-klagomål.docx", "A 19370-2025")</f>
        <v/>
      </c>
      <c r="AB26">
        <f>HYPERLINK("https://klasma.github.io/Logging_0512/klagomålsmail/A 19370-2025 FSC-klagomål mail.docx", "A 19370-2025")</f>
        <v/>
      </c>
      <c r="AC26">
        <f>HYPERLINK("https://klasma.github.io/Logging_0512/tillsyn/A 19370-2025 tillsynsbegäran.docx", "A 19370-2025")</f>
        <v/>
      </c>
      <c r="AD26">
        <f>HYPERLINK("https://klasma.github.io/Logging_0512/tillsynsmail/A 19370-2025 tillsynsbegäran mail.docx", "A 19370-2025")</f>
        <v/>
      </c>
    </row>
    <row r="27" ht="15" customHeight="1">
      <c r="A27" t="inlineStr">
        <is>
          <t>A 53049-2024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45611</v>
      </c>
      <c r="E27" s="1" t="n">
        <v>46256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2.8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Mosippa</t>
        </is>
      </c>
      <c r="W27">
        <f>HYPERLINK("https://klasma.github.io/Logging_0512/artfynd/A 53049-2024 artfynd.xlsx", "A 53049-2024")</f>
        <v/>
      </c>
      <c r="X27">
        <f>HYPERLINK("https://klasma.github.io/Logging_0512/kartor/A 53049-2024 karta.png", "A 53049-2024")</f>
        <v/>
      </c>
      <c r="Y27">
        <f>HYPERLINK("https://klasma.github.io/Logging_0512/kartor_geotiff/A 53049-2024 georefererad karta.tif", "A 53049-2024")</f>
        <v/>
      </c>
      <c r="AA27">
        <f>HYPERLINK("https://klasma.github.io/Logging_0512/klagomål/A 53049-2024 FSC-klagomål.docx", "A 53049-2024")</f>
        <v/>
      </c>
      <c r="AB27">
        <f>HYPERLINK("https://klasma.github.io/Logging_0512/klagomålsmail/A 53049-2024 FSC-klagomål mail.docx", "A 53049-2024")</f>
        <v/>
      </c>
      <c r="AC27">
        <f>HYPERLINK("https://klasma.github.io/Logging_0512/tillsyn/A 53049-2024 tillsynsbegäran.docx", "A 53049-2024")</f>
        <v/>
      </c>
      <c r="AD27">
        <f>HYPERLINK("https://klasma.github.io/Logging_0512/tillsynsmail/A 53049-2024 tillsynsbegäran mail.docx", "A 53049-2024")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46256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46256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46256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41907-2024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46256</v>
      </c>
      <c r="F31" t="inlineStr">
        <is>
          <t>ÖSTERGÖTLANDS LÄN</t>
        </is>
      </c>
      <c r="G31" t="inlineStr">
        <is>
          <t>YDRE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HYPERLINK("https://klasma.github.io/Logging_0512/artfynd/A 41907-2024 artfynd.xlsx", "A 41907-2024")</f>
        <v/>
      </c>
      <c r="X31">
        <f>HYPERLINK("https://klasma.github.io/Logging_0512/kartor/A 41907-2024 karta.png", "A 41907-2024")</f>
        <v/>
      </c>
      <c r="Y31">
        <f>HYPERLINK("https://klasma.github.io/Logging_0512/kartor_geotiff/A 41907-2024 georefererad karta.tif", "A 41907-2024")</f>
        <v/>
      </c>
      <c r="AA31">
        <f>HYPERLINK("https://klasma.github.io/Logging_0512/klagomål/A 41907-2024 FSC-klagomål.docx", "A 41907-2024")</f>
        <v/>
      </c>
      <c r="AB31">
        <f>HYPERLINK("https://klasma.github.io/Logging_0512/klagomålsmail/A 41907-2024 FSC-klagomål mail.docx", "A 41907-2024")</f>
        <v/>
      </c>
      <c r="AC31">
        <f>HYPERLINK("https://klasma.github.io/Logging_0512/tillsyn/A 41907-2024 tillsynsbegäran.docx", "A 41907-2024")</f>
        <v/>
      </c>
      <c r="AD31">
        <f>HYPERLINK("https://klasma.github.io/Logging_0512/tillsynsmail/A 41907-2024 tillsynsbegäran mail.docx", "A 41907-2024")</f>
        <v/>
      </c>
    </row>
    <row r="32" ht="15" customHeight="1">
      <c r="A32" t="inlineStr">
        <is>
          <t>A 48344-2022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46256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7.6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Gullklöver</t>
        </is>
      </c>
      <c r="W32">
        <f>HYPERLINK("https://klasma.github.io/Logging_0512/artfynd/A 48344-2022 artfynd.xlsx", "A 48344-2022")</f>
        <v/>
      </c>
      <c r="X32">
        <f>HYPERLINK("https://klasma.github.io/Logging_0512/kartor/A 48344-2022 karta.png", "A 48344-2022")</f>
        <v/>
      </c>
      <c r="Y32">
        <f>HYPERLINK("https://klasma.github.io/Logging_0512/kartor_geotiff/A 48344-2022 georefererad karta.tif", "A 48344-2022")</f>
        <v/>
      </c>
      <c r="AA32">
        <f>HYPERLINK("https://klasma.github.io/Logging_0512/klagomål/A 48344-2022 FSC-klagomål.docx", "A 48344-2022")</f>
        <v/>
      </c>
      <c r="AB32">
        <f>HYPERLINK("https://klasma.github.io/Logging_0512/klagomålsmail/A 48344-2022 FSC-klagomål mail.docx", "A 48344-2022")</f>
        <v/>
      </c>
      <c r="AC32">
        <f>HYPERLINK("https://klasma.github.io/Logging_0512/tillsyn/A 48344-2022 tillsynsbegäran.docx", "A 48344-2022")</f>
        <v/>
      </c>
      <c r="AD32">
        <f>HYPERLINK("https://klasma.github.io/Logging_0512/tillsynsmail/A 48344-2022 tillsynsbegäran mail.docx", "A 48344-2022")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46256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46256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46256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4248-2026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46256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HYPERLINK("https://klasma.github.io/Logging_0512/artfynd/A 4248-2026 artfynd.xlsx", "A 4248-2026")</f>
        <v/>
      </c>
      <c r="X36">
        <f>HYPERLINK("https://klasma.github.io/Logging_0512/kartor/A 4248-2026 karta.png", "A 4248-2026")</f>
        <v/>
      </c>
      <c r="Y36">
        <f>HYPERLINK("https://klasma.github.io/Logging_0512/kartor_geotiff/A 4248-2026 georefererad karta.tif", "A 4248-2026")</f>
        <v/>
      </c>
      <c r="AA36">
        <f>HYPERLINK("https://klasma.github.io/Logging_0512/klagomål/A 4248-2026 FSC-klagomål.docx", "A 4248-2026")</f>
        <v/>
      </c>
      <c r="AB36">
        <f>HYPERLINK("https://klasma.github.io/Logging_0512/klagomålsmail/A 4248-2026 FSC-klagomål mail.docx", "A 4248-2026")</f>
        <v/>
      </c>
      <c r="AC36">
        <f>HYPERLINK("https://klasma.github.io/Logging_0512/tillsyn/A 4248-2026 tillsynsbegäran.docx", "A 4248-2026")</f>
        <v/>
      </c>
      <c r="AD36">
        <f>HYPERLINK("https://klasma.github.io/Logging_0512/tillsynsmail/A 4248-2026 tillsynsbegäran mail.docx", "A 4248-2026")</f>
        <v/>
      </c>
      <c r="AE36">
        <f>HYPERLINK("https://klasma.github.io/Logging_0512/fåglar/A 4248-2026 prioriterade fågelarter.docx", "A 4248-2026")</f>
        <v/>
      </c>
    </row>
    <row r="37" ht="15" customHeight="1">
      <c r="A37" t="inlineStr">
        <is>
          <t>A 12669-2025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45733</v>
      </c>
      <c r="E37" s="1" t="n">
        <v>46256</v>
      </c>
      <c r="F37" t="inlineStr">
        <is>
          <t>ÖSTERGÖTLANDS LÄN</t>
        </is>
      </c>
      <c r="G37" t="inlineStr">
        <is>
          <t>YDRE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HYPERLINK("https://klasma.github.io/Logging_0512/artfynd/A 12669-2025 artfynd.xlsx", "A 12669-2025")</f>
        <v/>
      </c>
      <c r="X37">
        <f>HYPERLINK("https://klasma.github.io/Logging_0512/kartor/A 12669-2025 karta.png", "A 12669-2025")</f>
        <v/>
      </c>
      <c r="Y37">
        <f>HYPERLINK("https://klasma.github.io/Logging_0512/kartor_geotiff/A 12669-2025 georefererad karta.tif", "A 12669-2025")</f>
        <v/>
      </c>
      <c r="AA37">
        <f>HYPERLINK("https://klasma.github.io/Logging_0512/klagomål/A 12669-2025 FSC-klagomål.docx", "A 12669-2025")</f>
        <v/>
      </c>
      <c r="AB37">
        <f>HYPERLINK("https://klasma.github.io/Logging_0512/klagomålsmail/A 12669-2025 FSC-klagomål mail.docx", "A 12669-2025")</f>
        <v/>
      </c>
      <c r="AC37">
        <f>HYPERLINK("https://klasma.github.io/Logging_0512/tillsyn/A 12669-2025 tillsynsbegäran.docx", "A 12669-2025")</f>
        <v/>
      </c>
      <c r="AD37">
        <f>HYPERLINK("https://klasma.github.io/Logging_0512/tillsynsmail/A 12669-2025 tillsynsbegäran mail.docx", "A 12669-2025")</f>
        <v/>
      </c>
    </row>
    <row r="38" ht="15" customHeight="1">
      <c r="A38" t="inlineStr">
        <is>
          <t>A 9051-2026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46256</v>
      </c>
      <c r="F38" t="inlineStr">
        <is>
          <t>ÖSTERGÖTLANDS LÄN</t>
        </is>
      </c>
      <c r="G38" t="inlineStr">
        <is>
          <t>YDRE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Slåtterfibbla</t>
        </is>
      </c>
      <c r="W38">
        <f>HYPERLINK("https://klasma.github.io/Logging_0512/artfynd/A 9051-2026 artfynd.xlsx", "A 9051-2026")</f>
        <v/>
      </c>
      <c r="X38">
        <f>HYPERLINK("https://klasma.github.io/Logging_0512/kartor/A 9051-2026 karta.png", "A 9051-2026")</f>
        <v/>
      </c>
      <c r="Y38">
        <f>HYPERLINK("https://klasma.github.io/Logging_0512/kartor_geotiff/A 9051-2026 georefererad karta.tif", "A 9051-2026")</f>
        <v/>
      </c>
      <c r="AA38">
        <f>HYPERLINK("https://klasma.github.io/Logging_0512/klagomål/A 9051-2026 FSC-klagomål.docx", "A 9051-2026")</f>
        <v/>
      </c>
      <c r="AB38">
        <f>HYPERLINK("https://klasma.github.io/Logging_0512/klagomålsmail/A 9051-2026 FSC-klagomål mail.docx", "A 9051-2026")</f>
        <v/>
      </c>
      <c r="AC38">
        <f>HYPERLINK("https://klasma.github.io/Logging_0512/tillsyn/A 9051-2026 tillsynsbegäran.docx", "A 9051-2026")</f>
        <v/>
      </c>
      <c r="AD38">
        <f>HYPERLINK("https://klasma.github.io/Logging_0512/tillsynsmail/A 9051-2026 tillsynsbegäran mail.docx", "A 9051-2026")</f>
        <v/>
      </c>
    </row>
    <row r="39" ht="15" customHeight="1">
      <c r="A39" t="inlineStr">
        <is>
          <t>A 8923-2026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46256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8923-2026 artfynd.xlsx", "A 8923-2026")</f>
        <v/>
      </c>
      <c r="X39">
        <f>HYPERLINK("https://klasma.github.io/Logging_0512/kartor/A 8923-2026 karta.png", "A 8923-2026")</f>
        <v/>
      </c>
      <c r="Y39">
        <f>HYPERLINK("https://klasma.github.io/Logging_0512/kartor_geotiff/A 8923-2026 georefererad karta.tif", "A 8923-2026")</f>
        <v/>
      </c>
      <c r="AA39">
        <f>HYPERLINK("https://klasma.github.io/Logging_0512/klagomål/A 8923-2026 FSC-klagomål.docx", "A 8923-2026")</f>
        <v/>
      </c>
      <c r="AB39">
        <f>HYPERLINK("https://klasma.github.io/Logging_0512/klagomålsmail/A 8923-2026 FSC-klagomål mail.docx", "A 8923-2026")</f>
        <v/>
      </c>
      <c r="AC39">
        <f>HYPERLINK("https://klasma.github.io/Logging_0512/tillsyn/A 8923-2026 tillsynsbegäran.docx", "A 8923-2026")</f>
        <v/>
      </c>
      <c r="AD39">
        <f>HYPERLINK("https://klasma.github.io/Logging_0512/tillsynsmail/A 8923-2026 tillsynsbegäran mail.docx", "A 8923-2026")</f>
        <v/>
      </c>
    </row>
    <row r="40" ht="15" customHeight="1">
      <c r="A40" t="inlineStr">
        <is>
          <t>A 45354-2023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45192</v>
      </c>
      <c r="E40" s="1" t="n">
        <v>46256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HYPERLINK("https://klasma.github.io/Logging_0512/artfynd/A 45354-2023 artfynd.xlsx", "A 45354-2023")</f>
        <v/>
      </c>
      <c r="X40">
        <f>HYPERLINK("https://klasma.github.io/Logging_0512/kartor/A 45354-2023 karta.png", "A 45354-2023")</f>
        <v/>
      </c>
      <c r="Y40">
        <f>HYPERLINK("https://klasma.github.io/Logging_0512/kartor_geotiff/A 45354-2023 georefererad karta.tif", "A 45354-2023")</f>
        <v/>
      </c>
      <c r="AA40">
        <f>HYPERLINK("https://klasma.github.io/Logging_0512/klagomål/A 45354-2023 FSC-klagomål.docx", "A 45354-2023")</f>
        <v/>
      </c>
      <c r="AB40">
        <f>HYPERLINK("https://klasma.github.io/Logging_0512/klagomålsmail/A 45354-2023 FSC-klagomål mail.docx", "A 45354-2023")</f>
        <v/>
      </c>
      <c r="AC40">
        <f>HYPERLINK("https://klasma.github.io/Logging_0512/tillsyn/A 45354-2023 tillsynsbegäran.docx", "A 45354-2023")</f>
        <v/>
      </c>
      <c r="AD40">
        <f>HYPERLINK("https://klasma.github.io/Logging_0512/tillsynsmail/A 45354-2023 tillsynsbegäran mail.docx", "A 45354-2023")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46256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47467-2021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44447</v>
      </c>
      <c r="E42" s="1" t="n">
        <v>46256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HYPERLINK("https://klasma.github.io/Logging_0512/artfynd/A 47467-2021 artfynd.xlsx", "A 47467-2021")</f>
        <v/>
      </c>
      <c r="X42">
        <f>HYPERLINK("https://klasma.github.io/Logging_0512/kartor/A 47467-2021 karta.png", "A 47467-2021")</f>
        <v/>
      </c>
      <c r="Y42">
        <f>HYPERLINK("https://klasma.github.io/Logging_0512/kartor_geotiff/A 47467-2021 georefererad karta.tif", "A 47467-2021")</f>
        <v/>
      </c>
      <c r="AA42">
        <f>HYPERLINK("https://klasma.github.io/Logging_0512/klagomål/A 47467-2021 FSC-klagomål.docx", "A 47467-2021")</f>
        <v/>
      </c>
      <c r="AB42">
        <f>HYPERLINK("https://klasma.github.io/Logging_0512/klagomålsmail/A 47467-2021 FSC-klagomål mail.docx", "A 47467-2021")</f>
        <v/>
      </c>
      <c r="AC42">
        <f>HYPERLINK("https://klasma.github.io/Logging_0512/tillsyn/A 47467-2021 tillsynsbegäran.docx", "A 47467-2021")</f>
        <v/>
      </c>
      <c r="AD42">
        <f>HYPERLINK("https://klasma.github.io/Logging_0512/tillsynsmail/A 47467-2021 tillsynsbegäran mail.docx", "A 47467-2021")</f>
        <v/>
      </c>
    </row>
    <row r="43" ht="15" customHeight="1">
      <c r="A43" t="inlineStr">
        <is>
          <t>A 11716-2025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46256</v>
      </c>
      <c r="F43" t="inlineStr">
        <is>
          <t>ÖSTERGÖTLANDS LÄN</t>
        </is>
      </c>
      <c r="G43" t="inlineStr">
        <is>
          <t>YDRE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Kryddspindling</t>
        </is>
      </c>
      <c r="W43">
        <f>HYPERLINK("https://klasma.github.io/Logging_0512/artfynd/A 11716-2025 artfynd.xlsx", "A 11716-2025")</f>
        <v/>
      </c>
      <c r="X43">
        <f>HYPERLINK("https://klasma.github.io/Logging_0512/kartor/A 11716-2025 karta.png", "A 11716-2025")</f>
        <v/>
      </c>
      <c r="Y43">
        <f>HYPERLINK("https://klasma.github.io/Logging_0512/kartor_geotiff/A 11716-2025 georefererad karta.tif", "A 11716-2025")</f>
        <v/>
      </c>
      <c r="AA43">
        <f>HYPERLINK("https://klasma.github.io/Logging_0512/klagomål/A 11716-2025 FSC-klagomål.docx", "A 11716-2025")</f>
        <v/>
      </c>
      <c r="AB43">
        <f>HYPERLINK("https://klasma.github.io/Logging_0512/klagomålsmail/A 11716-2025 FSC-klagomål mail.docx", "A 11716-2025")</f>
        <v/>
      </c>
      <c r="AC43">
        <f>HYPERLINK("https://klasma.github.io/Logging_0512/tillsyn/A 11716-2025 tillsynsbegäran.docx", "A 11716-2025")</f>
        <v/>
      </c>
      <c r="AD43">
        <f>HYPERLINK("https://klasma.github.io/Logging_0512/tillsynsmail/A 11716-2025 tillsynsbegäran mail.docx", "A 11716-2025")</f>
        <v/>
      </c>
    </row>
    <row r="44" ht="15" customHeight="1">
      <c r="A44" t="inlineStr">
        <is>
          <t>A 45765-2025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46256</v>
      </c>
      <c r="F44" t="inlineStr">
        <is>
          <t>ÖSTERGÖTLANDS LÄN</t>
        </is>
      </c>
      <c r="G44" t="inlineStr">
        <is>
          <t>YDRE</t>
        </is>
      </c>
      <c r="I44" t="n">
        <v>10.9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Sommarfibbla</t>
        </is>
      </c>
      <c r="W44">
        <f>HYPERLINK("https://klasma.github.io/Logging_0512/artfynd/A 45765-2025 artfynd.xlsx", "A 45765-2025")</f>
        <v/>
      </c>
      <c r="X44">
        <f>HYPERLINK("https://klasma.github.io/Logging_0512/kartor/A 45765-2025 karta.png", "A 45765-2025")</f>
        <v/>
      </c>
      <c r="Y44">
        <f>HYPERLINK("https://klasma.github.io/Logging_0512/kartor_geotiff/A 45765-2025 georefererad karta.tif", "A 45765-2025")</f>
        <v/>
      </c>
      <c r="AA44">
        <f>HYPERLINK("https://klasma.github.io/Logging_0512/klagomål/A 45765-2025 FSC-klagomål.docx", "A 45765-2025")</f>
        <v/>
      </c>
      <c r="AB44">
        <f>HYPERLINK("https://klasma.github.io/Logging_0512/klagomålsmail/A 45765-2025 FSC-klagomål mail.docx", "A 45765-2025")</f>
        <v/>
      </c>
      <c r="AC44">
        <f>HYPERLINK("https://klasma.github.io/Logging_0512/tillsyn/A 45765-2025 tillsynsbegäran.docx", "A 45765-2025")</f>
        <v/>
      </c>
      <c r="AD44">
        <f>HYPERLINK("https://klasma.github.io/Logging_0512/tillsynsmail/A 45765-2025 tillsynsbegäran mail.docx", "A 45765-2025")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46256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46256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46256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46256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46256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46256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46256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46256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46256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46256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46256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46256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46256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46256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46256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46256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46256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46256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46256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46256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46256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46256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46256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46256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46256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46256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46256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46256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46256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46256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46256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46256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46256</v>
      </c>
      <c r="F77" t="inlineStr">
        <is>
          <t>ÖSTERGÖTLANDS LÄN</t>
        </is>
      </c>
      <c r="G77" t="inlineStr">
        <is>
          <t>YDRE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46256</v>
      </c>
      <c r="F78" t="inlineStr">
        <is>
          <t>ÖSTERGÖTLANDS LÄN</t>
        </is>
      </c>
      <c r="G78" t="inlineStr">
        <is>
          <t>YDRE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46256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46256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44994</v>
      </c>
      <c r="E81" s="1" t="n">
        <v>46256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71041-2021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46256</v>
      </c>
      <c r="F82" t="inlineStr">
        <is>
          <t>ÖSTERGÖTLANDS LÄN</t>
        </is>
      </c>
      <c r="G82" t="inlineStr">
        <is>
          <t>YDRE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44980</v>
      </c>
      <c r="E83" s="1" t="n">
        <v>46256</v>
      </c>
      <c r="F83" t="inlineStr">
        <is>
          <t>ÖSTERGÖTLANDS LÄN</t>
        </is>
      </c>
      <c r="G83" t="inlineStr">
        <is>
          <t>YDRE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46256</v>
      </c>
      <c r="F84" t="inlineStr">
        <is>
          <t>ÖSTERGÖTLANDS LÄN</t>
        </is>
      </c>
      <c r="G84" t="inlineStr">
        <is>
          <t>YDRE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45091</v>
      </c>
      <c r="E85" s="1" t="n">
        <v>46256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45239</v>
      </c>
      <c r="E86" s="1" t="n">
        <v>46256</v>
      </c>
      <c r="F86" t="inlineStr">
        <is>
          <t>ÖSTERGÖTLANDS LÄN</t>
        </is>
      </c>
      <c r="G86" t="inlineStr">
        <is>
          <t>YDRE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46256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46256</v>
      </c>
      <c r="F88" t="inlineStr">
        <is>
          <t>ÖSTERGÖTLANDS LÄN</t>
        </is>
      </c>
      <c r="G88" t="inlineStr">
        <is>
          <t>YDRE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44576</v>
      </c>
      <c r="E89" s="1" t="n">
        <v>46256</v>
      </c>
      <c r="F89" t="inlineStr">
        <is>
          <t>ÖSTERGÖTLANDS LÄN</t>
        </is>
      </c>
      <c r="G89" t="inlineStr">
        <is>
          <t>YDRE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44994</v>
      </c>
      <c r="E90" s="1" t="n">
        <v>46256</v>
      </c>
      <c r="F90" t="inlineStr">
        <is>
          <t>ÖSTERGÖTLANDS LÄN</t>
        </is>
      </c>
      <c r="G90" t="inlineStr">
        <is>
          <t>YDRE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44994</v>
      </c>
      <c r="E91" s="1" t="n">
        <v>46256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46256</v>
      </c>
      <c r="F92" t="inlineStr">
        <is>
          <t>ÖSTERGÖTLANDS LÄN</t>
        </is>
      </c>
      <c r="G92" t="inlineStr">
        <is>
          <t>YDRE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46256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46256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46256</v>
      </c>
      <c r="F95" t="inlineStr">
        <is>
          <t>ÖSTERGÖTLANDS LÄN</t>
        </is>
      </c>
      <c r="G95" t="inlineStr">
        <is>
          <t>YDRE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46256</v>
      </c>
      <c r="F96" t="inlineStr">
        <is>
          <t>ÖSTERGÖTLANDS LÄN</t>
        </is>
      </c>
      <c r="G96" t="inlineStr">
        <is>
          <t>YDRE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46256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46256</v>
      </c>
      <c r="F98" t="inlineStr">
        <is>
          <t>ÖSTERGÖTLANDS LÄN</t>
        </is>
      </c>
      <c r="G98" t="inlineStr">
        <is>
          <t>YDRE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46256</v>
      </c>
      <c r="F99" t="inlineStr">
        <is>
          <t>ÖSTERGÖTLANDS LÄN</t>
        </is>
      </c>
      <c r="G99" t="inlineStr">
        <is>
          <t>YDRE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46256</v>
      </c>
      <c r="F100" t="inlineStr">
        <is>
          <t>ÖSTERGÖTLANDS LÄN</t>
        </is>
      </c>
      <c r="G100" t="inlineStr">
        <is>
          <t>YDRE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36711-2023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45153</v>
      </c>
      <c r="E101" s="1" t="n">
        <v>46256</v>
      </c>
      <c r="F101" t="inlineStr">
        <is>
          <t>ÖSTERGÖTLANDS LÄN</t>
        </is>
      </c>
      <c r="G101" t="inlineStr">
        <is>
          <t>YDRE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46256</v>
      </c>
      <c r="F102" t="inlineStr">
        <is>
          <t>ÖSTERGÖTLANDS LÄN</t>
        </is>
      </c>
      <c r="G102" t="inlineStr">
        <is>
          <t>YDRE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46256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45077</v>
      </c>
      <c r="E104" s="1" t="n">
        <v>46256</v>
      </c>
      <c r="F104" t="inlineStr">
        <is>
          <t>ÖSTERGÖTLANDS LÄN</t>
        </is>
      </c>
      <c r="G104" t="inlineStr">
        <is>
          <t>YDRE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46256</v>
      </c>
      <c r="F105" t="inlineStr">
        <is>
          <t>ÖSTERGÖTLANDS LÄN</t>
        </is>
      </c>
      <c r="G105" t="inlineStr">
        <is>
          <t>YDRE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55844-2021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44476</v>
      </c>
      <c r="E106" s="1" t="n">
        <v>46256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46256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46256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46256</v>
      </c>
      <c r="F109" t="inlineStr">
        <is>
          <t>ÖSTERGÖTLANDS LÄN</t>
        </is>
      </c>
      <c r="G109" t="inlineStr">
        <is>
          <t>YDRE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46256</v>
      </c>
      <c r="F110" t="inlineStr">
        <is>
          <t>ÖSTERGÖTLANDS LÄN</t>
        </is>
      </c>
      <c r="G110" t="inlineStr">
        <is>
          <t>YDRE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46256</v>
      </c>
      <c r="F111" t="inlineStr">
        <is>
          <t>ÖSTERGÖTLANDS LÄN</t>
        </is>
      </c>
      <c r="G111" t="inlineStr">
        <is>
          <t>YDRE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46256</v>
      </c>
      <c r="F112" t="inlineStr">
        <is>
          <t>ÖSTERGÖTLANDS LÄN</t>
        </is>
      </c>
      <c r="G112" t="inlineStr">
        <is>
          <t>YDRE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46256</v>
      </c>
      <c r="F113" t="inlineStr">
        <is>
          <t>ÖSTERGÖTLANDS LÄN</t>
        </is>
      </c>
      <c r="G113" t="inlineStr">
        <is>
          <t>YDRE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46256</v>
      </c>
      <c r="F114" t="inlineStr">
        <is>
          <t>ÖSTERGÖTLANDS LÄN</t>
        </is>
      </c>
      <c r="G114" t="inlineStr">
        <is>
          <t>YDRE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46256</v>
      </c>
      <c r="F115" t="inlineStr">
        <is>
          <t>ÖSTERGÖTLANDS LÄN</t>
        </is>
      </c>
      <c r="G115" t="inlineStr">
        <is>
          <t>YDRE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46256</v>
      </c>
      <c r="F116" t="inlineStr">
        <is>
          <t>ÖSTERGÖTLANDS LÄN</t>
        </is>
      </c>
      <c r="G116" t="inlineStr">
        <is>
          <t>YDRE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45647</v>
      </c>
      <c r="E117" s="1" t="n">
        <v>46256</v>
      </c>
      <c r="F117" t="inlineStr">
        <is>
          <t>ÖSTERGÖTLANDS LÄN</t>
        </is>
      </c>
      <c r="G117" t="inlineStr">
        <is>
          <t>YDRE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46256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46256</v>
      </c>
      <c r="F119" t="inlineStr">
        <is>
          <t>ÖSTERGÖTLANDS LÄN</t>
        </is>
      </c>
      <c r="G119" t="inlineStr">
        <is>
          <t>YDRE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46256</v>
      </c>
      <c r="F120" t="inlineStr">
        <is>
          <t>ÖSTERGÖTLANDS LÄN</t>
        </is>
      </c>
      <c r="G120" t="inlineStr">
        <is>
          <t>YDRE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46256</v>
      </c>
      <c r="F121" t="inlineStr">
        <is>
          <t>ÖSTERGÖTLANDS LÄN</t>
        </is>
      </c>
      <c r="G121" t="inlineStr">
        <is>
          <t>YDRE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46256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58413-2024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45634</v>
      </c>
      <c r="E123" s="1" t="n">
        <v>46256</v>
      </c>
      <c r="F123" t="inlineStr">
        <is>
          <t>ÖSTERGÖTLANDS LÄN</t>
        </is>
      </c>
      <c r="G123" t="inlineStr">
        <is>
          <t>YDRE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45664</v>
      </c>
      <c r="E124" s="1" t="n">
        <v>46256</v>
      </c>
      <c r="F124" t="inlineStr">
        <is>
          <t>ÖSTERGÖTLANDS LÄN</t>
        </is>
      </c>
      <c r="G124" t="inlineStr">
        <is>
          <t>YDRE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46256</v>
      </c>
      <c r="F125" t="inlineStr">
        <is>
          <t>ÖSTERGÖTLANDS LÄN</t>
        </is>
      </c>
      <c r="G125" t="inlineStr">
        <is>
          <t>YDRE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46256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46256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46256</v>
      </c>
      <c r="F128" t="inlineStr">
        <is>
          <t>ÖSTERGÖTLANDS LÄN</t>
        </is>
      </c>
      <c r="G128" t="inlineStr">
        <is>
          <t>YDRE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46256</v>
      </c>
      <c r="F129" t="inlineStr">
        <is>
          <t>ÖSTERGÖTLANDS LÄN</t>
        </is>
      </c>
      <c r="G129" t="inlineStr">
        <is>
          <t>YDRE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46256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46256</v>
      </c>
      <c r="F131" t="inlineStr">
        <is>
          <t>ÖSTERGÖTLANDS LÄN</t>
        </is>
      </c>
      <c r="G131" t="inlineStr">
        <is>
          <t>YDRE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46256</v>
      </c>
      <c r="F132" t="inlineStr">
        <is>
          <t>ÖSTERGÖTLANDS LÄN</t>
        </is>
      </c>
      <c r="G132" t="inlineStr">
        <is>
          <t>YDRE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71524-2021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44538</v>
      </c>
      <c r="E133" s="1" t="n">
        <v>46256</v>
      </c>
      <c r="F133" t="inlineStr">
        <is>
          <t>ÖSTERGÖTLANDS LÄN</t>
        </is>
      </c>
      <c r="G133" t="inlineStr">
        <is>
          <t>YDRE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46256</v>
      </c>
      <c r="F134" t="inlineStr">
        <is>
          <t>ÖSTERGÖTLANDS LÄN</t>
        </is>
      </c>
      <c r="G134" t="inlineStr">
        <is>
          <t>YDRE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46256</v>
      </c>
      <c r="F135" t="inlineStr">
        <is>
          <t>ÖSTERGÖTLANDS LÄN</t>
        </is>
      </c>
      <c r="G135" t="inlineStr">
        <is>
          <t>YDRE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45273</v>
      </c>
      <c r="E136" s="1" t="n">
        <v>46256</v>
      </c>
      <c r="F136" t="inlineStr">
        <is>
          <t>ÖSTERGÖTLANDS LÄN</t>
        </is>
      </c>
      <c r="G136" t="inlineStr">
        <is>
          <t>YDRE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44953</v>
      </c>
      <c r="E137" s="1" t="n">
        <v>46256</v>
      </c>
      <c r="F137" t="inlineStr">
        <is>
          <t>ÖSTERGÖTLANDS LÄN</t>
        </is>
      </c>
      <c r="G137" t="inlineStr">
        <is>
          <t>YDRE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46256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46256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46256</v>
      </c>
      <c r="F140" t="inlineStr">
        <is>
          <t>ÖSTERGÖTLANDS LÄN</t>
        </is>
      </c>
      <c r="G140" t="inlineStr">
        <is>
          <t>YDRE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46086-2025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45924</v>
      </c>
      <c r="E141" s="1" t="n">
        <v>46256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46256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  <c r="Z142">
        <f>HYPERLINK("https://klasma.github.io/Logging_0512/knärot/A 56323-2021 karta knärot.png", "A 56323-2021")</f>
        <v/>
      </c>
      <c r="AA142">
        <f>HYPERLINK("https://klasma.github.io/Logging_0512/klagomål/A 56323-2021 FSC-klagomål.docx", "A 56323-2021")</f>
        <v/>
      </c>
      <c r="AB142">
        <f>HYPERLINK("https://klasma.github.io/Logging_0512/klagomålsmail/A 56323-2021 FSC-klagomål mail.docx", "A 56323-2021")</f>
        <v/>
      </c>
      <c r="AC142">
        <f>HYPERLINK("https://klasma.github.io/Logging_0512/tillsyn/A 56323-2021 tillsynsbegäran.docx", "A 56323-2021")</f>
        <v/>
      </c>
      <c r="AD142">
        <f>HYPERLINK("https://klasma.github.io/Logging_0512/tillsynsmail/A 56323-2021 tillsynsbegäran mail.docx", "A 56323-2021")</f>
        <v/>
      </c>
    </row>
    <row r="143" ht="15" customHeight="1">
      <c r="A143" t="inlineStr">
        <is>
          <t>A 35209-2023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46256</v>
      </c>
      <c r="F143" t="inlineStr">
        <is>
          <t>ÖSTERGÖTLANDS LÄN</t>
        </is>
      </c>
      <c r="G143" t="inlineStr">
        <is>
          <t>YDRE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46256</v>
      </c>
      <c r="F144" t="inlineStr">
        <is>
          <t>ÖSTERGÖTLANDS LÄN</t>
        </is>
      </c>
      <c r="G144" t="inlineStr">
        <is>
          <t>YDRE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46256</v>
      </c>
      <c r="F145" t="inlineStr">
        <is>
          <t>ÖSTERGÖTLANDS LÄN</t>
        </is>
      </c>
      <c r="G145" t="inlineStr">
        <is>
          <t>YDRE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46256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46256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46256</v>
      </c>
      <c r="F148" t="inlineStr">
        <is>
          <t>ÖSTERGÖTLANDS LÄN</t>
        </is>
      </c>
      <c r="G148" t="inlineStr">
        <is>
          <t>YDRE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46256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46256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32635-2025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45838</v>
      </c>
      <c r="E151" s="1" t="n">
        <v>46256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46256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46256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46256</v>
      </c>
      <c r="F154" t="inlineStr">
        <is>
          <t>ÖSTERGÖTLANDS LÄN</t>
        </is>
      </c>
      <c r="G154" t="inlineStr">
        <is>
          <t>YDRE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45138</v>
      </c>
      <c r="E155" s="1" t="n">
        <v>46256</v>
      </c>
      <c r="F155" t="inlineStr">
        <is>
          <t>ÖSTERGÖTLANDS LÄN</t>
        </is>
      </c>
      <c r="G155" t="inlineStr">
        <is>
          <t>YDRE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46256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61942-2021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46256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46256</v>
      </c>
      <c r="F158" t="inlineStr">
        <is>
          <t>ÖSTERGÖTLANDS LÄN</t>
        </is>
      </c>
      <c r="G158" t="inlineStr">
        <is>
          <t>YDRE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45943</v>
      </c>
      <c r="E159" s="1" t="n">
        <v>46256</v>
      </c>
      <c r="F159" t="inlineStr">
        <is>
          <t>ÖSTERGÖTLANDS LÄN</t>
        </is>
      </c>
      <c r="G159" t="inlineStr">
        <is>
          <t>YDRE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45940</v>
      </c>
      <c r="E160" s="1" t="n">
        <v>46256</v>
      </c>
      <c r="F160" t="inlineStr">
        <is>
          <t>ÖSTERGÖTLANDS LÄN</t>
        </is>
      </c>
      <c r="G160" t="inlineStr">
        <is>
          <t>YDRE</t>
        </is>
      </c>
      <c r="H160" t="inlineStr">
        <is>
          <t>Kyrkan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45940</v>
      </c>
      <c r="E161" s="1" t="n">
        <v>46256</v>
      </c>
      <c r="F161" t="inlineStr">
        <is>
          <t>ÖSTERGÖTLANDS LÄN</t>
        </is>
      </c>
      <c r="G161" t="inlineStr">
        <is>
          <t>YDRE</t>
        </is>
      </c>
      <c r="H161" t="inlineStr">
        <is>
          <t>Kyrkan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46256</v>
      </c>
      <c r="F162" t="inlineStr">
        <is>
          <t>ÖSTERGÖTLANDS LÄN</t>
        </is>
      </c>
      <c r="G162" t="inlineStr">
        <is>
          <t>YDRE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44283-2021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44435</v>
      </c>
      <c r="E163" s="1" t="n">
        <v>46256</v>
      </c>
      <c r="F163" t="inlineStr">
        <is>
          <t>ÖSTERGÖTLANDS LÄN</t>
        </is>
      </c>
      <c r="G163" t="inlineStr">
        <is>
          <t>YDRE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46256</v>
      </c>
      <c r="F164" t="inlineStr">
        <is>
          <t>ÖSTERGÖTLANDS LÄN</t>
        </is>
      </c>
      <c r="G164" t="inlineStr">
        <is>
          <t>YDRE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46256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46256</v>
      </c>
      <c r="F166" t="inlineStr">
        <is>
          <t>ÖSTERGÖTLANDS LÄN</t>
        </is>
      </c>
      <c r="G166" t="inlineStr">
        <is>
          <t>YDRE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46256</v>
      </c>
      <c r="F167" t="inlineStr">
        <is>
          <t>ÖSTERGÖTLANDS LÄN</t>
        </is>
      </c>
      <c r="G167" t="inlineStr">
        <is>
          <t>YDRE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45310</v>
      </c>
      <c r="E168" s="1" t="n">
        <v>46256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46256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46256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46256</v>
      </c>
      <c r="F171" t="inlineStr">
        <is>
          <t>ÖSTERGÖTLANDS LÄN</t>
        </is>
      </c>
      <c r="G171" t="inlineStr">
        <is>
          <t>YDRE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19261-2024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45428</v>
      </c>
      <c r="E172" s="1" t="n">
        <v>46256</v>
      </c>
      <c r="F172" t="inlineStr">
        <is>
          <t>ÖSTERGÖTLANDS LÄN</t>
        </is>
      </c>
      <c r="G172" t="inlineStr">
        <is>
          <t>YDRE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46256</v>
      </c>
      <c r="F173" t="inlineStr">
        <is>
          <t>ÖSTERGÖTLANDS LÄN</t>
        </is>
      </c>
      <c r="G173" t="inlineStr">
        <is>
          <t>YDRE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46256</v>
      </c>
      <c r="F174" t="inlineStr">
        <is>
          <t>ÖSTERGÖTLANDS LÄN</t>
        </is>
      </c>
      <c r="G174" t="inlineStr">
        <is>
          <t>YDRE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46256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46256</v>
      </c>
      <c r="F176" t="inlineStr">
        <is>
          <t>ÖSTERGÖTLANDS LÄN</t>
        </is>
      </c>
      <c r="G176" t="inlineStr">
        <is>
          <t>YDRE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46256</v>
      </c>
      <c r="F177" t="inlineStr">
        <is>
          <t>ÖSTERGÖTLANDS LÄN</t>
        </is>
      </c>
      <c r="G177" t="inlineStr">
        <is>
          <t>YDRE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46256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46256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45449-2023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45194</v>
      </c>
      <c r="E180" s="1" t="n">
        <v>46256</v>
      </c>
      <c r="F180" t="inlineStr">
        <is>
          <t>ÖSTERGÖTLANDS LÄN</t>
        </is>
      </c>
      <c r="G180" t="inlineStr">
        <is>
          <t>YDRE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46256</v>
      </c>
      <c r="F181" t="inlineStr">
        <is>
          <t>ÖSTERGÖTLANDS LÄN</t>
        </is>
      </c>
      <c r="G181" t="inlineStr">
        <is>
          <t>YDRE</t>
        </is>
      </c>
      <c r="H181" t="inlineStr">
        <is>
          <t>Kyrkan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45194</v>
      </c>
      <c r="E182" s="1" t="n">
        <v>46256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46256</v>
      </c>
      <c r="F183" t="inlineStr">
        <is>
          <t>ÖSTERGÖTLANDS LÄN</t>
        </is>
      </c>
      <c r="G183" t="inlineStr">
        <is>
          <t>YDRE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44916</v>
      </c>
      <c r="E184" s="1" t="n">
        <v>46256</v>
      </c>
      <c r="F184" t="inlineStr">
        <is>
          <t>ÖSTERGÖTLANDS LÄN</t>
        </is>
      </c>
      <c r="G184" t="inlineStr">
        <is>
          <t>YDRE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44439</v>
      </c>
      <c r="E185" s="1" t="n">
        <v>46256</v>
      </c>
      <c r="F185" t="inlineStr">
        <is>
          <t>ÖSTERGÖTLANDS LÄN</t>
        </is>
      </c>
      <c r="G185" t="inlineStr">
        <is>
          <t>YDRE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45810</v>
      </c>
      <c r="E186" s="1" t="n">
        <v>46256</v>
      </c>
      <c r="F186" t="inlineStr">
        <is>
          <t>ÖSTERGÖTLANDS LÄN</t>
        </is>
      </c>
      <c r="G186" t="inlineStr">
        <is>
          <t>YDRE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46256</v>
      </c>
      <c r="F187" t="inlineStr">
        <is>
          <t>ÖSTERGÖTLANDS LÄN</t>
        </is>
      </c>
      <c r="G187" t="inlineStr">
        <is>
          <t>YDRE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44562</v>
      </c>
      <c r="E188" s="1" t="n">
        <v>46256</v>
      </c>
      <c r="F188" t="inlineStr">
        <is>
          <t>ÖSTERGÖTLANDS LÄN</t>
        </is>
      </c>
      <c r="G188" t="inlineStr">
        <is>
          <t>YDRE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46256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46256</v>
      </c>
      <c r="F190" t="inlineStr">
        <is>
          <t>ÖSTERGÖTLANDS LÄN</t>
        </is>
      </c>
      <c r="G190" t="inlineStr">
        <is>
          <t>YDRE</t>
        </is>
      </c>
      <c r="H190" t="inlineStr">
        <is>
          <t>Övriga Aktiebolag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46256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46256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45335</v>
      </c>
      <c r="E193" s="1" t="n">
        <v>46256</v>
      </c>
      <c r="F193" t="inlineStr">
        <is>
          <t>ÖSTERGÖTLANDS LÄN</t>
        </is>
      </c>
      <c r="G193" t="inlineStr">
        <is>
          <t>YDRE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46256</v>
      </c>
      <c r="F194" t="inlineStr">
        <is>
          <t>ÖSTERGÖTLANDS LÄN</t>
        </is>
      </c>
      <c r="G194" t="inlineStr">
        <is>
          <t>YDRE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46256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45261</v>
      </c>
      <c r="E196" s="1" t="n">
        <v>46256</v>
      </c>
      <c r="F196" t="inlineStr">
        <is>
          <t>ÖSTERGÖTLANDS LÄN</t>
        </is>
      </c>
      <c r="G196" t="inlineStr">
        <is>
          <t>YDRE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46256</v>
      </c>
      <c r="F197" t="inlineStr">
        <is>
          <t>ÖSTERGÖTLANDS LÄN</t>
        </is>
      </c>
      <c r="G197" t="inlineStr">
        <is>
          <t>YDRE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46256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46256</v>
      </c>
      <c r="F199" t="inlineStr">
        <is>
          <t>ÖSTERGÖTLANDS LÄN</t>
        </is>
      </c>
      <c r="G199" t="inlineStr">
        <is>
          <t>YDRE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46256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46256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46256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45414</v>
      </c>
      <c r="E203" s="1" t="n">
        <v>46256</v>
      </c>
      <c r="F203" t="inlineStr">
        <is>
          <t>ÖSTERGÖTLANDS LÄN</t>
        </is>
      </c>
      <c r="G203" t="inlineStr">
        <is>
          <t>YDRE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70448-2021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44536</v>
      </c>
      <c r="E204" s="1" t="n">
        <v>46256</v>
      </c>
      <c r="F204" t="inlineStr">
        <is>
          <t>ÖSTERGÖTLANDS LÄN</t>
        </is>
      </c>
      <c r="G204" t="inlineStr">
        <is>
          <t>YDRE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45701</v>
      </c>
      <c r="E205" s="1" t="n">
        <v>46256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45419</v>
      </c>
      <c r="E206" s="1" t="n">
        <v>46256</v>
      </c>
      <c r="F206" t="inlineStr">
        <is>
          <t>ÖSTERGÖTLANDS LÄN</t>
        </is>
      </c>
      <c r="G206" t="inlineStr">
        <is>
          <t>YDRE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46256</v>
      </c>
      <c r="F207" t="inlineStr">
        <is>
          <t>ÖSTERGÖTLANDS LÄN</t>
        </is>
      </c>
      <c r="G207" t="inlineStr">
        <is>
          <t>YDRE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46256</v>
      </c>
      <c r="F208" t="inlineStr">
        <is>
          <t>ÖSTERGÖTLANDS LÄN</t>
        </is>
      </c>
      <c r="G208" t="inlineStr">
        <is>
          <t>YDRE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46256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46256</v>
      </c>
      <c r="F210" t="inlineStr">
        <is>
          <t>ÖSTERGÖTLANDS LÄN</t>
        </is>
      </c>
      <c r="G210" t="inlineStr">
        <is>
          <t>YDRE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46256</v>
      </c>
      <c r="F211" t="inlineStr">
        <is>
          <t>ÖSTERGÖTLANDS LÄN</t>
        </is>
      </c>
      <c r="G211" t="inlineStr">
        <is>
          <t>YDRE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45236</v>
      </c>
      <c r="E212" s="1" t="n">
        <v>46256</v>
      </c>
      <c r="F212" t="inlineStr">
        <is>
          <t>ÖSTERGÖTLANDS LÄN</t>
        </is>
      </c>
      <c r="G212" t="inlineStr">
        <is>
          <t>YDRE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44624</v>
      </c>
      <c r="E213" s="1" t="n">
        <v>46256</v>
      </c>
      <c r="F213" t="inlineStr">
        <is>
          <t>ÖSTERGÖTLANDS LÄN</t>
        </is>
      </c>
      <c r="G213" t="inlineStr">
        <is>
          <t>YDRE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46256</v>
      </c>
      <c r="F214" t="inlineStr">
        <is>
          <t>ÖSTERGÖTLANDS LÄN</t>
        </is>
      </c>
      <c r="G214" t="inlineStr">
        <is>
          <t>YDRE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62815-2021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44504</v>
      </c>
      <c r="E215" s="1" t="n">
        <v>46256</v>
      </c>
      <c r="F215" t="inlineStr">
        <is>
          <t>ÖSTERGÖTLANDS LÄN</t>
        </is>
      </c>
      <c r="G215" t="inlineStr">
        <is>
          <t>YDRE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45000</v>
      </c>
      <c r="E216" s="1" t="n">
        <v>46256</v>
      </c>
      <c r="F216" t="inlineStr">
        <is>
          <t>ÖSTERGÖTLANDS LÄN</t>
        </is>
      </c>
      <c r="G216" t="inlineStr">
        <is>
          <t>YDRE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46256</v>
      </c>
      <c r="F217" t="inlineStr">
        <is>
          <t>ÖSTERGÖTLANDS LÄN</t>
        </is>
      </c>
      <c r="G217" t="inlineStr">
        <is>
          <t>YDRE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17309-2024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45414</v>
      </c>
      <c r="E218" s="1" t="n">
        <v>46256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46256</v>
      </c>
      <c r="F219" t="inlineStr">
        <is>
          <t>ÖSTERGÖTLANDS LÄN</t>
        </is>
      </c>
      <c r="G219" t="inlineStr">
        <is>
          <t>YDRE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45170</v>
      </c>
      <c r="E220" s="1" t="n">
        <v>46256</v>
      </c>
      <c r="F220" t="inlineStr">
        <is>
          <t>ÖSTERGÖTLANDS LÄN</t>
        </is>
      </c>
      <c r="G220" t="inlineStr">
        <is>
          <t>YDRE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46256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46256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46256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46256</v>
      </c>
      <c r="F224" t="inlineStr">
        <is>
          <t>ÖSTERGÖTLANDS LÄN</t>
        </is>
      </c>
      <c r="G224" t="inlineStr">
        <is>
          <t>YDRE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46256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47464-2021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44447</v>
      </c>
      <c r="E226" s="1" t="n">
        <v>46256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45302</v>
      </c>
      <c r="E227" s="1" t="n">
        <v>46256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62485-2021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44503</v>
      </c>
      <c r="E228" s="1" t="n">
        <v>46256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46256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46256</v>
      </c>
      <c r="F230" t="inlineStr">
        <is>
          <t>ÖSTERGÖTLANDS LÄN</t>
        </is>
      </c>
      <c r="G230" t="inlineStr">
        <is>
          <t>YDRE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46256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45371</v>
      </c>
      <c r="E232" s="1" t="n">
        <v>46256</v>
      </c>
      <c r="F232" t="inlineStr">
        <is>
          <t>ÖSTERGÖTLANDS LÄN</t>
        </is>
      </c>
      <c r="G232" t="inlineStr">
        <is>
          <t>YDRE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46256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46256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46256</v>
      </c>
      <c r="F235" t="inlineStr">
        <is>
          <t>ÖSTERGÖTLANDS LÄN</t>
        </is>
      </c>
      <c r="G235" t="inlineStr">
        <is>
          <t>YDRE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46256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46256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44831</v>
      </c>
      <c r="E238" s="1" t="n">
        <v>46256</v>
      </c>
      <c r="F238" t="inlineStr">
        <is>
          <t>ÖSTERGÖTLANDS LÄN</t>
        </is>
      </c>
      <c r="G238" t="inlineStr">
        <is>
          <t>YDRE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27737-2022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46256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44749</v>
      </c>
      <c r="E240" s="1" t="n">
        <v>46256</v>
      </c>
      <c r="F240" t="inlineStr">
        <is>
          <t>ÖSTERGÖTLANDS LÄN</t>
        </is>
      </c>
      <c r="G240" t="inlineStr">
        <is>
          <t>YDRE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46256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46256</v>
      </c>
      <c r="F242" t="inlineStr">
        <is>
          <t>ÖSTERGÖTLANDS LÄN</t>
        </is>
      </c>
      <c r="G242" t="inlineStr">
        <is>
          <t>YDRE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46256</v>
      </c>
      <c r="F243" t="inlineStr">
        <is>
          <t>ÖSTERGÖTLANDS LÄN</t>
        </is>
      </c>
      <c r="G243" t="inlineStr">
        <is>
          <t>YDRE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46010</v>
      </c>
      <c r="E244" s="1" t="n">
        <v>46256</v>
      </c>
      <c r="F244" t="inlineStr">
        <is>
          <t>ÖSTERGÖTLANDS LÄN</t>
        </is>
      </c>
      <c r="G244" t="inlineStr">
        <is>
          <t>YDRE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46256</v>
      </c>
      <c r="F245" t="inlineStr">
        <is>
          <t>ÖSTERGÖTLANDS LÄN</t>
        </is>
      </c>
      <c r="G245" t="inlineStr">
        <is>
          <t>YDRE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46256</v>
      </c>
      <c r="F246" t="inlineStr">
        <is>
          <t>ÖSTERGÖTLANDS LÄN</t>
        </is>
      </c>
      <c r="G246" t="inlineStr">
        <is>
          <t>YDRE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46256</v>
      </c>
      <c r="F247" t="inlineStr">
        <is>
          <t>ÖSTERGÖTLANDS LÄN</t>
        </is>
      </c>
      <c r="G247" t="inlineStr">
        <is>
          <t>YDRE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46256</v>
      </c>
      <c r="F248" t="inlineStr">
        <is>
          <t>ÖSTERGÖTLANDS LÄN</t>
        </is>
      </c>
      <c r="G248" t="inlineStr">
        <is>
          <t>YDRE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46256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46256</v>
      </c>
      <c r="F250" t="inlineStr">
        <is>
          <t>ÖSTERGÖTLANDS LÄN</t>
        </is>
      </c>
      <c r="G250" t="inlineStr">
        <is>
          <t>YDRE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46021</v>
      </c>
      <c r="E251" s="1" t="n">
        <v>46256</v>
      </c>
      <c r="F251" t="inlineStr">
        <is>
          <t>ÖSTERGÖTLANDS LÄN</t>
        </is>
      </c>
      <c r="G251" t="inlineStr">
        <is>
          <t>YDRE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46256</v>
      </c>
      <c r="F252" t="inlineStr">
        <is>
          <t>ÖSTERGÖTLANDS LÄN</t>
        </is>
      </c>
      <c r="G252" t="inlineStr">
        <is>
          <t>YDRE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45510</v>
      </c>
      <c r="E253" s="1" t="n">
        <v>46256</v>
      </c>
      <c r="F253" t="inlineStr">
        <is>
          <t>ÖSTERGÖTLANDS LÄN</t>
        </is>
      </c>
      <c r="G253" t="inlineStr">
        <is>
          <t>YDRE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51153-2022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44868</v>
      </c>
      <c r="E254" s="1" t="n">
        <v>46256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46256</v>
      </c>
      <c r="F255" t="inlineStr">
        <is>
          <t>ÖSTERGÖTLANDS LÄN</t>
        </is>
      </c>
      <c r="G255" t="inlineStr">
        <is>
          <t>YDRE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52074-2023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46256</v>
      </c>
      <c r="F256" t="inlineStr">
        <is>
          <t>ÖSTERGÖTLANDS LÄN</t>
        </is>
      </c>
      <c r="G256" t="inlineStr">
        <is>
          <t>YDRE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52076-2023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46256</v>
      </c>
      <c r="F257" t="inlineStr">
        <is>
          <t>ÖSTERGÖTLANDS LÄN</t>
        </is>
      </c>
      <c r="G257" t="inlineStr">
        <is>
          <t>YDRE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46256</v>
      </c>
      <c r="F258" t="inlineStr">
        <is>
          <t>ÖSTERGÖTLANDS LÄN</t>
        </is>
      </c>
      <c r="G258" t="inlineStr">
        <is>
          <t>YDRE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46256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45119</v>
      </c>
      <c r="E260" s="1" t="n">
        <v>46256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46256</v>
      </c>
      <c r="F261" t="inlineStr">
        <is>
          <t>ÖSTERGÖTLANDS LÄN</t>
        </is>
      </c>
      <c r="G261" t="inlineStr">
        <is>
          <t>YDRE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46256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44480</v>
      </c>
      <c r="E263" s="1" t="n">
        <v>46256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46256</v>
      </c>
      <c r="F264" t="inlineStr">
        <is>
          <t>ÖSTERGÖTLANDS LÄN</t>
        </is>
      </c>
      <c r="G264" t="inlineStr">
        <is>
          <t>YDRE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46256</v>
      </c>
      <c r="F265" t="inlineStr">
        <is>
          <t>ÖSTERGÖTLANDS LÄN</t>
        </is>
      </c>
      <c r="G265" t="inlineStr">
        <is>
          <t>YDRE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45595</v>
      </c>
      <c r="E266" s="1" t="n">
        <v>46256</v>
      </c>
      <c r="F266" t="inlineStr">
        <is>
          <t>ÖSTERGÖTLANDS LÄN</t>
        </is>
      </c>
      <c r="G266" t="inlineStr">
        <is>
          <t>YDRE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46256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46256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46256</v>
      </c>
      <c r="F269" t="inlineStr">
        <is>
          <t>ÖSTERGÖTLANDS LÄN</t>
        </is>
      </c>
      <c r="G269" t="inlineStr">
        <is>
          <t>YDRE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46256</v>
      </c>
      <c r="F270" t="inlineStr">
        <is>
          <t>ÖSTERGÖTLANDS LÄN</t>
        </is>
      </c>
      <c r="G270" t="inlineStr">
        <is>
          <t>YDRE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46256</v>
      </c>
      <c r="F271" t="inlineStr">
        <is>
          <t>ÖSTERGÖTLANDS LÄN</t>
        </is>
      </c>
      <c r="G271" t="inlineStr">
        <is>
          <t>YDRE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46038</v>
      </c>
      <c r="E272" s="1" t="n">
        <v>46256</v>
      </c>
      <c r="F272" t="inlineStr">
        <is>
          <t>ÖSTERGÖTLANDS LÄN</t>
        </is>
      </c>
      <c r="G272" t="inlineStr">
        <is>
          <t>YDRE</t>
        </is>
      </c>
      <c r="H272" t="inlineStr">
        <is>
          <t>Övriga Aktiebolag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59407-2021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44491</v>
      </c>
      <c r="E273" s="1" t="n">
        <v>46256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6293-2026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46055</v>
      </c>
      <c r="E274" s="1" t="n">
        <v>46256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46256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24780-2026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46171</v>
      </c>
      <c r="E276" s="1" t="n">
        <v>46256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61636-2021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44501</v>
      </c>
      <c r="E277" s="1" t="n">
        <v>46256</v>
      </c>
      <c r="F277" t="inlineStr">
        <is>
          <t>ÖSTERGÖTLANDS LÄN</t>
        </is>
      </c>
      <c r="G277" t="inlineStr">
        <is>
          <t>YDRE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46256</v>
      </c>
      <c r="F278" t="inlineStr">
        <is>
          <t>ÖSTERGÖTLANDS LÄN</t>
        </is>
      </c>
      <c r="G278" t="inlineStr">
        <is>
          <t>YDRE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46256</v>
      </c>
      <c r="F279" t="inlineStr">
        <is>
          <t>ÖSTERGÖTLANDS LÄN</t>
        </is>
      </c>
      <c r="G279" t="inlineStr">
        <is>
          <t>YDRE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46256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45335</v>
      </c>
      <c r="E281" s="1" t="n">
        <v>46256</v>
      </c>
      <c r="F281" t="inlineStr">
        <is>
          <t>ÖSTERGÖTLANDS LÄN</t>
        </is>
      </c>
      <c r="G281" t="inlineStr">
        <is>
          <t>YDRE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7641-2026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46256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45198-2024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45575</v>
      </c>
      <c r="E283" s="1" t="n">
        <v>46256</v>
      </c>
      <c r="F283" t="inlineStr">
        <is>
          <t>ÖSTERGÖTLANDS LÄN</t>
        </is>
      </c>
      <c r="G283" t="inlineStr">
        <is>
          <t>YDRE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46256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46256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8986-2026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46069</v>
      </c>
      <c r="E286" s="1" t="n">
        <v>46256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46256</v>
      </c>
      <c r="F287" t="inlineStr">
        <is>
          <t>ÖSTERGÖTLANDS LÄN</t>
        </is>
      </c>
      <c r="G287" t="inlineStr">
        <is>
          <t>YDRE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46256</v>
      </c>
      <c r="F288" t="inlineStr">
        <is>
          <t>ÖSTERGÖTLANDS LÄN</t>
        </is>
      </c>
      <c r="G288" t="inlineStr">
        <is>
          <t>YDRE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46256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21982-2022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44711</v>
      </c>
      <c r="E290" s="1" t="n">
        <v>46256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46256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46256</v>
      </c>
      <c r="F292" t="inlineStr">
        <is>
          <t>ÖSTERGÖTLANDS LÄN</t>
        </is>
      </c>
      <c r="G292" t="inlineStr">
        <is>
          <t>YDRE</t>
        </is>
      </c>
      <c r="H292" t="inlineStr">
        <is>
          <t>Övriga Aktiebolag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46256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46177</v>
      </c>
      <c r="E294" s="1" t="n">
        <v>46256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46256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45649</v>
      </c>
      <c r="E296" s="1" t="n">
        <v>46256</v>
      </c>
      <c r="F296" t="inlineStr">
        <is>
          <t>ÖSTERGÖTLANDS LÄN</t>
        </is>
      </c>
      <c r="G296" t="inlineStr">
        <is>
          <t>YDRE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46256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45580</v>
      </c>
      <c r="E298" s="1" t="n">
        <v>46256</v>
      </c>
      <c r="F298" t="inlineStr">
        <is>
          <t>ÖSTERGÖTLANDS LÄN</t>
        </is>
      </c>
      <c r="G298" t="inlineStr">
        <is>
          <t>YDRE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46256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45707</v>
      </c>
      <c r="E300" s="1" t="n">
        <v>46256</v>
      </c>
      <c r="F300" t="inlineStr">
        <is>
          <t>ÖSTERGÖTLANDS LÄN</t>
        </is>
      </c>
      <c r="G300" t="inlineStr">
        <is>
          <t>YDRE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46256</v>
      </c>
      <c r="F301" t="inlineStr">
        <is>
          <t>ÖSTERGÖTLANDS LÄN</t>
        </is>
      </c>
      <c r="G301" t="inlineStr">
        <is>
          <t>YDRE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46097</v>
      </c>
      <c r="E302" s="1" t="n">
        <v>46256</v>
      </c>
      <c r="F302" t="inlineStr">
        <is>
          <t>ÖSTERGÖTLANDS LÄN</t>
        </is>
      </c>
      <c r="G302" t="inlineStr">
        <is>
          <t>YDRE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27700-2026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46190</v>
      </c>
      <c r="E303" s="1" t="n">
        <v>46256</v>
      </c>
      <c r="F303" t="inlineStr">
        <is>
          <t>ÖSTERGÖTLANDS LÄN</t>
        </is>
      </c>
      <c r="G303" t="inlineStr">
        <is>
          <t>YDRE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45664</v>
      </c>
      <c r="E304" s="1" t="n">
        <v>46256</v>
      </c>
      <c r="F304" t="inlineStr">
        <is>
          <t>ÖSTERGÖTLANDS LÄN</t>
        </is>
      </c>
      <c r="G304" t="inlineStr">
        <is>
          <t>YDRE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44741-2021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44438</v>
      </c>
      <c r="E305" s="1" t="n">
        <v>46256</v>
      </c>
      <c r="F305" t="inlineStr">
        <is>
          <t>ÖSTERGÖTLANDS LÄN</t>
        </is>
      </c>
      <c r="G305" t="inlineStr">
        <is>
          <t>YDRE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46256</v>
      </c>
      <c r="F306" t="inlineStr">
        <is>
          <t>ÖSTERGÖTLANDS LÄN</t>
        </is>
      </c>
      <c r="G306" t="inlineStr">
        <is>
          <t>YDRE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45436</v>
      </c>
      <c r="E307" s="1" t="n">
        <v>46256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46256</v>
      </c>
      <c r="F308" t="inlineStr">
        <is>
          <t>ÖSTERGÖTLANDS LÄN</t>
        </is>
      </c>
      <c r="G308" t="inlineStr">
        <is>
          <t>YDRE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46256</v>
      </c>
      <c r="F309" t="inlineStr">
        <is>
          <t>ÖSTERGÖTLANDS LÄN</t>
        </is>
      </c>
      <c r="G309" t="inlineStr">
        <is>
          <t>YDRE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46256</v>
      </c>
      <c r="F310" t="inlineStr">
        <is>
          <t>ÖSTERGÖTLANDS LÄN</t>
        </is>
      </c>
      <c r="G310" t="inlineStr">
        <is>
          <t>YDRE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46256</v>
      </c>
      <c r="F311" t="inlineStr">
        <is>
          <t>ÖSTERGÖTLANDS LÄN</t>
        </is>
      </c>
      <c r="G311" t="inlineStr">
        <is>
          <t>YDRE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68983-2021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46256</v>
      </c>
      <c r="F312" t="inlineStr">
        <is>
          <t>ÖSTERGÖTLANDS LÄN</t>
        </is>
      </c>
      <c r="G312" t="inlineStr">
        <is>
          <t>YDRE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46256</v>
      </c>
      <c r="F313" t="inlineStr">
        <is>
          <t>ÖSTERGÖTLANDS LÄN</t>
        </is>
      </c>
      <c r="G313" t="inlineStr">
        <is>
          <t>YDRE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45649</v>
      </c>
      <c r="E314" s="1" t="n">
        <v>46256</v>
      </c>
      <c r="F314" t="inlineStr">
        <is>
          <t>ÖSTERGÖTLANDS LÄN</t>
        </is>
      </c>
      <c r="G314" t="inlineStr">
        <is>
          <t>YDRE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46116</v>
      </c>
      <c r="E315" s="1" t="n">
        <v>46256</v>
      </c>
      <c r="F315" t="inlineStr">
        <is>
          <t>ÖSTERGÖTLANDS LÄN</t>
        </is>
      </c>
      <c r="G315" t="inlineStr">
        <is>
          <t>YDRE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17385-2026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46256</v>
      </c>
      <c r="F316" t="inlineStr">
        <is>
          <t>ÖSTERGÖTLANDS LÄN</t>
        </is>
      </c>
      <c r="G316" t="inlineStr">
        <is>
          <t>YDRE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46119</v>
      </c>
      <c r="E317" s="1" t="n">
        <v>46256</v>
      </c>
      <c r="F317" t="inlineStr">
        <is>
          <t>ÖSTERGÖTLANDS LÄN</t>
        </is>
      </c>
      <c r="G317" t="inlineStr">
        <is>
          <t>YDRE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46240</v>
      </c>
      <c r="E318" s="1" t="n">
        <v>46256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45398</v>
      </c>
      <c r="E319" s="1" t="n">
        <v>46256</v>
      </c>
      <c r="F319" t="inlineStr">
        <is>
          <t>ÖSTERGÖTLANDS LÄN</t>
        </is>
      </c>
      <c r="G319" t="inlineStr">
        <is>
          <t>YDRE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46256</v>
      </c>
      <c r="F320" t="inlineStr">
        <is>
          <t>ÖSTERGÖTLANDS LÄN</t>
        </is>
      </c>
      <c r="G320" t="inlineStr">
        <is>
          <t>YDRE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46256</v>
      </c>
      <c r="F321" t="inlineStr">
        <is>
          <t>ÖSTERGÖTLANDS LÄN</t>
        </is>
      </c>
      <c r="G321" t="inlineStr">
        <is>
          <t>YDRE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46256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46240</v>
      </c>
      <c r="E323" s="1" t="n">
        <v>46256</v>
      </c>
      <c r="F323" t="inlineStr">
        <is>
          <t>ÖSTERGÖTLANDS LÄN</t>
        </is>
      </c>
      <c r="G323" t="inlineStr">
        <is>
          <t>YDRE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18181-2026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46256</v>
      </c>
      <c r="F324" t="inlineStr">
        <is>
          <t>ÖSTERGÖTLANDS LÄN</t>
        </is>
      </c>
      <c r="G324" t="inlineStr">
        <is>
          <t>YDRE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46125</v>
      </c>
      <c r="E325" s="1" t="n">
        <v>46256</v>
      </c>
      <c r="F325" t="inlineStr">
        <is>
          <t>ÖSTERGÖTLANDS LÄN</t>
        </is>
      </c>
      <c r="G325" t="inlineStr">
        <is>
          <t>YDRE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46256</v>
      </c>
      <c r="F326" t="inlineStr">
        <is>
          <t>ÖSTERGÖTLANDS LÄN</t>
        </is>
      </c>
      <c r="G326" t="inlineStr">
        <is>
          <t>YDRE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46256</v>
      </c>
      <c r="F327" t="inlineStr">
        <is>
          <t>ÖSTERGÖTLANDS LÄN</t>
        </is>
      </c>
      <c r="G327" t="inlineStr">
        <is>
          <t>YDRE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46256</v>
      </c>
      <c r="F328" t="inlineStr">
        <is>
          <t>ÖSTERGÖTLANDS LÄN</t>
        </is>
      </c>
      <c r="G328" t="inlineStr">
        <is>
          <t>YDRE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46256</v>
      </c>
      <c r="F329" t="inlineStr">
        <is>
          <t>ÖSTERGÖTLANDS LÄN</t>
        </is>
      </c>
      <c r="G329" t="inlineStr">
        <is>
          <t>YDRE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46256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46256</v>
      </c>
      <c r="F331" t="inlineStr">
        <is>
          <t>ÖSTERGÖTLANDS LÄN</t>
        </is>
      </c>
      <c r="G331" t="inlineStr">
        <is>
          <t>YDRE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46256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46256</v>
      </c>
      <c r="F333" t="inlineStr">
        <is>
          <t>ÖSTERGÖTLANDS LÄN</t>
        </is>
      </c>
      <c r="G333" t="inlineStr">
        <is>
          <t>YDRE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45334</v>
      </c>
      <c r="E334" s="1" t="n">
        <v>46256</v>
      </c>
      <c r="F334" t="inlineStr">
        <is>
          <t>ÖSTERGÖTLANDS LÄN</t>
        </is>
      </c>
      <c r="G334" t="inlineStr">
        <is>
          <t>YDRE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46256</v>
      </c>
      <c r="F335" t="inlineStr">
        <is>
          <t>ÖSTERGÖTLANDS LÄN</t>
        </is>
      </c>
      <c r="G335" t="inlineStr">
        <is>
          <t>YDRE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46256</v>
      </c>
      <c r="F336" t="inlineStr">
        <is>
          <t>ÖSTERGÖTLANDS LÄN</t>
        </is>
      </c>
      <c r="G336" t="inlineStr">
        <is>
          <t>YDRE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46256</v>
      </c>
      <c r="F337" t="inlineStr">
        <is>
          <t>ÖSTERGÖTLANDS LÄN</t>
        </is>
      </c>
      <c r="G337" t="inlineStr">
        <is>
          <t>YDRE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46256</v>
      </c>
      <c r="F338" t="inlineStr">
        <is>
          <t>ÖSTERGÖTLANDS LÄN</t>
        </is>
      </c>
      <c r="G338" t="inlineStr">
        <is>
          <t>YDRE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46256</v>
      </c>
      <c r="F339" t="inlineStr">
        <is>
          <t>ÖSTERGÖTLANDS LÄN</t>
        </is>
      </c>
      <c r="G339" t="inlineStr">
        <is>
          <t>YDRE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45016</v>
      </c>
      <c r="E340" s="1" t="n">
        <v>46256</v>
      </c>
      <c r="F340" t="inlineStr">
        <is>
          <t>ÖSTERGÖTLANDS LÄN</t>
        </is>
      </c>
      <c r="G340" t="inlineStr">
        <is>
          <t>YDRE</t>
        </is>
      </c>
      <c r="H340" t="inlineStr">
        <is>
          <t>Övriga Aktiebolag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45755</v>
      </c>
      <c r="E341" s="1" t="n">
        <v>46256</v>
      </c>
      <c r="F341" t="inlineStr">
        <is>
          <t>ÖSTERGÖTLANDS LÄN</t>
        </is>
      </c>
      <c r="G341" t="inlineStr">
        <is>
          <t>YDRE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46256</v>
      </c>
      <c r="F342" t="inlineStr">
        <is>
          <t>ÖSTERGÖTLANDS LÄN</t>
        </is>
      </c>
      <c r="G342" t="inlineStr">
        <is>
          <t>YDRE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44655</v>
      </c>
      <c r="E343" s="1" t="n">
        <v>46256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45348</v>
      </c>
      <c r="E344" s="1" t="n">
        <v>46256</v>
      </c>
      <c r="F344" t="inlineStr">
        <is>
          <t>ÖSTERGÖTLANDS LÄN</t>
        </is>
      </c>
      <c r="G344" t="inlineStr">
        <is>
          <t>YDRE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45916</v>
      </c>
      <c r="E345" s="1" t="n">
        <v>46256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46256</v>
      </c>
      <c r="F346" t="inlineStr">
        <is>
          <t>ÖSTERGÖTLANDS LÄN</t>
        </is>
      </c>
      <c r="G346" t="inlineStr">
        <is>
          <t>YDRE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46256</v>
      </c>
      <c r="F347" t="inlineStr">
        <is>
          <t>ÖSTERGÖTLANDS LÄN</t>
        </is>
      </c>
      <c r="G347" t="inlineStr">
        <is>
          <t>YDRE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46256</v>
      </c>
      <c r="F348" t="inlineStr">
        <is>
          <t>ÖSTERGÖTLANDS LÄN</t>
        </is>
      </c>
      <c r="G348" t="inlineStr">
        <is>
          <t>YDRE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46256</v>
      </c>
      <c r="F349" t="inlineStr">
        <is>
          <t>ÖSTERGÖTLANDS LÄN</t>
        </is>
      </c>
      <c r="G349" t="inlineStr">
        <is>
          <t>YDRE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46256</v>
      </c>
      <c r="F350" t="inlineStr">
        <is>
          <t>ÖSTERGÖTLANDS LÄN</t>
        </is>
      </c>
      <c r="G350" t="inlineStr">
        <is>
          <t>YDRE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46256</v>
      </c>
      <c r="F351" t="inlineStr">
        <is>
          <t>ÖSTERGÖTLANDS LÄN</t>
        </is>
      </c>
      <c r="G351" t="inlineStr">
        <is>
          <t>YDRE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46256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45634</v>
      </c>
      <c r="E353" s="1" t="n">
        <v>46256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54047-2024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45616</v>
      </c>
      <c r="E354" s="1" t="n">
        <v>46256</v>
      </c>
      <c r="F354" t="inlineStr">
        <is>
          <t>ÖSTERGÖTLANDS LÄN</t>
        </is>
      </c>
      <c r="G354" t="inlineStr">
        <is>
          <t>YDRE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45218</v>
      </c>
      <c r="E355" s="1" t="n">
        <v>46256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46256</v>
      </c>
      <c r="F356" t="inlineStr">
        <is>
          <t>ÖSTERGÖTLANDS LÄN</t>
        </is>
      </c>
      <c r="G356" t="inlineStr">
        <is>
          <t>YDRE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46256</v>
      </c>
      <c r="F357" t="inlineStr">
        <is>
          <t>ÖSTERGÖTLANDS LÄN</t>
        </is>
      </c>
      <c r="G357" t="inlineStr">
        <is>
          <t>YDRE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54549-2025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46256</v>
      </c>
      <c r="F358" t="inlineStr">
        <is>
          <t>ÖSTERGÖTLANDS LÄN</t>
        </is>
      </c>
      <c r="G358" t="inlineStr">
        <is>
          <t>YDRE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14184-2022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44651</v>
      </c>
      <c r="E359" s="1" t="n">
        <v>46256</v>
      </c>
      <c r="F359" t="inlineStr">
        <is>
          <t>ÖSTERGÖTLANDS LÄN</t>
        </is>
      </c>
      <c r="G359" t="inlineStr">
        <is>
          <t>YDRE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45871</v>
      </c>
      <c r="E360" s="1" t="n">
        <v>46256</v>
      </c>
      <c r="F360" t="inlineStr">
        <is>
          <t>ÖSTERGÖTLANDS LÄN</t>
        </is>
      </c>
      <c r="G360" t="inlineStr">
        <is>
          <t>YDRE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44844</v>
      </c>
      <c r="E361" s="1" t="n">
        <v>46256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46256</v>
      </c>
      <c r="F362" t="inlineStr">
        <is>
          <t>ÖSTERGÖTLANDS LÄN</t>
        </is>
      </c>
      <c r="G362" t="inlineStr">
        <is>
          <t>YDRE</t>
        </is>
      </c>
      <c r="I362" t="n">
        <v>17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46256</v>
      </c>
      <c r="F363" t="inlineStr">
        <is>
          <t>ÖSTERGÖTLANDS LÄN</t>
        </is>
      </c>
      <c r="G363" t="inlineStr">
        <is>
          <t>YDRE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46256</v>
      </c>
      <c r="F364" t="inlineStr">
        <is>
          <t>ÖSTERGÖTLANDS LÄN</t>
        </is>
      </c>
      <c r="G364" t="inlineStr">
        <is>
          <t>YDRE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45793</v>
      </c>
      <c r="E365" s="1" t="n">
        <v>46256</v>
      </c>
      <c r="F365" t="inlineStr">
        <is>
          <t>ÖSTERGÖTLANDS LÄN</t>
        </is>
      </c>
      <c r="G365" t="inlineStr">
        <is>
          <t>YDRE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45246</v>
      </c>
      <c r="E366" s="1" t="n">
        <v>46256</v>
      </c>
      <c r="F366" t="inlineStr">
        <is>
          <t>ÖSTERGÖTLANDS LÄN</t>
        </is>
      </c>
      <c r="G366" t="inlineStr">
        <is>
          <t>YDRE</t>
        </is>
      </c>
      <c r="H366" t="inlineStr">
        <is>
          <t>Sveaskog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46256</v>
      </c>
      <c r="F367" t="inlineStr">
        <is>
          <t>ÖSTERGÖTLANDS LÄN</t>
        </is>
      </c>
      <c r="G367" t="inlineStr">
        <is>
          <t>YDRE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46256</v>
      </c>
      <c r="F368" t="inlineStr">
        <is>
          <t>ÖSTERGÖTLANDS LÄN</t>
        </is>
      </c>
      <c r="G368" t="inlineStr">
        <is>
          <t>YDRE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46256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46256</v>
      </c>
      <c r="F370" t="inlineStr">
        <is>
          <t>ÖSTERGÖTLANDS LÄN</t>
        </is>
      </c>
      <c r="G370" t="inlineStr">
        <is>
          <t>YDRE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45701</v>
      </c>
      <c r="E371" s="1" t="n">
        <v>46256</v>
      </c>
      <c r="F371" t="inlineStr">
        <is>
          <t>ÖSTERGÖTLANDS LÄN</t>
        </is>
      </c>
      <c r="G371" t="inlineStr">
        <is>
          <t>YDRE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46256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46256</v>
      </c>
      <c r="F373" t="inlineStr">
        <is>
          <t>ÖSTERGÖTLANDS LÄN</t>
        </is>
      </c>
      <c r="G373" t="inlineStr">
        <is>
          <t>YDRE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46256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46256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46256</v>
      </c>
      <c r="F376" t="inlineStr">
        <is>
          <t>ÖSTERGÖTLANDS LÄN</t>
        </is>
      </c>
      <c r="G376" t="inlineStr">
        <is>
          <t>YDRE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14101-2022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46256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46256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46256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46256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21067-2026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46256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46146</v>
      </c>
      <c r="E382" s="1" t="n">
        <v>46256</v>
      </c>
      <c r="F382" t="inlineStr">
        <is>
          <t>ÖSTERGÖTLANDS LÄN</t>
        </is>
      </c>
      <c r="G382" t="inlineStr">
        <is>
          <t>YDRE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21069-2026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46256</v>
      </c>
      <c r="F383" t="inlineStr">
        <is>
          <t>ÖSTERGÖTLANDS LÄN</t>
        </is>
      </c>
      <c r="G383" t="inlineStr">
        <is>
          <t>YDRE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46256</v>
      </c>
      <c r="F384" t="inlineStr">
        <is>
          <t>ÖSTERGÖTLANDS LÄN</t>
        </is>
      </c>
      <c r="G384" t="inlineStr">
        <is>
          <t>YDRE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46146</v>
      </c>
      <c r="E385" s="1" t="n">
        <v>46256</v>
      </c>
      <c r="F385" t="inlineStr">
        <is>
          <t>ÖSTERGÖTLANDS LÄN</t>
        </is>
      </c>
      <c r="G385" t="inlineStr">
        <is>
          <t>YDRE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21064-2026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46256</v>
      </c>
      <c r="F386" t="inlineStr">
        <is>
          <t>ÖSTERGÖTLANDS LÄN</t>
        </is>
      </c>
      <c r="G386" t="inlineStr">
        <is>
          <t>YDRE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46256</v>
      </c>
      <c r="F387" t="inlineStr">
        <is>
          <t>ÖSTERGÖTLANDS LÄN</t>
        </is>
      </c>
      <c r="G387" t="inlineStr">
        <is>
          <t>YDRE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46256</v>
      </c>
      <c r="F388" t="inlineStr">
        <is>
          <t>ÖSTERGÖTLANDS LÄN</t>
        </is>
      </c>
      <c r="G388" t="inlineStr">
        <is>
          <t>YDRE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45736</v>
      </c>
      <c r="E389" s="1" t="n">
        <v>46256</v>
      </c>
      <c r="F389" t="inlineStr">
        <is>
          <t>ÖSTERGÖTLANDS LÄN</t>
        </is>
      </c>
      <c r="G389" t="inlineStr">
        <is>
          <t>YDRE</t>
        </is>
      </c>
      <c r="H389" t="inlineStr">
        <is>
          <t>Övriga Aktiebolag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45748</v>
      </c>
      <c r="E390" s="1" t="n">
        <v>46256</v>
      </c>
      <c r="F390" t="inlineStr">
        <is>
          <t>ÖSTERGÖTLANDS LÄN</t>
        </is>
      </c>
      <c r="G390" t="inlineStr">
        <is>
          <t>YDRE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61205-2023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45264</v>
      </c>
      <c r="E391" s="1" t="n">
        <v>46256</v>
      </c>
      <c r="F391" t="inlineStr">
        <is>
          <t>ÖSTERGÖTLANDS LÄN</t>
        </is>
      </c>
      <c r="G391" t="inlineStr">
        <is>
          <t>YDRE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46256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22312-2026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46154</v>
      </c>
      <c r="E393" s="1" t="n">
        <v>46256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57290-2021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46256</v>
      </c>
      <c r="F394" t="inlineStr">
        <is>
          <t>ÖSTERGÖTLANDS LÄN</t>
        </is>
      </c>
      <c r="G394" t="inlineStr">
        <is>
          <t>YDRE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45492</v>
      </c>
      <c r="E395" s="1" t="n">
        <v>46256</v>
      </c>
      <c r="F395" t="inlineStr">
        <is>
          <t>ÖSTERGÖTLANDS LÄN</t>
        </is>
      </c>
      <c r="G395" t="inlineStr">
        <is>
          <t>YDRE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45468</v>
      </c>
      <c r="E396" s="1" t="n">
        <v>46256</v>
      </c>
      <c r="F396" t="inlineStr">
        <is>
          <t>ÖSTERGÖTLANDS LÄN</t>
        </is>
      </c>
      <c r="G396" t="inlineStr">
        <is>
          <t>YDRE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46256</v>
      </c>
      <c r="F397" t="inlineStr">
        <is>
          <t>ÖSTERGÖTLANDS LÄN</t>
        </is>
      </c>
      <c r="G397" t="inlineStr">
        <is>
          <t>YDRE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46256</v>
      </c>
      <c r="F398" t="inlineStr">
        <is>
          <t>ÖSTERGÖTLANDS LÄN</t>
        </is>
      </c>
      <c r="G398" t="inlineStr">
        <is>
          <t>YDRE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46256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46256</v>
      </c>
      <c r="F400" t="inlineStr">
        <is>
          <t>ÖSTERGÖTLANDS LÄN</t>
        </is>
      </c>
      <c r="G400" t="inlineStr">
        <is>
          <t>YDRE</t>
        </is>
      </c>
      <c r="H400" t="inlineStr">
        <is>
          <t>Övriga Aktiebolag</t>
        </is>
      </c>
      <c r="I400" t="n">
        <v>18.2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46256</v>
      </c>
      <c r="F401" t="inlineStr">
        <is>
          <t>ÖSTERGÖTLANDS LÄN</t>
        </is>
      </c>
      <c r="G401" t="inlineStr">
        <is>
          <t>YDRE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45365</v>
      </c>
      <c r="E402" s="1" t="n">
        <v>46256</v>
      </c>
      <c r="F402" t="inlineStr">
        <is>
          <t>ÖSTERGÖTLANDS LÄN</t>
        </is>
      </c>
      <c r="G402" t="inlineStr">
        <is>
          <t>YDRE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45796</v>
      </c>
      <c r="E403" s="1" t="n">
        <v>46256</v>
      </c>
      <c r="F403" t="inlineStr">
        <is>
          <t>ÖSTERGÖTLANDS LÄN</t>
        </is>
      </c>
      <c r="G403" t="inlineStr">
        <is>
          <t>YDRE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45796</v>
      </c>
      <c r="E404" s="1" t="n">
        <v>46256</v>
      </c>
      <c r="F404" t="inlineStr">
        <is>
          <t>ÖSTERGÖTLANDS LÄN</t>
        </is>
      </c>
      <c r="G404" t="inlineStr">
        <is>
          <t>YDRE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46256</v>
      </c>
      <c r="F405" t="inlineStr">
        <is>
          <t>ÖSTERGÖTLANDS LÄN</t>
        </is>
      </c>
      <c r="G405" t="inlineStr">
        <is>
          <t>YDRE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5385-2021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44431</v>
      </c>
      <c r="E406" s="1" t="n">
        <v>46256</v>
      </c>
      <c r="F406" t="inlineStr">
        <is>
          <t>ÖSTERGÖTLANDS LÄN</t>
        </is>
      </c>
      <c r="G406" t="inlineStr">
        <is>
          <t>YDRE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416-2022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44585</v>
      </c>
      <c r="E407" s="1" t="n">
        <v>46256</v>
      </c>
      <c r="F407" t="inlineStr">
        <is>
          <t>ÖSTERGÖTLANDS LÄN</t>
        </is>
      </c>
      <c r="G407" t="inlineStr">
        <is>
          <t>YDRE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2053-2025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45839</v>
      </c>
      <c r="E408" s="1" t="n">
        <v>46256</v>
      </c>
      <c r="F408" t="inlineStr">
        <is>
          <t>ÖSTERGÖTLANDS LÄN</t>
        </is>
      </c>
      <c r="G408" t="inlineStr">
        <is>
          <t>YDRE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2604-2025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45916</v>
      </c>
      <c r="E409" s="1" t="n">
        <v>46256</v>
      </c>
      <c r="F409" t="inlineStr">
        <is>
          <t>ÖSTERGÖTLANDS LÄN</t>
        </is>
      </c>
      <c r="G409" t="inlineStr">
        <is>
          <t>YDRE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3063-2025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45964</v>
      </c>
      <c r="E410" s="1" t="n">
        <v>46256</v>
      </c>
      <c r="F410" t="inlineStr">
        <is>
          <t>ÖSTERGÖTLANDS LÄN</t>
        </is>
      </c>
      <c r="G410" t="inlineStr">
        <is>
          <t>YDRE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384-2026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46066</v>
      </c>
      <c r="E411" s="1" t="n">
        <v>46256</v>
      </c>
      <c r="F411" t="inlineStr">
        <is>
          <t>ÖSTERGÖTLANDS LÄN</t>
        </is>
      </c>
      <c r="G411" t="inlineStr">
        <is>
          <t>YDRE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2026-08-22T01:46:24Z</dcterms:created>
  <dcterms:modified xmlns:dcterms="http://purl.org/dc/terms/" xmlns:xsi="http://www.w3.org/2001/XMLSchema-instance" xsi:type="dcterms:W3CDTF">2026-08-22T01:46:25Z</dcterms:modified>
</cp:coreProperties>
</file>