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46311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46311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46311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46311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46582-2023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46311</v>
      </c>
      <c r="F10" t="inlineStr">
        <is>
          <t>ÖSTERGÖTLANDS LÄN</t>
        </is>
      </c>
      <c r="G10" t="inlineStr">
        <is>
          <t>YDRE</t>
        </is>
      </c>
      <c r="I10" t="n">
        <v>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6</v>
      </c>
      <c r="U10" t="n">
        <v>2</v>
      </c>
      <c r="V10" s="2" t="inlineStr">
        <is>
          <t>Knärot
Vedtrappmossa
Kornig nållav</t>
        </is>
      </c>
      <c r="W10">
        <f>HYPERLINK("https://klasma.github.io/Logging_0512/artfynd/A 46582-2023 artfynd.xlsx", "A 46582-2023")</f>
        <v/>
      </c>
      <c r="X10">
        <f>HYPERLINK("https://klasma.github.io/Logging_0512/kartor/A 46582-2023 karta.png", "A 46582-2023")</f>
        <v/>
      </c>
      <c r="Y10">
        <f>HYPERLINK("https://klasma.github.io/Logging_0512/kartor_geotiff/A 46582-2023 georefererad karta.tif", "A 46582-2023")</f>
        <v/>
      </c>
      <c r="Z10">
        <f>HYPERLINK("https://klasma.github.io/Logging_0512/knärot/A 46582-2023 karta knärot.png", "A 46582-2023")</f>
        <v/>
      </c>
      <c r="AA10">
        <f>HYPERLINK("https://klasma.github.io/Logging_0512/klagomål/A 46582-2023 FSC-klagomål.docx", "A 46582-2023")</f>
        <v/>
      </c>
      <c r="AB10">
        <f>HYPERLINK("https://klasma.github.io/Logging_0512/klagomålsmail/A 46582-2023 FSC-klagomål mail.docx", "A 46582-2023")</f>
        <v/>
      </c>
      <c r="AC10">
        <f>HYPERLINK("https://klasma.github.io/Logging_0512/tillsyn/A 46582-2023 tillsynsbegäran.docx", "A 46582-2023")</f>
        <v/>
      </c>
      <c r="AD10">
        <f>HYPERLINK("https://klasma.github.io/Logging_0512/tillsynsmail/A 46582-2023 tillsynsbegäran mail.docx", "A 46582-2023")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46311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46311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46311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46311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52667-2022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44874</v>
      </c>
      <c r="E15" s="1" t="n">
        <v>46311</v>
      </c>
      <c r="F15" t="inlineStr">
        <is>
          <t>ÖSTERGÖTLANDS LÄN</t>
        </is>
      </c>
      <c r="G15" t="inlineStr">
        <is>
          <t>YDRE</t>
        </is>
      </c>
      <c r="I15" t="n">
        <v>1.2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Solvända
Mattlummer</t>
        </is>
      </c>
      <c r="W15">
        <f>HYPERLINK("https://klasma.github.io/Logging_0512/artfynd/A 52667-2022 artfynd.xlsx", "A 52667-2022")</f>
        <v/>
      </c>
      <c r="X15">
        <f>HYPERLINK("https://klasma.github.io/Logging_0512/kartor/A 52667-2022 karta.png", "A 52667-2022")</f>
        <v/>
      </c>
      <c r="Y15">
        <f>HYPERLINK("https://klasma.github.io/Logging_0512/kartor_geotiff/A 52667-2022 georefererad karta.tif", "A 52667-2022")</f>
        <v/>
      </c>
      <c r="AA15">
        <f>HYPERLINK("https://klasma.github.io/Logging_0512/klagomål/A 52667-2022 FSC-klagomål.docx", "A 52667-2022")</f>
        <v/>
      </c>
      <c r="AB15">
        <f>HYPERLINK("https://klasma.github.io/Logging_0512/klagomålsmail/A 52667-2022 FSC-klagomål mail.docx", "A 52667-2022")</f>
        <v/>
      </c>
      <c r="AC15">
        <f>HYPERLINK("https://klasma.github.io/Logging_0512/tillsyn/A 52667-2022 tillsynsbegäran.docx", "A 52667-2022")</f>
        <v/>
      </c>
      <c r="AD15">
        <f>HYPERLINK("https://klasma.github.io/Logging_0512/tillsynsmail/A 52667-2022 tillsynsbegäran mail.docx", "A 52667-2022")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46311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Vattenfladdermus</t>
        </is>
      </c>
      <c r="W16">
        <f>HYPERLINK("https://klasma.github.io/Logging_0512/artfynd/A 7621-2024 artfynd.xlsx", "A 7621-2024")</f>
        <v/>
      </c>
      <c r="X16">
        <f>HYPERLINK("https://klasma.github.io/Logging_0512/kartor/A 7621-2024 karta.png", "A 7621-2024")</f>
        <v/>
      </c>
      <c r="Y16">
        <f>HYPERLINK("https://klasma.github.io/Logging_0512/kartor_geotiff/A 7621-2024 georefererad karta.tif", "A 7621-2024")</f>
        <v/>
      </c>
      <c r="AA16">
        <f>HYPERLINK("https://klasma.github.io/Logging_0512/klagomål/A 7621-2024 FSC-klagomål.docx", "A 7621-2024")</f>
        <v/>
      </c>
      <c r="AB16">
        <f>HYPERLINK("https://klasma.github.io/Logging_0512/klagomålsmail/A 7621-2024 FSC-klagomål mail.docx", "A 7621-2024")</f>
        <v/>
      </c>
      <c r="AC16">
        <f>HYPERLINK("https://klasma.github.io/Logging_0512/tillsyn/A 7621-2024 tillsynsbegäran.docx", "A 7621-2024")</f>
        <v/>
      </c>
      <c r="AD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46311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46311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46311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17526-2024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46311</v>
      </c>
      <c r="F20" t="inlineStr">
        <is>
          <t>ÖSTERGÖTLANDS LÄN</t>
        </is>
      </c>
      <c r="G20" t="inlineStr">
        <is>
          <t>YDRE</t>
        </is>
      </c>
      <c r="I20" t="n">
        <v>1.6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Svinrot
Blåsippa</t>
        </is>
      </c>
      <c r="W20">
        <f>HYPERLINK("https://klasma.github.io/Logging_0512/artfynd/A 17526-2024 artfynd.xlsx", "A 17526-2024")</f>
        <v/>
      </c>
      <c r="X20">
        <f>HYPERLINK("https://klasma.github.io/Logging_0512/kartor/A 17526-2024 karta.png", "A 17526-2024")</f>
        <v/>
      </c>
      <c r="Y20">
        <f>HYPERLINK("https://klasma.github.io/Logging_0512/kartor_geotiff/A 17526-2024 georefererad karta.tif", "A 17526-2024")</f>
        <v/>
      </c>
      <c r="AA20">
        <f>HYPERLINK("https://klasma.github.io/Logging_0512/klagomål/A 17526-2024 FSC-klagomål.docx", "A 17526-2024")</f>
        <v/>
      </c>
      <c r="AB20">
        <f>HYPERLINK("https://klasma.github.io/Logging_0512/klagomålsmail/A 17526-2024 FSC-klagomål mail.docx", "A 17526-2024")</f>
        <v/>
      </c>
      <c r="AC20">
        <f>HYPERLINK("https://klasma.github.io/Logging_0512/tillsyn/A 17526-2024 tillsynsbegäran.docx", "A 17526-2024")</f>
        <v/>
      </c>
      <c r="AD20">
        <f>HYPERLINK("https://klasma.github.io/Logging_0512/tillsynsmail/A 17526-2024 tillsynsbegäran mail.docx", "A 17526-2024")</f>
        <v/>
      </c>
    </row>
    <row r="21" ht="15" customHeight="1">
      <c r="A21" t="inlineStr">
        <is>
          <t>A 55870-2025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45973</v>
      </c>
      <c r="E21" s="1" t="n">
        <v>46311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4.4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Västlig njurlav
Grynig filtlav</t>
        </is>
      </c>
      <c r="W21">
        <f>HYPERLINK("https://klasma.github.io/Logging_0512/artfynd/A 55870-2025 artfynd.xlsx", "A 55870-2025")</f>
        <v/>
      </c>
      <c r="X21">
        <f>HYPERLINK("https://klasma.github.io/Logging_0512/kartor/A 55870-2025 karta.png", "A 55870-2025")</f>
        <v/>
      </c>
      <c r="Y21">
        <f>HYPERLINK("https://klasma.github.io/Logging_0512/kartor_geotiff/A 55870-2025 georefererad karta.tif", "A 55870-2025")</f>
        <v/>
      </c>
      <c r="AA21">
        <f>HYPERLINK("https://klasma.github.io/Logging_0512/klagomål/A 55870-2025 FSC-klagomål.docx", "A 55870-2025")</f>
        <v/>
      </c>
      <c r="AB21">
        <f>HYPERLINK("https://klasma.github.io/Logging_0512/klagomålsmail/A 55870-2025 FSC-klagomål mail.docx", "A 55870-2025")</f>
        <v/>
      </c>
      <c r="AC21">
        <f>HYPERLINK("https://klasma.github.io/Logging_0512/tillsyn/A 55870-2025 tillsynsbegäran.docx", "A 55870-2025")</f>
        <v/>
      </c>
      <c r="AD21">
        <f>HYPERLINK("https://klasma.github.io/Logging_0512/tillsynsmail/A 55870-2025 tillsynsbegäran mail.docx", "A 55870-2025")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46311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46311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46311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46311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16704-2025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46311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HYPERLINK("https://klasma.github.io/Logging_0512/artfynd/A 16704-2025 artfynd.xlsx", "A 16704-2025")</f>
        <v/>
      </c>
      <c r="X26">
        <f>HYPERLINK("https://klasma.github.io/Logging_0512/kartor/A 16704-2025 karta.png", "A 16704-2025")</f>
        <v/>
      </c>
      <c r="Y26">
        <f>HYPERLINK("https://klasma.github.io/Logging_0512/kartor_geotiff/A 16704-2025 georefererad karta.tif", "A 16704-2025")</f>
        <v/>
      </c>
      <c r="AA26">
        <f>HYPERLINK("https://klasma.github.io/Logging_0512/klagomål/A 16704-2025 FSC-klagomål.docx", "A 16704-2025")</f>
        <v/>
      </c>
      <c r="AB26">
        <f>HYPERLINK("https://klasma.github.io/Logging_0512/klagomålsmail/A 16704-2025 FSC-klagomål mail.docx", "A 16704-2025")</f>
        <v/>
      </c>
      <c r="AC26">
        <f>HYPERLINK("https://klasma.github.io/Logging_0512/tillsyn/A 16704-2025 tillsynsbegäran.docx", "A 16704-2025")</f>
        <v/>
      </c>
      <c r="AD26">
        <f>HYPERLINK("https://klasma.github.io/Logging_0512/tillsynsmail/A 16704-2025 tillsynsbegäran mail.docx", "A 16704-2025")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46311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46311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45765-2025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46311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Sommarfibbla</t>
        </is>
      </c>
      <c r="W29">
        <f>HYPERLINK("https://klasma.github.io/Logging_0512/artfynd/A 45765-2025 artfynd.xlsx", "A 45765-2025")</f>
        <v/>
      </c>
      <c r="X29">
        <f>HYPERLINK("https://klasma.github.io/Logging_0512/kartor/A 45765-2025 karta.png", "A 45765-2025")</f>
        <v/>
      </c>
      <c r="Y29">
        <f>HYPERLINK("https://klasma.github.io/Logging_0512/kartor_geotiff/A 45765-2025 georefererad karta.tif", "A 45765-2025")</f>
        <v/>
      </c>
      <c r="AA29">
        <f>HYPERLINK("https://klasma.github.io/Logging_0512/klagomål/A 45765-2025 FSC-klagomål.docx", "A 45765-2025")</f>
        <v/>
      </c>
      <c r="AB29">
        <f>HYPERLINK("https://klasma.github.io/Logging_0512/klagomålsmail/A 45765-2025 FSC-klagomål mail.docx", "A 45765-2025")</f>
        <v/>
      </c>
      <c r="AC29">
        <f>HYPERLINK("https://klasma.github.io/Logging_0512/tillsyn/A 45765-2025 tillsynsbegäran.docx", "A 45765-2025")</f>
        <v/>
      </c>
      <c r="AD29">
        <f>HYPERLINK("https://klasma.github.io/Logging_0512/tillsynsmail/A 45765-2025 tillsynsbegäran mail.docx", "A 45765-2025")</f>
        <v/>
      </c>
    </row>
    <row r="30" ht="15" customHeight="1">
      <c r="A30" t="inlineStr">
        <is>
          <t>A 11716-2025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45727</v>
      </c>
      <c r="E30" s="1" t="n">
        <v>46311</v>
      </c>
      <c r="F30" t="inlineStr">
        <is>
          <t>ÖSTERGÖTLANDS LÄN</t>
        </is>
      </c>
      <c r="G30" t="inlineStr">
        <is>
          <t>YDRE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Kryddspindling</t>
        </is>
      </c>
      <c r="W30">
        <f>HYPERLINK("https://klasma.github.io/Logging_0512/artfynd/A 11716-2025 artfynd.xlsx", "A 11716-2025")</f>
        <v/>
      </c>
      <c r="X30">
        <f>HYPERLINK("https://klasma.github.io/Logging_0512/kartor/A 11716-2025 karta.png", "A 11716-2025")</f>
        <v/>
      </c>
      <c r="Y30">
        <f>HYPERLINK("https://klasma.github.io/Logging_0512/kartor_geotiff/A 11716-2025 georefererad karta.tif", "A 11716-2025")</f>
        <v/>
      </c>
      <c r="AA30">
        <f>HYPERLINK("https://klasma.github.io/Logging_0512/klagomål/A 11716-2025 FSC-klagomål.docx", "A 11716-2025")</f>
        <v/>
      </c>
      <c r="AB30">
        <f>HYPERLINK("https://klasma.github.io/Logging_0512/klagomålsmail/A 11716-2025 FSC-klagomål mail.docx", "A 11716-2025")</f>
        <v/>
      </c>
      <c r="AC30">
        <f>HYPERLINK("https://klasma.github.io/Logging_0512/tillsyn/A 11716-2025 tillsynsbegäran.docx", "A 11716-2025")</f>
        <v/>
      </c>
      <c r="AD30">
        <f>HYPERLINK("https://klasma.github.io/Logging_0512/tillsynsmail/A 11716-2025 tillsynsbegäran mail.docx", "A 11716-2025")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46311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46311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12669-2025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45733</v>
      </c>
      <c r="E33" s="1" t="n">
        <v>46311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Nattviol</t>
        </is>
      </c>
      <c r="W33">
        <f>HYPERLINK("https://klasma.github.io/Logging_0512/artfynd/A 12669-2025 artfynd.xlsx", "A 12669-2025")</f>
        <v/>
      </c>
      <c r="X33">
        <f>HYPERLINK("https://klasma.github.io/Logging_0512/kartor/A 12669-2025 karta.png", "A 12669-2025")</f>
        <v/>
      </c>
      <c r="Y33">
        <f>HYPERLINK("https://klasma.github.io/Logging_0512/kartor_geotiff/A 12669-2025 georefererad karta.tif", "A 12669-2025")</f>
        <v/>
      </c>
      <c r="AA33">
        <f>HYPERLINK("https://klasma.github.io/Logging_0512/klagomål/A 12669-2025 FSC-klagomål.docx", "A 12669-2025")</f>
        <v/>
      </c>
      <c r="AB33">
        <f>HYPERLINK("https://klasma.github.io/Logging_0512/klagomålsmail/A 12669-2025 FSC-klagomål mail.docx", "A 12669-2025")</f>
        <v/>
      </c>
      <c r="AC33">
        <f>HYPERLINK("https://klasma.github.io/Logging_0512/tillsyn/A 12669-2025 tillsynsbegäran.docx", "A 12669-2025")</f>
        <v/>
      </c>
      <c r="AD33">
        <f>HYPERLINK("https://klasma.github.io/Logging_0512/tillsynsmail/A 12669-2025 tillsynsbegäran mail.docx", "A 12669-2025")</f>
        <v/>
      </c>
    </row>
    <row r="34" ht="15" customHeight="1">
      <c r="A34" t="inlineStr">
        <is>
          <t>A 44503-2025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46311</v>
      </c>
      <c r="F34" t="inlineStr">
        <is>
          <t>ÖSTERGÖTLANDS LÄN</t>
        </is>
      </c>
      <c r="G34" t="inlineStr">
        <is>
          <t>YDRE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44503-2025 artfynd.xlsx", "A 44503-2025")</f>
        <v/>
      </c>
      <c r="X34">
        <f>HYPERLINK("https://klasma.github.io/Logging_0512/kartor/A 44503-2025 karta.png", "A 44503-2025")</f>
        <v/>
      </c>
      <c r="Y34">
        <f>HYPERLINK("https://klasma.github.io/Logging_0512/kartor_geotiff/A 44503-2025 georefererad karta.tif", "A 44503-2025")</f>
        <v/>
      </c>
      <c r="AA34">
        <f>HYPERLINK("https://klasma.github.io/Logging_0512/klagomål/A 44503-2025 FSC-klagomål.docx", "A 44503-2025")</f>
        <v/>
      </c>
      <c r="AB34">
        <f>HYPERLINK("https://klasma.github.io/Logging_0512/klagomålsmail/A 44503-2025 FSC-klagomål mail.docx", "A 44503-2025")</f>
        <v/>
      </c>
      <c r="AC34">
        <f>HYPERLINK("https://klasma.github.io/Logging_0512/tillsyn/A 44503-2025 tillsynsbegäran.docx", "A 44503-2025")</f>
        <v/>
      </c>
      <c r="AD34">
        <f>HYPERLINK("https://klasma.github.io/Logging_0512/tillsynsmail/A 44503-2025 tillsynsbegäran mail.docx", "A 44503-2025")</f>
        <v/>
      </c>
    </row>
    <row r="35" ht="15" customHeight="1">
      <c r="A35" t="inlineStr">
        <is>
          <t>A 45771-2025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46311</v>
      </c>
      <c r="F35" t="inlineStr">
        <is>
          <t>ÖSTERGÖTLANDS LÄN</t>
        </is>
      </c>
      <c r="G35" t="inlineStr">
        <is>
          <t>YDRE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Kattfotslav</t>
        </is>
      </c>
      <c r="W35">
        <f>HYPERLINK("https://klasma.github.io/Logging_0512/artfynd/A 45771-2025 artfynd.xlsx", "A 45771-2025")</f>
        <v/>
      </c>
      <c r="X35">
        <f>HYPERLINK("https://klasma.github.io/Logging_0512/kartor/A 45771-2025 karta.png", "A 45771-2025")</f>
        <v/>
      </c>
      <c r="Y35">
        <f>HYPERLINK("https://klasma.github.io/Logging_0512/kartor_geotiff/A 45771-2025 georefererad karta.tif", "A 45771-2025")</f>
        <v/>
      </c>
      <c r="AA35">
        <f>HYPERLINK("https://klasma.github.io/Logging_0512/klagomål/A 45771-2025 FSC-klagomål.docx", "A 45771-2025")</f>
        <v/>
      </c>
      <c r="AB35">
        <f>HYPERLINK("https://klasma.github.io/Logging_0512/klagomålsmail/A 45771-2025 FSC-klagomål mail.docx", "A 45771-2025")</f>
        <v/>
      </c>
      <c r="AC35">
        <f>HYPERLINK("https://klasma.github.io/Logging_0512/tillsyn/A 45771-2025 tillsynsbegäran.docx", "A 45771-2025")</f>
        <v/>
      </c>
      <c r="AD35">
        <f>HYPERLINK("https://klasma.github.io/Logging_0512/tillsynsmail/A 45771-2025 tillsynsbegäran mail.docx", "A 45771-2025")</f>
        <v/>
      </c>
    </row>
    <row r="36" ht="15" customHeight="1">
      <c r="A36" t="inlineStr">
        <is>
          <t>A 29200-2026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46311</v>
      </c>
      <c r="F36" t="inlineStr">
        <is>
          <t>ÖSTERGÖTLANDS LÄN</t>
        </is>
      </c>
      <c r="G36" t="inlineStr">
        <is>
          <t>YDRE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HYPERLINK("https://klasma.github.io/Logging_0512/artfynd/A 29200-2026 artfynd.xlsx", "A 29200-2026")</f>
        <v/>
      </c>
      <c r="X36">
        <f>HYPERLINK("https://klasma.github.io/Logging_0512/kartor/A 29200-2026 karta.png", "A 29200-2026")</f>
        <v/>
      </c>
      <c r="Y36">
        <f>HYPERLINK("https://klasma.github.io/Logging_0512/kartor_geotiff/A 29200-2026 georefererad karta.tif", "A 29200-2026")</f>
        <v/>
      </c>
      <c r="AA36">
        <f>HYPERLINK("https://klasma.github.io/Logging_0512/klagomål/A 29200-2026 FSC-klagomål.docx", "A 29200-2026")</f>
        <v/>
      </c>
      <c r="AB36">
        <f>HYPERLINK("https://klasma.github.io/Logging_0512/klagomålsmail/A 29200-2026 FSC-klagomål mail.docx", "A 29200-2026")</f>
        <v/>
      </c>
      <c r="AC36">
        <f>HYPERLINK("https://klasma.github.io/Logging_0512/tillsyn/A 29200-2026 tillsynsbegäran.docx", "A 29200-2026")</f>
        <v/>
      </c>
      <c r="AD36">
        <f>HYPERLINK("https://klasma.github.io/Logging_0512/tillsynsmail/A 29200-2026 tillsynsbegäran mail.docx", "A 29200-2026")</f>
        <v/>
      </c>
    </row>
    <row r="37" ht="15" customHeight="1">
      <c r="A37" t="inlineStr">
        <is>
          <t>A 54075-2025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46311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54075-2025 artfynd.xlsx", "A 54075-2025")</f>
        <v/>
      </c>
      <c r="X37">
        <f>HYPERLINK("https://klasma.github.io/Logging_0512/kartor/A 54075-2025 karta.png", "A 54075-2025")</f>
        <v/>
      </c>
      <c r="Y37">
        <f>HYPERLINK("https://klasma.github.io/Logging_0512/kartor_geotiff/A 54075-2025 georefererad karta.tif", "A 54075-2025")</f>
        <v/>
      </c>
      <c r="AA37">
        <f>HYPERLINK("https://klasma.github.io/Logging_0512/klagomål/A 54075-2025 FSC-klagomål.docx", "A 54075-2025")</f>
        <v/>
      </c>
      <c r="AB37">
        <f>HYPERLINK("https://klasma.github.io/Logging_0512/klagomålsmail/A 54075-2025 FSC-klagomål mail.docx", "A 54075-2025")</f>
        <v/>
      </c>
      <c r="AC37">
        <f>HYPERLINK("https://klasma.github.io/Logging_0512/tillsyn/A 54075-2025 tillsynsbegäran.docx", "A 54075-2025")</f>
        <v/>
      </c>
      <c r="AD37">
        <f>HYPERLINK("https://klasma.github.io/Logging_0512/tillsynsmail/A 54075-2025 tillsynsbegäran mail.docx", "A 54075-2025")</f>
        <v/>
      </c>
    </row>
    <row r="38" ht="15" customHeight="1">
      <c r="A38" t="inlineStr">
        <is>
          <t>A 54520-2025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46311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Talltita</t>
        </is>
      </c>
      <c r="W38">
        <f>HYPERLINK("https://klasma.github.io/Logging_0512/artfynd/A 54520-2025 artfynd.xlsx", "A 54520-2025")</f>
        <v/>
      </c>
      <c r="X38">
        <f>HYPERLINK("https://klasma.github.io/Logging_0512/kartor/A 54520-2025 karta.png", "A 54520-2025")</f>
        <v/>
      </c>
      <c r="Y38">
        <f>HYPERLINK("https://klasma.github.io/Logging_0512/kartor_geotiff/A 54520-2025 georefererad karta.tif", "A 54520-2025")</f>
        <v/>
      </c>
      <c r="AA38">
        <f>HYPERLINK("https://klasma.github.io/Logging_0512/klagomål/A 54520-2025 FSC-klagomål.docx", "A 54520-2025")</f>
        <v/>
      </c>
      <c r="AB38">
        <f>HYPERLINK("https://klasma.github.io/Logging_0512/klagomålsmail/A 54520-2025 FSC-klagomål mail.docx", "A 54520-2025")</f>
        <v/>
      </c>
      <c r="AC38">
        <f>HYPERLINK("https://klasma.github.io/Logging_0512/tillsyn/A 54520-2025 tillsynsbegäran.docx", "A 54520-2025")</f>
        <v/>
      </c>
      <c r="AD38">
        <f>HYPERLINK("https://klasma.github.io/Logging_0512/tillsynsmail/A 54520-2025 tillsynsbegäran mail.docx", "A 54520-2025")</f>
        <v/>
      </c>
      <c r="AE38">
        <f>HYPERLINK("https://klasma.github.io/Logging_0512/fåglar/A 54520-2025 prioriterade fågelarter.docx", "A 54520-2025")</f>
        <v/>
      </c>
    </row>
    <row r="39" ht="15" customHeight="1">
      <c r="A39" t="inlineStr">
        <is>
          <t>A 53049-2024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45611</v>
      </c>
      <c r="E39" s="1" t="n">
        <v>46311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Mosippa</t>
        </is>
      </c>
      <c r="W39">
        <f>HYPERLINK("https://klasma.github.io/Logging_0512/artfynd/A 53049-2024 artfynd.xlsx", "A 53049-2024")</f>
        <v/>
      </c>
      <c r="X39">
        <f>HYPERLINK("https://klasma.github.io/Logging_0512/kartor/A 53049-2024 karta.png", "A 53049-2024")</f>
        <v/>
      </c>
      <c r="Y39">
        <f>HYPERLINK("https://klasma.github.io/Logging_0512/kartor_geotiff/A 53049-2024 georefererad karta.tif", "A 53049-2024")</f>
        <v/>
      </c>
      <c r="AA39">
        <f>HYPERLINK("https://klasma.github.io/Logging_0512/klagomål/A 53049-2024 FSC-klagomål.docx", "A 53049-2024")</f>
        <v/>
      </c>
      <c r="AB39">
        <f>HYPERLINK("https://klasma.github.io/Logging_0512/klagomålsmail/A 53049-2024 FSC-klagomål mail.docx", "A 53049-2024")</f>
        <v/>
      </c>
      <c r="AC39">
        <f>HYPERLINK("https://klasma.github.io/Logging_0512/tillsyn/A 53049-2024 tillsynsbegäran.docx", "A 53049-2024")</f>
        <v/>
      </c>
      <c r="AD39">
        <f>HYPERLINK("https://klasma.github.io/Logging_0512/tillsynsmail/A 53049-2024 tillsynsbegäran mail.docx", "A 53049-2024")</f>
        <v/>
      </c>
    </row>
    <row r="40" ht="15" customHeight="1">
      <c r="A40" t="inlineStr">
        <is>
          <t>A 41907-2024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46311</v>
      </c>
      <c r="F40" t="inlineStr">
        <is>
          <t>ÖSTERGÖTLANDS LÄN</t>
        </is>
      </c>
      <c r="G40" t="inlineStr">
        <is>
          <t>YDRE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Grovticka</t>
        </is>
      </c>
      <c r="W40">
        <f>HYPERLINK("https://klasma.github.io/Logging_0512/artfynd/A 41907-2024 artfynd.xlsx", "A 41907-2024")</f>
        <v/>
      </c>
      <c r="X40">
        <f>HYPERLINK("https://klasma.github.io/Logging_0512/kartor/A 41907-2024 karta.png", "A 41907-2024")</f>
        <v/>
      </c>
      <c r="Y40">
        <f>HYPERLINK("https://klasma.github.io/Logging_0512/kartor_geotiff/A 41907-2024 georefererad karta.tif", "A 41907-2024")</f>
        <v/>
      </c>
      <c r="AA40">
        <f>HYPERLINK("https://klasma.github.io/Logging_0512/klagomål/A 41907-2024 FSC-klagomål.docx", "A 41907-2024")</f>
        <v/>
      </c>
      <c r="AB40">
        <f>HYPERLINK("https://klasma.github.io/Logging_0512/klagomålsmail/A 41907-2024 FSC-klagomål mail.docx", "A 41907-2024")</f>
        <v/>
      </c>
      <c r="AC40">
        <f>HYPERLINK("https://klasma.github.io/Logging_0512/tillsyn/A 41907-2024 tillsynsbegäran.docx", "A 41907-2024")</f>
        <v/>
      </c>
      <c r="AD40">
        <f>HYPERLINK("https://klasma.github.io/Logging_0512/tillsynsmail/A 41907-2024 tillsynsbegäran mail.docx", "A 41907-2024")</f>
        <v/>
      </c>
    </row>
    <row r="41" ht="15" customHeight="1">
      <c r="A41" t="inlineStr">
        <is>
          <t>A 4248-2026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46045</v>
      </c>
      <c r="E41" s="1" t="n">
        <v>46311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HYPERLINK("https://klasma.github.io/Logging_0512/artfynd/A 4248-2026 artfynd.xlsx", "A 4248-2026")</f>
        <v/>
      </c>
      <c r="X41">
        <f>HYPERLINK("https://klasma.github.io/Logging_0512/kartor/A 4248-2026 karta.png", "A 4248-2026")</f>
        <v/>
      </c>
      <c r="Y41">
        <f>HYPERLINK("https://klasma.github.io/Logging_0512/kartor_geotiff/A 4248-2026 georefererad karta.tif", "A 4248-2026")</f>
        <v/>
      </c>
      <c r="AA41">
        <f>HYPERLINK("https://klasma.github.io/Logging_0512/klagomål/A 4248-2026 FSC-klagomål.docx", "A 4248-2026")</f>
        <v/>
      </c>
      <c r="AB41">
        <f>HYPERLINK("https://klasma.github.io/Logging_0512/klagomålsmail/A 4248-2026 FSC-klagomål mail.docx", "A 4248-2026")</f>
        <v/>
      </c>
      <c r="AC41">
        <f>HYPERLINK("https://klasma.github.io/Logging_0512/tillsyn/A 4248-2026 tillsynsbegäran.docx", "A 4248-2026")</f>
        <v/>
      </c>
      <c r="AD41">
        <f>HYPERLINK("https://klasma.github.io/Logging_0512/tillsynsmail/A 4248-2026 tillsynsbegäran mail.docx", "A 4248-2026")</f>
        <v/>
      </c>
      <c r="AE41">
        <f>HYPERLINK("https://klasma.github.io/Logging_0512/fåglar/A 4248-2026 prioriterade fågelarter.docx", "A 4248-2026")</f>
        <v/>
      </c>
    </row>
    <row r="42" ht="15" customHeight="1">
      <c r="A42" t="inlineStr">
        <is>
          <t>A 9051-2026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46311</v>
      </c>
      <c r="F42" t="inlineStr">
        <is>
          <t>ÖSTERGÖTLANDS LÄN</t>
        </is>
      </c>
      <c r="G42" t="inlineStr">
        <is>
          <t>YDRE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HYPERLINK("https://klasma.github.io/Logging_0512/artfynd/A 9051-2026 artfynd.xlsx", "A 9051-2026")</f>
        <v/>
      </c>
      <c r="X42">
        <f>HYPERLINK("https://klasma.github.io/Logging_0512/kartor/A 9051-2026 karta.png", "A 9051-2026")</f>
        <v/>
      </c>
      <c r="Y42">
        <f>HYPERLINK("https://klasma.github.io/Logging_0512/kartor_geotiff/A 9051-2026 georefererad karta.tif", "A 9051-2026")</f>
        <v/>
      </c>
      <c r="AA42">
        <f>HYPERLINK("https://klasma.github.io/Logging_0512/klagomål/A 9051-2026 FSC-klagomål.docx", "A 9051-2026")</f>
        <v/>
      </c>
      <c r="AB42">
        <f>HYPERLINK("https://klasma.github.io/Logging_0512/klagomålsmail/A 9051-2026 FSC-klagomål mail.docx", "A 9051-2026")</f>
        <v/>
      </c>
      <c r="AC42">
        <f>HYPERLINK("https://klasma.github.io/Logging_0512/tillsyn/A 9051-2026 tillsynsbegäran.docx", "A 9051-2026")</f>
        <v/>
      </c>
      <c r="AD42">
        <f>HYPERLINK("https://klasma.github.io/Logging_0512/tillsynsmail/A 9051-2026 tillsynsbegäran mail.docx", "A 9051-2026")</f>
        <v/>
      </c>
    </row>
    <row r="43" ht="15" customHeight="1">
      <c r="A43" t="inlineStr">
        <is>
          <t>A 8923-2026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46311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HYPERLINK("https://klasma.github.io/Logging_0512/artfynd/A 8923-2026 artfynd.xlsx", "A 8923-2026")</f>
        <v/>
      </c>
      <c r="X43">
        <f>HYPERLINK("https://klasma.github.io/Logging_0512/kartor/A 8923-2026 karta.png", "A 8923-2026")</f>
        <v/>
      </c>
      <c r="Y43">
        <f>HYPERLINK("https://klasma.github.io/Logging_0512/kartor_geotiff/A 8923-2026 georefererad karta.tif", "A 8923-2026")</f>
        <v/>
      </c>
      <c r="AA43">
        <f>HYPERLINK("https://klasma.github.io/Logging_0512/klagomål/A 8923-2026 FSC-klagomål.docx", "A 8923-2026")</f>
        <v/>
      </c>
      <c r="AB43">
        <f>HYPERLINK("https://klasma.github.io/Logging_0512/klagomålsmail/A 8923-2026 FSC-klagomål mail.docx", "A 8923-2026")</f>
        <v/>
      </c>
      <c r="AC43">
        <f>HYPERLINK("https://klasma.github.io/Logging_0512/tillsyn/A 8923-2026 tillsynsbegäran.docx", "A 8923-2026")</f>
        <v/>
      </c>
      <c r="AD43">
        <f>HYPERLINK("https://klasma.github.io/Logging_0512/tillsynsmail/A 8923-2026 tillsynsbegäran mail.docx", "A 8923-2026")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46311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46311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46311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46311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46311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46311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46311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46311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46311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46311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46311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46311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46311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46311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46311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46311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46311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46311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46311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46311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46311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46311</v>
      </c>
      <c r="F65" t="inlineStr">
        <is>
          <t>ÖSTERGÖTLANDS LÄN</t>
        </is>
      </c>
      <c r="G65" t="inlineStr">
        <is>
          <t>YDRE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46311</v>
      </c>
      <c r="F66" t="inlineStr">
        <is>
          <t>ÖSTERGÖTLANDS LÄN</t>
        </is>
      </c>
      <c r="G66" t="inlineStr">
        <is>
          <t>YDRE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46311</v>
      </c>
      <c r="F67" t="inlineStr">
        <is>
          <t>ÖSTERGÖTLANDS LÄN</t>
        </is>
      </c>
      <c r="G67" t="inlineStr">
        <is>
          <t>YDRE</t>
        </is>
      </c>
      <c r="H67" t="inlineStr">
        <is>
          <t>Övriga Aktiebolag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69307-2021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44531</v>
      </c>
      <c r="E68" s="1" t="n">
        <v>46311</v>
      </c>
      <c r="F68" t="inlineStr">
        <is>
          <t>ÖSTERGÖTLANDS LÄN</t>
        </is>
      </c>
      <c r="G68" t="inlineStr">
        <is>
          <t>YDRE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46311</v>
      </c>
      <c r="F69" t="inlineStr">
        <is>
          <t>ÖSTERGÖTLANDS LÄN</t>
        </is>
      </c>
      <c r="G69" t="inlineStr">
        <is>
          <t>YDRE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46311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45334</v>
      </c>
      <c r="E71" s="1" t="n">
        <v>46311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46311</v>
      </c>
      <c r="F72" t="inlineStr">
        <is>
          <t>ÖSTERGÖTLANDS LÄN</t>
        </is>
      </c>
      <c r="G72" t="inlineStr">
        <is>
          <t>YDRE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44743</v>
      </c>
      <c r="E73" s="1" t="n">
        <v>46311</v>
      </c>
      <c r="F73" t="inlineStr">
        <is>
          <t>ÖSTERGÖTLANDS LÄN</t>
        </is>
      </c>
      <c r="G73" t="inlineStr">
        <is>
          <t>YDRE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46311</v>
      </c>
      <c r="F74" t="inlineStr">
        <is>
          <t>ÖSTERGÖTLANDS LÄN</t>
        </is>
      </c>
      <c r="G74" t="inlineStr">
        <is>
          <t>YDRE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45239</v>
      </c>
      <c r="E75" s="1" t="n">
        <v>46311</v>
      </c>
      <c r="F75" t="inlineStr">
        <is>
          <t>ÖSTERGÖTLANDS LÄN</t>
        </is>
      </c>
      <c r="G75" t="inlineStr">
        <is>
          <t>YDRE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45414</v>
      </c>
      <c r="E76" s="1" t="n">
        <v>46311</v>
      </c>
      <c r="F76" t="inlineStr">
        <is>
          <t>ÖSTERGÖTLANDS LÄN</t>
        </is>
      </c>
      <c r="G76" t="inlineStr">
        <is>
          <t>YDRE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53534-2022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46311</v>
      </c>
      <c r="F77" t="inlineStr">
        <is>
          <t>ÖSTERGÖTLANDS LÄN</t>
        </is>
      </c>
      <c r="G77" t="inlineStr">
        <is>
          <t>YDRE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46311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46311</v>
      </c>
      <c r="F79" t="inlineStr">
        <is>
          <t>ÖSTERGÖTLANDS LÄN</t>
        </is>
      </c>
      <c r="G79" t="inlineStr">
        <is>
          <t>YDRE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46311</v>
      </c>
      <c r="F80" t="inlineStr">
        <is>
          <t>ÖSTERGÖTLANDS LÄN</t>
        </is>
      </c>
      <c r="G80" t="inlineStr">
        <is>
          <t>YDRE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46311</v>
      </c>
      <c r="F81" t="inlineStr">
        <is>
          <t>ÖSTERGÖTLANDS LÄN</t>
        </is>
      </c>
      <c r="G81" t="inlineStr">
        <is>
          <t>YDRE</t>
        </is>
      </c>
      <c r="H81" t="inlineStr">
        <is>
          <t>Övriga Aktiebolag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61205-2023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45264</v>
      </c>
      <c r="E82" s="1" t="n">
        <v>46311</v>
      </c>
      <c r="F82" t="inlineStr">
        <is>
          <t>ÖSTERGÖTLANDS LÄN</t>
        </is>
      </c>
      <c r="G82" t="inlineStr">
        <is>
          <t>YDRE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45821</v>
      </c>
      <c r="E83" s="1" t="n">
        <v>46311</v>
      </c>
      <c r="F83" t="inlineStr">
        <is>
          <t>ÖSTERGÖTLANDS LÄN</t>
        </is>
      </c>
      <c r="G83" t="inlineStr">
        <is>
          <t>YDRE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36711-2023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45153</v>
      </c>
      <c r="E84" s="1" t="n">
        <v>46311</v>
      </c>
      <c r="F84" t="inlineStr">
        <is>
          <t>ÖSTERGÖTLANDS LÄN</t>
        </is>
      </c>
      <c r="G84" t="inlineStr">
        <is>
          <t>YDRE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62859-2023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46311</v>
      </c>
      <c r="F85" t="inlineStr">
        <is>
          <t>ÖSTERGÖTLANDS LÄN</t>
        </is>
      </c>
      <c r="G85" t="inlineStr">
        <is>
          <t>YDRE</t>
        </is>
      </c>
      <c r="H85" t="inlineStr">
        <is>
          <t>Övriga Aktiebolag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46311</v>
      </c>
      <c r="F86" t="inlineStr">
        <is>
          <t>ÖSTERGÖTLANDS LÄN</t>
        </is>
      </c>
      <c r="G86" t="inlineStr">
        <is>
          <t>YDRE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46311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46311</v>
      </c>
      <c r="F88" t="inlineStr">
        <is>
          <t>ÖSTERGÖTLANDS LÄN</t>
        </is>
      </c>
      <c r="G88" t="inlineStr">
        <is>
          <t>YDRE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46311</v>
      </c>
      <c r="F89" t="inlineStr">
        <is>
          <t>ÖSTERGÖTLANDS LÄN</t>
        </is>
      </c>
      <c r="G89" t="inlineStr">
        <is>
          <t>YDRE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46311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45580</v>
      </c>
      <c r="E91" s="1" t="n">
        <v>46311</v>
      </c>
      <c r="F91" t="inlineStr">
        <is>
          <t>ÖSTERGÖTLANDS LÄN</t>
        </is>
      </c>
      <c r="G91" t="inlineStr">
        <is>
          <t>YDRE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45701</v>
      </c>
      <c r="E92" s="1" t="n">
        <v>46311</v>
      </c>
      <c r="F92" t="inlineStr">
        <is>
          <t>ÖSTERGÖTLANDS LÄN</t>
        </is>
      </c>
      <c r="G92" t="inlineStr">
        <is>
          <t>YDRE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46311</v>
      </c>
      <c r="F93" t="inlineStr">
        <is>
          <t>ÖSTERGÖTLANDS LÄN</t>
        </is>
      </c>
      <c r="G93" t="inlineStr">
        <is>
          <t>YDRE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46311</v>
      </c>
      <c r="F94" t="inlineStr">
        <is>
          <t>ÖSTERGÖTLANDS LÄN</t>
        </is>
      </c>
      <c r="G94" t="inlineStr">
        <is>
          <t>YDRE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46311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45090</v>
      </c>
      <c r="E96" s="1" t="n">
        <v>46311</v>
      </c>
      <c r="F96" t="inlineStr">
        <is>
          <t>ÖSTERGÖTLANDS LÄN</t>
        </is>
      </c>
      <c r="G96" t="inlineStr">
        <is>
          <t>YDRE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32635-2025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45838</v>
      </c>
      <c r="E97" s="1" t="n">
        <v>46311</v>
      </c>
      <c r="F97" t="inlineStr">
        <is>
          <t>ÖSTERGÖTLANDS LÄN</t>
        </is>
      </c>
      <c r="G97" t="inlineStr">
        <is>
          <t>YDRE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44994</v>
      </c>
      <c r="E98" s="1" t="n">
        <v>46311</v>
      </c>
      <c r="F98" t="inlineStr">
        <is>
          <t>ÖSTERGÖTLANDS LÄN</t>
        </is>
      </c>
      <c r="G98" t="inlineStr">
        <is>
          <t>YDRE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46311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45790</v>
      </c>
      <c r="E100" s="1" t="n">
        <v>46311</v>
      </c>
      <c r="F100" t="inlineStr">
        <is>
          <t>ÖSTERGÖTLANDS LÄN</t>
        </is>
      </c>
      <c r="G100" t="inlineStr">
        <is>
          <t>YDRE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26784-2025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46311</v>
      </c>
      <c r="F101" t="inlineStr">
        <is>
          <t>ÖSTERGÖTLANDS LÄN</t>
        </is>
      </c>
      <c r="G101" t="inlineStr">
        <is>
          <t>YDRE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46311</v>
      </c>
      <c r="F102" t="inlineStr">
        <is>
          <t>ÖSTERGÖTLANDS LÄN</t>
        </is>
      </c>
      <c r="G102" t="inlineStr">
        <is>
          <t>YDRE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46311</v>
      </c>
      <c r="F103" t="inlineStr">
        <is>
          <t>ÖSTERGÖTLANDS LÄN</t>
        </is>
      </c>
      <c r="G103" t="inlineStr">
        <is>
          <t>YDRE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46311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46311</v>
      </c>
      <c r="F105" t="inlineStr">
        <is>
          <t>ÖSTERGÖTLANDS LÄN</t>
        </is>
      </c>
      <c r="G105" t="inlineStr">
        <is>
          <t>YDRE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46311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44987</v>
      </c>
      <c r="E107" s="1" t="n">
        <v>46311</v>
      </c>
      <c r="F107" t="inlineStr">
        <is>
          <t>ÖSTERGÖTLANDS LÄN</t>
        </is>
      </c>
      <c r="G107" t="inlineStr">
        <is>
          <t>YDRE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46311</v>
      </c>
      <c r="F108" t="inlineStr">
        <is>
          <t>ÖSTERGÖTLANDS LÄN</t>
        </is>
      </c>
      <c r="G108" t="inlineStr">
        <is>
          <t>YDRE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46311</v>
      </c>
      <c r="F109" t="inlineStr">
        <is>
          <t>ÖSTERGÖTLANDS LÄN</t>
        </is>
      </c>
      <c r="G109" t="inlineStr">
        <is>
          <t>YDRE</t>
        </is>
      </c>
      <c r="H109" t="inlineStr">
        <is>
          <t>Kyrkan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46311</v>
      </c>
      <c r="F110" t="inlineStr">
        <is>
          <t>ÖSTERGÖTLANDS LÄN</t>
        </is>
      </c>
      <c r="G110" t="inlineStr">
        <is>
          <t>YDRE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68983-2021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44530</v>
      </c>
      <c r="E111" s="1" t="n">
        <v>46311</v>
      </c>
      <c r="F111" t="inlineStr">
        <is>
          <t>ÖSTERGÖTLANDS LÄN</t>
        </is>
      </c>
      <c r="G111" t="inlineStr">
        <is>
          <t>YDRE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46311</v>
      </c>
      <c r="F112" t="inlineStr">
        <is>
          <t>ÖSTERGÖTLANDS LÄN</t>
        </is>
      </c>
      <c r="G112" t="inlineStr">
        <is>
          <t>YDRE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44844</v>
      </c>
      <c r="E113" s="1" t="n">
        <v>46311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59407-2021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44491</v>
      </c>
      <c r="E114" s="1" t="n">
        <v>46311</v>
      </c>
      <c r="F114" t="inlineStr">
        <is>
          <t>ÖSTERGÖTLANDS LÄN</t>
        </is>
      </c>
      <c r="G114" t="inlineStr">
        <is>
          <t>YDRE</t>
        </is>
      </c>
      <c r="H114" t="inlineStr">
        <is>
          <t>Sveaskog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45647</v>
      </c>
      <c r="E115" s="1" t="n">
        <v>46311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46311</v>
      </c>
      <c r="F116" t="inlineStr">
        <is>
          <t>ÖSTERGÖTLANDS LÄN</t>
        </is>
      </c>
      <c r="G116" t="inlineStr">
        <is>
          <t>YDRE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46311</v>
      </c>
      <c r="F117" t="inlineStr">
        <is>
          <t>ÖSTERGÖTLANDS LÄN</t>
        </is>
      </c>
      <c r="G117" t="inlineStr">
        <is>
          <t>YDRE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46311</v>
      </c>
      <c r="F118" t="inlineStr">
        <is>
          <t>ÖSTERGÖTLANDS LÄN</t>
        </is>
      </c>
      <c r="G118" t="inlineStr">
        <is>
          <t>YDRE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46311</v>
      </c>
      <c r="F119" t="inlineStr">
        <is>
          <t>ÖSTERGÖTLANDS LÄN</t>
        </is>
      </c>
      <c r="G119" t="inlineStr">
        <is>
          <t>YDRE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46311</v>
      </c>
      <c r="F120" t="inlineStr">
        <is>
          <t>ÖSTERGÖTLANDS LÄN</t>
        </is>
      </c>
      <c r="G120" t="inlineStr">
        <is>
          <t>YDRE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46311</v>
      </c>
      <c r="F121" t="inlineStr">
        <is>
          <t>ÖSTERGÖTLANDS LÄN</t>
        </is>
      </c>
      <c r="G121" t="inlineStr">
        <is>
          <t>YDRE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46311</v>
      </c>
      <c r="F122" t="inlineStr">
        <is>
          <t>ÖSTERGÖTLANDS LÄN</t>
        </is>
      </c>
      <c r="G122" t="inlineStr">
        <is>
          <t>YDRE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45355</v>
      </c>
      <c r="E123" s="1" t="n">
        <v>46311</v>
      </c>
      <c r="F123" t="inlineStr">
        <is>
          <t>ÖSTERGÖTLANDS LÄN</t>
        </is>
      </c>
      <c r="G123" t="inlineStr">
        <is>
          <t>YDRE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46311</v>
      </c>
      <c r="F124" t="inlineStr">
        <is>
          <t>ÖSTERGÖTLANDS LÄN</t>
        </is>
      </c>
      <c r="G124" t="inlineStr">
        <is>
          <t>YDRE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46311</v>
      </c>
      <c r="F125" t="inlineStr">
        <is>
          <t>ÖSTERGÖTLANDS LÄN</t>
        </is>
      </c>
      <c r="G125" t="inlineStr">
        <is>
          <t>YDRE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44908</v>
      </c>
      <c r="E126" s="1" t="n">
        <v>46311</v>
      </c>
      <c r="F126" t="inlineStr">
        <is>
          <t>ÖSTERGÖTLANDS LÄN</t>
        </is>
      </c>
      <c r="G126" t="inlineStr">
        <is>
          <t>YDRE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45138</v>
      </c>
      <c r="E127" s="1" t="n">
        <v>46311</v>
      </c>
      <c r="F127" t="inlineStr">
        <is>
          <t>ÖSTERGÖTLANDS LÄN</t>
        </is>
      </c>
      <c r="G127" t="inlineStr">
        <is>
          <t>YDRE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46311</v>
      </c>
      <c r="F128" t="inlineStr">
        <is>
          <t>ÖSTERGÖTLANDS LÄN</t>
        </is>
      </c>
      <c r="G128" t="inlineStr">
        <is>
          <t>YDRE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46311</v>
      </c>
      <c r="F129" t="inlineStr">
        <is>
          <t>ÖSTERGÖTLANDS LÄN</t>
        </is>
      </c>
      <c r="G129" t="inlineStr">
        <is>
          <t>YDRE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46311</v>
      </c>
      <c r="F130" t="inlineStr">
        <is>
          <t>ÖSTERGÖTLANDS LÄN</t>
        </is>
      </c>
      <c r="G130" t="inlineStr">
        <is>
          <t>YDRE</t>
        </is>
      </c>
      <c r="I130" t="n">
        <v>9.9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46311</v>
      </c>
      <c r="F131" t="inlineStr">
        <is>
          <t>ÖSTERGÖTLANDS LÄN</t>
        </is>
      </c>
      <c r="G131" t="inlineStr">
        <is>
          <t>YDRE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62815-2021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46311</v>
      </c>
      <c r="F132" t="inlineStr">
        <is>
          <t>ÖSTERGÖTLANDS LÄN</t>
        </is>
      </c>
      <c r="G132" t="inlineStr">
        <is>
          <t>YDRE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46311</v>
      </c>
      <c r="F133" t="inlineStr">
        <is>
          <t>ÖSTERGÖTLANDS LÄN</t>
        </is>
      </c>
      <c r="G133" t="inlineStr">
        <is>
          <t>YDRE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32016-2024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46311</v>
      </c>
      <c r="F134" t="inlineStr">
        <is>
          <t>ÖSTERGÖTLANDS LÄN</t>
        </is>
      </c>
      <c r="G134" t="inlineStr">
        <is>
          <t>YDRE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44966</v>
      </c>
      <c r="E135" s="1" t="n">
        <v>46311</v>
      </c>
      <c r="F135" t="inlineStr">
        <is>
          <t>ÖSTERGÖTLANDS LÄN</t>
        </is>
      </c>
      <c r="G135" t="inlineStr">
        <is>
          <t>YDRE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46311</v>
      </c>
      <c r="F136" t="inlineStr">
        <is>
          <t>ÖSTERGÖTLANDS LÄN</t>
        </is>
      </c>
      <c r="G136" t="inlineStr">
        <is>
          <t>YDRE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14184-2022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44651</v>
      </c>
      <c r="E137" s="1" t="n">
        <v>46311</v>
      </c>
      <c r="F137" t="inlineStr">
        <is>
          <t>ÖSTERGÖTLANDS LÄN</t>
        </is>
      </c>
      <c r="G137" t="inlineStr">
        <is>
          <t>YDRE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62485-2021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46311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46311</v>
      </c>
      <c r="F139" t="inlineStr">
        <is>
          <t>ÖSTERGÖTLANDS LÄN</t>
        </is>
      </c>
      <c r="G139" t="inlineStr">
        <is>
          <t>YDRE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46311</v>
      </c>
      <c r="F140" t="inlineStr">
        <is>
          <t>ÖSTERGÖTLANDS LÄN</t>
        </is>
      </c>
      <c r="G140" t="inlineStr">
        <is>
          <t>YDRE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46311</v>
      </c>
      <c r="F141" t="inlineStr">
        <is>
          <t>ÖSTERGÖTLANDS LÄN</t>
        </is>
      </c>
      <c r="G141" t="inlineStr">
        <is>
          <t>YDRE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46116</v>
      </c>
      <c r="E142" s="1" t="n">
        <v>46311</v>
      </c>
      <c r="F142" t="inlineStr">
        <is>
          <t>ÖSTERGÖTLANDS LÄN</t>
        </is>
      </c>
      <c r="G142" t="inlineStr">
        <is>
          <t>YDRE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46311</v>
      </c>
      <c r="F143" t="inlineStr">
        <is>
          <t>ÖSTERGÖTLANDS LÄN</t>
        </is>
      </c>
      <c r="G143" t="inlineStr">
        <is>
          <t>YDRE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46311</v>
      </c>
      <c r="F144" t="inlineStr">
        <is>
          <t>ÖSTERGÖTLANDS LÄN</t>
        </is>
      </c>
      <c r="G144" t="inlineStr">
        <is>
          <t>YDRE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46311</v>
      </c>
      <c r="F145" t="inlineStr">
        <is>
          <t>ÖSTERGÖTLANDS LÄN</t>
        </is>
      </c>
      <c r="G145" t="inlineStr">
        <is>
          <t>YDRE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17705-2026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46311</v>
      </c>
      <c r="F146" t="inlineStr">
        <is>
          <t>ÖSTERGÖTLANDS LÄN</t>
        </is>
      </c>
      <c r="G146" t="inlineStr">
        <is>
          <t>YDRE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46311</v>
      </c>
      <c r="F147" t="inlineStr">
        <is>
          <t>ÖSTERGÖTLANDS LÄN</t>
        </is>
      </c>
      <c r="G147" t="inlineStr">
        <is>
          <t>YDRE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18181-2026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46311</v>
      </c>
      <c r="F148" t="inlineStr">
        <is>
          <t>ÖSTERGÖTLANDS LÄN</t>
        </is>
      </c>
      <c r="G148" t="inlineStr">
        <is>
          <t>YDRE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46311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46311</v>
      </c>
      <c r="F150" t="inlineStr">
        <is>
          <t>ÖSTERGÖTLANDS LÄN</t>
        </is>
      </c>
      <c r="G150" t="inlineStr">
        <is>
          <t>YDRE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46311</v>
      </c>
      <c r="F151" t="inlineStr">
        <is>
          <t>ÖSTERGÖTLANDS LÄN</t>
        </is>
      </c>
      <c r="G151" t="inlineStr">
        <is>
          <t>YDRE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46126</v>
      </c>
      <c r="E152" s="1" t="n">
        <v>46311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45104</v>
      </c>
      <c r="E153" s="1" t="n">
        <v>46311</v>
      </c>
      <c r="F153" t="inlineStr">
        <is>
          <t>ÖSTERGÖTLANDS LÄN</t>
        </is>
      </c>
      <c r="G153" t="inlineStr">
        <is>
          <t>YDRE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46311</v>
      </c>
      <c r="F154" t="inlineStr">
        <is>
          <t>ÖSTERGÖTLANDS LÄN</t>
        </is>
      </c>
      <c r="G154" t="inlineStr">
        <is>
          <t>YDRE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46311</v>
      </c>
      <c r="F155" t="inlineStr">
        <is>
          <t>ÖSTERGÖTLANDS LÄN</t>
        </is>
      </c>
      <c r="G155" t="inlineStr">
        <is>
          <t>YDRE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46311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46311</v>
      </c>
      <c r="F157" t="inlineStr">
        <is>
          <t>ÖSTERGÖTLANDS LÄN</t>
        </is>
      </c>
      <c r="G157" t="inlineStr">
        <is>
          <t>YDRE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45000</v>
      </c>
      <c r="E158" s="1" t="n">
        <v>46311</v>
      </c>
      <c r="F158" t="inlineStr">
        <is>
          <t>ÖSTERGÖTLANDS LÄN</t>
        </is>
      </c>
      <c r="G158" t="inlineStr">
        <is>
          <t>YDRE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46311</v>
      </c>
      <c r="F159" t="inlineStr">
        <is>
          <t>ÖSTERGÖTLANDS LÄN</t>
        </is>
      </c>
      <c r="G159" t="inlineStr">
        <is>
          <t>YDRE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14101-2022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44651</v>
      </c>
      <c r="E160" s="1" t="n">
        <v>46311</v>
      </c>
      <c r="F160" t="inlineStr">
        <is>
          <t>ÖSTERGÖTLANDS LÄN</t>
        </is>
      </c>
      <c r="G160" t="inlineStr">
        <is>
          <t>YDRE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45871</v>
      </c>
      <c r="E161" s="1" t="n">
        <v>46311</v>
      </c>
      <c r="F161" t="inlineStr">
        <is>
          <t>ÖSTERGÖTLANDS LÄN</t>
        </is>
      </c>
      <c r="G161" t="inlineStr">
        <is>
          <t>YDRE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46311</v>
      </c>
      <c r="F162" t="inlineStr">
        <is>
          <t>ÖSTERGÖTLANDS LÄN</t>
        </is>
      </c>
      <c r="G162" t="inlineStr">
        <is>
          <t>YDRE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46311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45793</v>
      </c>
      <c r="E164" s="1" t="n">
        <v>46311</v>
      </c>
      <c r="F164" t="inlineStr">
        <is>
          <t>ÖSTERGÖTLANDS LÄN</t>
        </is>
      </c>
      <c r="G164" t="inlineStr">
        <is>
          <t>YDRE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46311</v>
      </c>
      <c r="F165" t="inlineStr">
        <is>
          <t>ÖSTERGÖTLANDS LÄN</t>
        </is>
      </c>
      <c r="G165" t="inlineStr">
        <is>
          <t>YDRE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46311</v>
      </c>
      <c r="F166" t="inlineStr">
        <is>
          <t>ÖSTERGÖTLANDS LÄN</t>
        </is>
      </c>
      <c r="G166" t="inlineStr">
        <is>
          <t>YDRE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46311</v>
      </c>
      <c r="F167" t="inlineStr">
        <is>
          <t>ÖSTERGÖTLANDS LÄN</t>
        </is>
      </c>
      <c r="G167" t="inlineStr">
        <is>
          <t>YDRE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46311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46311</v>
      </c>
      <c r="F169" t="inlineStr">
        <is>
          <t>ÖSTERGÖTLANDS LÄN</t>
        </is>
      </c>
      <c r="G169" t="inlineStr">
        <is>
          <t>YDRE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46311</v>
      </c>
      <c r="F170" t="inlineStr">
        <is>
          <t>ÖSTERGÖTLANDS LÄN</t>
        </is>
      </c>
      <c r="G170" t="inlineStr">
        <is>
          <t>YDRE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30535-2025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46311</v>
      </c>
      <c r="F171" t="inlineStr">
        <is>
          <t>ÖSTERGÖTLANDS LÄN</t>
        </is>
      </c>
      <c r="G171" t="inlineStr">
        <is>
          <t>YDRE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45449-2023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45194</v>
      </c>
      <c r="E172" s="1" t="n">
        <v>46311</v>
      </c>
      <c r="F172" t="inlineStr">
        <is>
          <t>ÖSTERGÖTLANDS LÄN</t>
        </is>
      </c>
      <c r="G172" t="inlineStr">
        <is>
          <t>YDRE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46311</v>
      </c>
      <c r="F173" t="inlineStr">
        <is>
          <t>ÖSTERGÖTLANDS LÄN</t>
        </is>
      </c>
      <c r="G173" t="inlineStr">
        <is>
          <t>YDRE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45916</v>
      </c>
      <c r="E174" s="1" t="n">
        <v>46311</v>
      </c>
      <c r="F174" t="inlineStr">
        <is>
          <t>ÖSTERGÖTLANDS LÄN</t>
        </is>
      </c>
      <c r="G174" t="inlineStr">
        <is>
          <t>YDRE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14645-2022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44655</v>
      </c>
      <c r="E175" s="1" t="n">
        <v>46311</v>
      </c>
      <c r="F175" t="inlineStr">
        <is>
          <t>ÖSTERGÖTLANDS LÄN</t>
        </is>
      </c>
      <c r="G175" t="inlineStr">
        <is>
          <t>YDRE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46311</v>
      </c>
      <c r="F176" t="inlineStr">
        <is>
          <t>ÖSTERGÖTLANDS LÄN</t>
        </is>
      </c>
      <c r="G176" t="inlineStr">
        <is>
          <t>YDRE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46311</v>
      </c>
      <c r="F177" t="inlineStr">
        <is>
          <t>ÖSTERGÖTLANDS LÄN</t>
        </is>
      </c>
      <c r="G177" t="inlineStr">
        <is>
          <t>YDRE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46311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44576</v>
      </c>
      <c r="E179" s="1" t="n">
        <v>46311</v>
      </c>
      <c r="F179" t="inlineStr">
        <is>
          <t>ÖSTERGÖTLANDS LÄN</t>
        </is>
      </c>
      <c r="G179" t="inlineStr">
        <is>
          <t>YDRE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46311</v>
      </c>
      <c r="F180" t="inlineStr">
        <is>
          <t>ÖSTERGÖTLANDS LÄN</t>
        </is>
      </c>
      <c r="G180" t="inlineStr">
        <is>
          <t>YDRE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43100-2025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46311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12.4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45434</v>
      </c>
      <c r="E182" s="1" t="n">
        <v>46311</v>
      </c>
      <c r="F182" t="inlineStr">
        <is>
          <t>ÖSTERGÖTLANDS LÄN</t>
        </is>
      </c>
      <c r="G182" t="inlineStr">
        <is>
          <t>YDRE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46311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46311</v>
      </c>
      <c r="F184" t="inlineStr">
        <is>
          <t>ÖSTERGÖTLANDS LÄN</t>
        </is>
      </c>
      <c r="G184" t="inlineStr">
        <is>
          <t>YDRE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45616</v>
      </c>
      <c r="E185" s="1" t="n">
        <v>46311</v>
      </c>
      <c r="F185" t="inlineStr">
        <is>
          <t>ÖSTERGÖTLANDS LÄN</t>
        </is>
      </c>
      <c r="G185" t="inlineStr">
        <is>
          <t>YDRE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46311</v>
      </c>
      <c r="F186" t="inlineStr">
        <is>
          <t>ÖSTERGÖTLANDS LÄN</t>
        </is>
      </c>
      <c r="G186" t="inlineStr">
        <is>
          <t>YDRE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46311</v>
      </c>
      <c r="F187" t="inlineStr">
        <is>
          <t>ÖSTERGÖTLANDS LÄN</t>
        </is>
      </c>
      <c r="G187" t="inlineStr">
        <is>
          <t>YDRE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46311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46311</v>
      </c>
      <c r="F189" t="inlineStr">
        <is>
          <t>ÖSTERGÖTLANDS LÄN</t>
        </is>
      </c>
      <c r="G189" t="inlineStr">
        <is>
          <t>YDRE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46311</v>
      </c>
      <c r="F190" t="inlineStr">
        <is>
          <t>ÖSTERGÖTLANDS LÄN</t>
        </is>
      </c>
      <c r="G190" t="inlineStr">
        <is>
          <t>YDRE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46311</v>
      </c>
      <c r="F191" t="inlineStr">
        <is>
          <t>ÖSTERGÖTLANDS LÄN</t>
        </is>
      </c>
      <c r="G191" t="inlineStr">
        <is>
          <t>YDRE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44966</v>
      </c>
      <c r="E192" s="1" t="n">
        <v>46311</v>
      </c>
      <c r="F192" t="inlineStr">
        <is>
          <t>ÖSTERGÖTLANDS LÄN</t>
        </is>
      </c>
      <c r="G192" t="inlineStr">
        <is>
          <t>YDRE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44743</v>
      </c>
      <c r="E193" s="1" t="n">
        <v>46311</v>
      </c>
      <c r="F193" t="inlineStr">
        <is>
          <t>ÖSTERGÖTLANDS LÄN</t>
        </is>
      </c>
      <c r="G193" t="inlineStr">
        <is>
          <t>YDRE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46311</v>
      </c>
      <c r="F194" t="inlineStr">
        <is>
          <t>ÖSTERGÖTLANDS LÄN</t>
        </is>
      </c>
      <c r="G194" t="inlineStr">
        <is>
          <t>YDRE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46311</v>
      </c>
      <c r="F195" t="inlineStr">
        <is>
          <t>ÖSTERGÖTLANDS LÄN</t>
        </is>
      </c>
      <c r="G195" t="inlineStr">
        <is>
          <t>YDRE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46311</v>
      </c>
      <c r="F196" t="inlineStr">
        <is>
          <t>ÖSTERGÖTLANDS LÄN</t>
        </is>
      </c>
      <c r="G196" t="inlineStr">
        <is>
          <t>YDRE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46311</v>
      </c>
      <c r="F197" t="inlineStr">
        <is>
          <t>ÖSTERGÖTLANDS LÄN</t>
        </is>
      </c>
      <c r="G197" t="inlineStr">
        <is>
          <t>YDRE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46311</v>
      </c>
      <c r="F198" t="inlineStr">
        <is>
          <t>ÖSTERGÖTLANDS LÄN</t>
        </is>
      </c>
      <c r="G198" t="inlineStr">
        <is>
          <t>YDRE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45016</v>
      </c>
      <c r="E199" s="1" t="n">
        <v>46311</v>
      </c>
      <c r="F199" t="inlineStr">
        <is>
          <t>ÖSTERGÖTLANDS LÄN</t>
        </is>
      </c>
      <c r="G199" t="inlineStr">
        <is>
          <t>YDRE</t>
        </is>
      </c>
      <c r="H199" t="inlineStr">
        <is>
          <t>Övriga Aktiebolag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46311</v>
      </c>
      <c r="F200" t="inlineStr">
        <is>
          <t>ÖSTERGÖTLANDS LÄN</t>
        </is>
      </c>
      <c r="G200" t="inlineStr">
        <is>
          <t>YDRE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46311</v>
      </c>
      <c r="F201" t="inlineStr">
        <is>
          <t>ÖSTERGÖTLANDS LÄN</t>
        </is>
      </c>
      <c r="G201" t="inlineStr">
        <is>
          <t>YDRE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28991-2022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46311</v>
      </c>
      <c r="F202" t="inlineStr">
        <is>
          <t>ÖSTERGÖTLANDS LÄN</t>
        </is>
      </c>
      <c r="G202" t="inlineStr">
        <is>
          <t>YDRE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46146</v>
      </c>
      <c r="E203" s="1" t="n">
        <v>46311</v>
      </c>
      <c r="F203" t="inlineStr">
        <is>
          <t>ÖSTERGÖTLANDS LÄN</t>
        </is>
      </c>
      <c r="G203" t="inlineStr">
        <is>
          <t>YDRE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46311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17309-2024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45414</v>
      </c>
      <c r="E205" s="1" t="n">
        <v>46311</v>
      </c>
      <c r="F205" t="inlineStr">
        <is>
          <t>ÖSTERGÖTLANDS LÄN</t>
        </is>
      </c>
      <c r="G205" t="inlineStr">
        <is>
          <t>YDRE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46146</v>
      </c>
      <c r="E206" s="1" t="n">
        <v>46311</v>
      </c>
      <c r="F206" t="inlineStr">
        <is>
          <t>ÖSTERGÖTLANDS LÄN</t>
        </is>
      </c>
      <c r="G206" t="inlineStr">
        <is>
          <t>YDRE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46311</v>
      </c>
      <c r="F207" t="inlineStr">
        <is>
          <t>ÖSTERGÖTLANDS LÄN</t>
        </is>
      </c>
      <c r="G207" t="inlineStr">
        <is>
          <t>YDRE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46311</v>
      </c>
      <c r="F208" t="inlineStr">
        <is>
          <t>ÖSTERGÖTLANDS LÄN</t>
        </is>
      </c>
      <c r="G208" t="inlineStr">
        <is>
          <t>YDRE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46311</v>
      </c>
      <c r="F209" t="inlineStr">
        <is>
          <t>ÖSTERGÖTLANDS LÄN</t>
        </is>
      </c>
      <c r="G209" t="inlineStr">
        <is>
          <t>YDRE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46311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46311</v>
      </c>
      <c r="F211" t="inlineStr">
        <is>
          <t>ÖSTERGÖTLANDS LÄN</t>
        </is>
      </c>
      <c r="G211" t="inlineStr">
        <is>
          <t>YDRE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45714</v>
      </c>
      <c r="E212" s="1" t="n">
        <v>46311</v>
      </c>
      <c r="F212" t="inlineStr">
        <is>
          <t>ÖSTERGÖTLANDS LÄN</t>
        </is>
      </c>
      <c r="G212" t="inlineStr">
        <is>
          <t>YDRE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44816</v>
      </c>
      <c r="E213" s="1" t="n">
        <v>46311</v>
      </c>
      <c r="F213" t="inlineStr">
        <is>
          <t>ÖSTERGÖTLANDS LÄN</t>
        </is>
      </c>
      <c r="G213" t="inlineStr">
        <is>
          <t>YDRE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45170</v>
      </c>
      <c r="E214" s="1" t="n">
        <v>46311</v>
      </c>
      <c r="F214" t="inlineStr">
        <is>
          <t>ÖSTERGÖTLANDS LÄN</t>
        </is>
      </c>
      <c r="G214" t="inlineStr">
        <is>
          <t>YDRE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46311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44562</v>
      </c>
      <c r="E216" s="1" t="n">
        <v>46311</v>
      </c>
      <c r="F216" t="inlineStr">
        <is>
          <t>ÖSTERGÖTLANDS LÄN</t>
        </is>
      </c>
      <c r="G216" t="inlineStr">
        <is>
          <t>YDRE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45091</v>
      </c>
      <c r="E217" s="1" t="n">
        <v>46311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61942-2021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46311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22312-2026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46154</v>
      </c>
      <c r="E219" s="1" t="n">
        <v>46311</v>
      </c>
      <c r="F219" t="inlineStr">
        <is>
          <t>ÖSTERGÖTLANDS LÄN</t>
        </is>
      </c>
      <c r="G219" t="inlineStr">
        <is>
          <t>YDRE</t>
        </is>
      </c>
      <c r="H219" t="inlineStr">
        <is>
          <t>Övriga Aktiebolag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46311</v>
      </c>
      <c r="F220" t="inlineStr">
        <is>
          <t>ÖSTERGÖTLANDS LÄN</t>
        </is>
      </c>
      <c r="G220" t="inlineStr">
        <is>
          <t>YDRE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46311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46311</v>
      </c>
      <c r="F222" t="inlineStr">
        <is>
          <t>ÖSTERGÖTLANDS LÄN</t>
        </is>
      </c>
      <c r="G222" t="inlineStr">
        <is>
          <t>YDRE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46311</v>
      </c>
      <c r="F223" t="inlineStr">
        <is>
          <t>ÖSTERGÖTLANDS LÄN</t>
        </is>
      </c>
      <c r="G223" t="inlineStr">
        <is>
          <t>YDRE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44474-2025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46311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45916</v>
      </c>
      <c r="E225" s="1" t="n">
        <v>46311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45916</v>
      </c>
      <c r="E226" s="1" t="n">
        <v>46311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46311</v>
      </c>
      <c r="F227" t="inlineStr">
        <is>
          <t>ÖSTERGÖTLANDS LÄN</t>
        </is>
      </c>
      <c r="G227" t="inlineStr">
        <is>
          <t>YDRE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44980</v>
      </c>
      <c r="E228" s="1" t="n">
        <v>46311</v>
      </c>
      <c r="F228" t="inlineStr">
        <is>
          <t>ÖSTERGÖTLANDS LÄN</t>
        </is>
      </c>
      <c r="G228" t="inlineStr">
        <is>
          <t>YDRE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46311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44670</v>
      </c>
      <c r="E230" s="1" t="n">
        <v>46311</v>
      </c>
      <c r="F230" t="inlineStr">
        <is>
          <t>ÖSTERGÖTLANDS LÄN</t>
        </is>
      </c>
      <c r="G230" t="inlineStr">
        <is>
          <t>YDRE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45302</v>
      </c>
      <c r="E231" s="1" t="n">
        <v>46311</v>
      </c>
      <c r="F231" t="inlineStr">
        <is>
          <t>ÖSTERGÖTLANDS LÄN</t>
        </is>
      </c>
      <c r="G231" t="inlineStr">
        <is>
          <t>YDRE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46311</v>
      </c>
      <c r="F232" t="inlineStr">
        <is>
          <t>ÖSTERGÖTLANDS LÄN</t>
        </is>
      </c>
      <c r="G232" t="inlineStr">
        <is>
          <t>YDRE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45752-2025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46311</v>
      </c>
      <c r="F233" t="inlineStr">
        <is>
          <t>ÖSTERGÖTLANDS LÄN</t>
        </is>
      </c>
      <c r="G233" t="inlineStr">
        <is>
          <t>YDRE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46311</v>
      </c>
      <c r="F234" t="inlineStr">
        <is>
          <t>ÖSTERGÖTLANDS LÄN</t>
        </is>
      </c>
      <c r="G234" t="inlineStr">
        <is>
          <t>YDRE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46086-2025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45924</v>
      </c>
      <c r="E235" s="1" t="n">
        <v>46311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46311</v>
      </c>
      <c r="F236" t="inlineStr">
        <is>
          <t>ÖSTERGÖTLANDS LÄN</t>
        </is>
      </c>
      <c r="G236" t="inlineStr">
        <is>
          <t>YDRE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45261</v>
      </c>
      <c r="E237" s="1" t="n">
        <v>46311</v>
      </c>
      <c r="F237" t="inlineStr">
        <is>
          <t>ÖSTERGÖTLANDS LÄN</t>
        </is>
      </c>
      <c r="G237" t="inlineStr">
        <is>
          <t>YDRE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44939</v>
      </c>
      <c r="E238" s="1" t="n">
        <v>46311</v>
      </c>
      <c r="F238" t="inlineStr">
        <is>
          <t>ÖSTERGÖTLANDS LÄN</t>
        </is>
      </c>
      <c r="G238" t="inlineStr">
        <is>
          <t>YDRE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45537</v>
      </c>
      <c r="E239" s="1" t="n">
        <v>46311</v>
      </c>
      <c r="F239" t="inlineStr">
        <is>
          <t>ÖSTERGÖTLANDS LÄN</t>
        </is>
      </c>
      <c r="G239" t="inlineStr">
        <is>
          <t>YDRE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2745-2026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46038</v>
      </c>
      <c r="E240" s="1" t="n">
        <v>46311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45447-2023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46311</v>
      </c>
      <c r="F241" t="inlineStr">
        <is>
          <t>ÖSTERGÖTLANDS LÄN</t>
        </is>
      </c>
      <c r="G241" t="inlineStr">
        <is>
          <t>YDRE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71524-2021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44538</v>
      </c>
      <c r="E242" s="1" t="n">
        <v>46311</v>
      </c>
      <c r="F242" t="inlineStr">
        <is>
          <t>ÖSTERGÖTLANDS LÄN</t>
        </is>
      </c>
      <c r="G242" t="inlineStr">
        <is>
          <t>YDRE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46311</v>
      </c>
      <c r="F243" t="inlineStr">
        <is>
          <t>ÖSTERGÖTLANDS LÄN</t>
        </is>
      </c>
      <c r="G243" t="inlineStr">
        <is>
          <t>YDRE</t>
        </is>
      </c>
      <c r="I243" t="n">
        <v>10.2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46311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24780-2026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46171</v>
      </c>
      <c r="E245" s="1" t="n">
        <v>46311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45634</v>
      </c>
      <c r="E246" s="1" t="n">
        <v>46311</v>
      </c>
      <c r="F246" t="inlineStr">
        <is>
          <t>ÖSTERGÖTLANDS LÄN</t>
        </is>
      </c>
      <c r="G246" t="inlineStr">
        <is>
          <t>YDRE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46311</v>
      </c>
      <c r="F247" t="inlineStr">
        <is>
          <t>ÖSTERGÖTLANDS LÄN</t>
        </is>
      </c>
      <c r="G247" t="inlineStr">
        <is>
          <t>YDRE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45671</v>
      </c>
      <c r="E248" s="1" t="n">
        <v>46311</v>
      </c>
      <c r="F248" t="inlineStr">
        <is>
          <t>ÖSTERGÖTLANDS LÄN</t>
        </is>
      </c>
      <c r="G248" t="inlineStr">
        <is>
          <t>YDRE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46311</v>
      </c>
      <c r="F249" t="inlineStr">
        <is>
          <t>ÖSTERGÖTLANDS LÄN</t>
        </is>
      </c>
      <c r="G249" t="inlineStr">
        <is>
          <t>YDRE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46311</v>
      </c>
      <c r="F250" t="inlineStr">
        <is>
          <t>ÖSTERGÖTLANDS LÄN</t>
        </is>
      </c>
      <c r="G250" t="inlineStr">
        <is>
          <t>YDRE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45406</v>
      </c>
      <c r="E251" s="1" t="n">
        <v>46311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46311</v>
      </c>
      <c r="F252" t="inlineStr">
        <is>
          <t>ÖSTERGÖTLANDS LÄN</t>
        </is>
      </c>
      <c r="G252" t="inlineStr">
        <is>
          <t>YDRE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46311</v>
      </c>
      <c r="F253" t="inlineStr">
        <is>
          <t>ÖSTERGÖTLANDS LÄN</t>
        </is>
      </c>
      <c r="G253" t="inlineStr">
        <is>
          <t>YDRE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46311</v>
      </c>
      <c r="F254" t="inlineStr">
        <is>
          <t>ÖSTERGÖTLANDS LÄN</t>
        </is>
      </c>
      <c r="G254" t="inlineStr">
        <is>
          <t>YDRE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46311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46311</v>
      </c>
      <c r="F256" t="inlineStr">
        <is>
          <t>ÖSTERGÖTLANDS LÄN</t>
        </is>
      </c>
      <c r="G256" t="inlineStr">
        <is>
          <t>YDRE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46311</v>
      </c>
      <c r="F257" t="inlineStr">
        <is>
          <t>ÖSTERGÖTLANDS LÄN</t>
        </is>
      </c>
      <c r="G257" t="inlineStr">
        <is>
          <t>YDRE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60244-2023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46311</v>
      </c>
      <c r="F258" t="inlineStr">
        <is>
          <t>ÖSTERGÖTLANDS LÄN</t>
        </is>
      </c>
      <c r="G258" t="inlineStr">
        <is>
          <t>YDRE</t>
        </is>
      </c>
      <c r="I258" t="n">
        <v>17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44592</v>
      </c>
      <c r="E259" s="1" t="n">
        <v>46311</v>
      </c>
      <c r="F259" t="inlineStr">
        <is>
          <t>ÖSTERGÖTLANDS LÄN</t>
        </is>
      </c>
      <c r="G259" t="inlineStr">
        <is>
          <t>YDRE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46311</v>
      </c>
      <c r="F260" t="inlineStr">
        <is>
          <t>ÖSTERGÖTLANDS LÄN</t>
        </is>
      </c>
      <c r="G260" t="inlineStr">
        <is>
          <t>YDRE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44903</v>
      </c>
      <c r="E261" s="1" t="n">
        <v>46311</v>
      </c>
      <c r="F261" t="inlineStr">
        <is>
          <t>ÖSTERGÖTLANDS LÄN</t>
        </is>
      </c>
      <c r="G261" t="inlineStr">
        <is>
          <t>YDRE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46311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7619-2024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45348</v>
      </c>
      <c r="E263" s="1" t="n">
        <v>46311</v>
      </c>
      <c r="F263" t="inlineStr">
        <is>
          <t>ÖSTERGÖTLANDS LÄN</t>
        </is>
      </c>
      <c r="G263" t="inlineStr">
        <is>
          <t>YDRE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44600</v>
      </c>
      <c r="E264" s="1" t="n">
        <v>46311</v>
      </c>
      <c r="F264" t="inlineStr">
        <is>
          <t>ÖSTERGÖTLANDS LÄN</t>
        </is>
      </c>
      <c r="G264" t="inlineStr">
        <is>
          <t>YDRE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46311</v>
      </c>
      <c r="F265" t="inlineStr">
        <is>
          <t>ÖSTERGÖTLANDS LÄN</t>
        </is>
      </c>
      <c r="G265" t="inlineStr">
        <is>
          <t>YDRE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49895-2025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45940</v>
      </c>
      <c r="E266" s="1" t="n">
        <v>46311</v>
      </c>
      <c r="F266" t="inlineStr">
        <is>
          <t>ÖSTERGÖTLANDS LÄN</t>
        </is>
      </c>
      <c r="G266" t="inlineStr">
        <is>
          <t>YDRE</t>
        </is>
      </c>
      <c r="H266" t="inlineStr">
        <is>
          <t>Kyrkan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46311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46311</v>
      </c>
      <c r="F268" t="inlineStr">
        <is>
          <t>ÖSTERGÖTLANDS LÄN</t>
        </is>
      </c>
      <c r="G268" t="inlineStr">
        <is>
          <t>YDRE</t>
        </is>
      </c>
      <c r="H268" t="inlineStr">
        <is>
          <t>Kyrkan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46311</v>
      </c>
      <c r="F269" t="inlineStr">
        <is>
          <t>ÖSTERGÖTLANDS LÄN</t>
        </is>
      </c>
      <c r="G269" t="inlineStr">
        <is>
          <t>YDRE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27700-2026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46190</v>
      </c>
      <c r="E270" s="1" t="n">
        <v>46311</v>
      </c>
      <c r="F270" t="inlineStr">
        <is>
          <t>ÖSTERGÖTLANDS LÄN</t>
        </is>
      </c>
      <c r="G270" t="inlineStr">
        <is>
          <t>YDRE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61636-2021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44501</v>
      </c>
      <c r="E271" s="1" t="n">
        <v>46311</v>
      </c>
      <c r="F271" t="inlineStr">
        <is>
          <t>ÖSTERGÖTLANDS LÄN</t>
        </is>
      </c>
      <c r="G271" t="inlineStr">
        <is>
          <t>YDRE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70448-2021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44536</v>
      </c>
      <c r="E272" s="1" t="n">
        <v>46311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46311</v>
      </c>
      <c r="F273" t="inlineStr">
        <is>
          <t>ÖSTERGÖTLANDS LÄN</t>
        </is>
      </c>
      <c r="G273" t="inlineStr">
        <is>
          <t>YDRE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46311</v>
      </c>
      <c r="F274" t="inlineStr">
        <is>
          <t>ÖSTERGÖTLANDS LÄN</t>
        </is>
      </c>
      <c r="G274" t="inlineStr">
        <is>
          <t>YDRE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46311</v>
      </c>
      <c r="F275" t="inlineStr">
        <is>
          <t>ÖSTERGÖTLANDS LÄN</t>
        </is>
      </c>
      <c r="G275" t="inlineStr">
        <is>
          <t>YDRE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46311</v>
      </c>
      <c r="F276" t="inlineStr">
        <is>
          <t>ÖSTERGÖTLANDS LÄN</t>
        </is>
      </c>
      <c r="G276" t="inlineStr">
        <is>
          <t>YDRE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44953</v>
      </c>
      <c r="E277" s="1" t="n">
        <v>46311</v>
      </c>
      <c r="F277" t="inlineStr">
        <is>
          <t>ÖSTERGÖTLANDS LÄN</t>
        </is>
      </c>
      <c r="G277" t="inlineStr">
        <is>
          <t>YDRE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46202</v>
      </c>
      <c r="E278" s="1" t="n">
        <v>46311</v>
      </c>
      <c r="F278" t="inlineStr">
        <is>
          <t>ÖSTERGÖTLANDS LÄN</t>
        </is>
      </c>
      <c r="G278" t="inlineStr">
        <is>
          <t>YDRE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29148-2026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46311</v>
      </c>
      <c r="F279" t="inlineStr">
        <is>
          <t>ÖSTERGÖTLANDS LÄN</t>
        </is>
      </c>
      <c r="G279" t="inlineStr">
        <is>
          <t>YDRE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46311</v>
      </c>
      <c r="F280" t="inlineStr">
        <is>
          <t>ÖSTERGÖTLANDS LÄN</t>
        </is>
      </c>
      <c r="G280" t="inlineStr">
        <is>
          <t>YDRE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45755</v>
      </c>
      <c r="E281" s="1" t="n">
        <v>46311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46311</v>
      </c>
      <c r="F282" t="inlineStr">
        <is>
          <t>ÖSTERGÖTLANDS LÄN</t>
        </is>
      </c>
      <c r="G282" t="inlineStr">
        <is>
          <t>YDRE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52389-2025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46311</v>
      </c>
      <c r="F283" t="inlineStr">
        <is>
          <t>ÖSTERGÖTLANDS LÄN</t>
        </is>
      </c>
      <c r="G283" t="inlineStr">
        <is>
          <t>YDRE</t>
        </is>
      </c>
      <c r="H283" t="inlineStr">
        <is>
          <t>Sveaskog</t>
        </is>
      </c>
      <c r="I283" t="n">
        <v>8.199999999999999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45077</v>
      </c>
      <c r="E284" s="1" t="n">
        <v>46311</v>
      </c>
      <c r="F284" t="inlineStr">
        <is>
          <t>ÖSTERGÖTLANDS LÄN</t>
        </is>
      </c>
      <c r="G284" t="inlineStr">
        <is>
          <t>YDRE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52397-2025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46311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46311</v>
      </c>
      <c r="F286" t="inlineStr">
        <is>
          <t>ÖSTERGÖTLANDS LÄN</t>
        </is>
      </c>
      <c r="G286" t="inlineStr">
        <is>
          <t>YDRE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45665</v>
      </c>
      <c r="E287" s="1" t="n">
        <v>46311</v>
      </c>
      <c r="F287" t="inlineStr">
        <is>
          <t>ÖSTERGÖTLANDS LÄN</t>
        </is>
      </c>
      <c r="G287" t="inlineStr">
        <is>
          <t>YDRE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46311</v>
      </c>
      <c r="F288" t="inlineStr">
        <is>
          <t>ÖSTERGÖTLANDS LÄN</t>
        </is>
      </c>
      <c r="G288" t="inlineStr">
        <is>
          <t>YDRE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46269</v>
      </c>
      <c r="E289" s="1" t="n">
        <v>46311</v>
      </c>
      <c r="F289" t="inlineStr">
        <is>
          <t>ÖSTERGÖTLANDS LÄN</t>
        </is>
      </c>
      <c r="G289" t="inlineStr">
        <is>
          <t>YDRE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46311</v>
      </c>
      <c r="F290" t="inlineStr">
        <is>
          <t>ÖSTERGÖTLANDS LÄN</t>
        </is>
      </c>
      <c r="G290" t="inlineStr">
        <is>
          <t>YDRE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46311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54066-2025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45964</v>
      </c>
      <c r="E292" s="1" t="n">
        <v>46311</v>
      </c>
      <c r="F292" t="inlineStr">
        <is>
          <t>ÖSTERGÖTLANDS LÄN</t>
        </is>
      </c>
      <c r="G292" t="inlineStr">
        <is>
          <t>YDRE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54059-2025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46311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54063-2025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46311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46273</v>
      </c>
      <c r="E295" s="1" t="n">
        <v>46311</v>
      </c>
      <c r="F295" t="inlineStr">
        <is>
          <t>ÖSTERGÖTLANDS LÄN</t>
        </is>
      </c>
      <c r="G295" t="inlineStr">
        <is>
          <t>YDRE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46311</v>
      </c>
      <c r="F296" t="inlineStr">
        <is>
          <t>ÖSTERGÖTLANDS LÄN</t>
        </is>
      </c>
      <c r="G296" t="inlineStr">
        <is>
          <t>YDRE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46273</v>
      </c>
      <c r="E297" s="1" t="n">
        <v>46311</v>
      </c>
      <c r="F297" t="inlineStr">
        <is>
          <t>ÖSTERGÖTLANDS LÄN</t>
        </is>
      </c>
      <c r="G297" t="inlineStr">
        <is>
          <t>YDRE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46311</v>
      </c>
      <c r="F298" t="inlineStr">
        <is>
          <t>ÖSTERGÖTLANDS LÄN</t>
        </is>
      </c>
      <c r="G298" t="inlineStr">
        <is>
          <t>YDRE</t>
        </is>
      </c>
      <c r="H298" t="inlineStr">
        <is>
          <t>Sveaskog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46311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46311</v>
      </c>
      <c r="F300" t="inlineStr">
        <is>
          <t>ÖSTERGÖTLANDS LÄN</t>
        </is>
      </c>
      <c r="G300" t="inlineStr">
        <is>
          <t>YDRE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46273</v>
      </c>
      <c r="E301" s="1" t="n">
        <v>46311</v>
      </c>
      <c r="F301" t="inlineStr">
        <is>
          <t>ÖSTERGÖTLANDS LÄN</t>
        </is>
      </c>
      <c r="G301" t="inlineStr">
        <is>
          <t>YDRE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46311</v>
      </c>
      <c r="F302" t="inlineStr">
        <is>
          <t>ÖSTERGÖTLANDS LÄN</t>
        </is>
      </c>
      <c r="G302" t="inlineStr">
        <is>
          <t>YDRE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46311</v>
      </c>
      <c r="F303" t="inlineStr">
        <is>
          <t>ÖSTERGÖTLANDS LÄN</t>
        </is>
      </c>
      <c r="G303" t="inlineStr">
        <is>
          <t>YDRE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46311</v>
      </c>
      <c r="F304" t="inlineStr">
        <is>
          <t>ÖSTERGÖTLANDS LÄN</t>
        </is>
      </c>
      <c r="G304" t="inlineStr">
        <is>
          <t>YDRE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46311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46311</v>
      </c>
      <c r="F306" t="inlineStr">
        <is>
          <t>ÖSTERGÖTLANDS LÄN</t>
        </is>
      </c>
      <c r="G306" t="inlineStr">
        <is>
          <t>YDRE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46311</v>
      </c>
      <c r="F307" t="inlineStr">
        <is>
          <t>ÖSTERGÖTLANDS LÄN</t>
        </is>
      </c>
      <c r="G307" t="inlineStr">
        <is>
          <t>YDRE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46275</v>
      </c>
      <c r="E308" s="1" t="n">
        <v>46311</v>
      </c>
      <c r="F308" t="inlineStr">
        <is>
          <t>ÖSTERGÖTLANDS LÄN</t>
        </is>
      </c>
      <c r="G308" t="inlineStr">
        <is>
          <t>YDRE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45355</v>
      </c>
      <c r="E309" s="1" t="n">
        <v>46311</v>
      </c>
      <c r="F309" t="inlineStr">
        <is>
          <t>ÖSTERGÖTLANDS LÄN</t>
        </is>
      </c>
      <c r="G309" t="inlineStr">
        <is>
          <t>YDRE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45664</v>
      </c>
      <c r="E310" s="1" t="n">
        <v>46311</v>
      </c>
      <c r="F310" t="inlineStr">
        <is>
          <t>ÖSTERGÖTLANDS LÄN</t>
        </is>
      </c>
      <c r="G310" t="inlineStr">
        <is>
          <t>YDRE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46280</v>
      </c>
      <c r="E311" s="1" t="n">
        <v>46311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49698-2024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46311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45085</v>
      </c>
      <c r="E313" s="1" t="n">
        <v>46311</v>
      </c>
      <c r="F313" t="inlineStr">
        <is>
          <t>ÖSTERGÖTLANDS LÄN</t>
        </is>
      </c>
      <c r="G313" t="inlineStr">
        <is>
          <t>YDRE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46282</v>
      </c>
      <c r="E314" s="1" t="n">
        <v>46311</v>
      </c>
      <c r="F314" t="inlineStr">
        <is>
          <t>ÖSTERGÖTLANDS LÄN</t>
        </is>
      </c>
      <c r="G314" t="inlineStr">
        <is>
          <t>YDRE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46282</v>
      </c>
      <c r="E315" s="1" t="n">
        <v>46311</v>
      </c>
      <c r="F315" t="inlineStr">
        <is>
          <t>ÖSTERGÖTLANDS LÄN</t>
        </is>
      </c>
      <c r="G315" t="inlineStr">
        <is>
          <t>YDRE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46311</v>
      </c>
      <c r="F316" t="inlineStr">
        <is>
          <t>ÖSTERGÖTLANDS LÄN</t>
        </is>
      </c>
      <c r="G316" t="inlineStr">
        <is>
          <t>YDRE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46311</v>
      </c>
      <c r="F317" t="inlineStr">
        <is>
          <t>ÖSTERGÖTLANDS LÄN</t>
        </is>
      </c>
      <c r="G317" t="inlineStr">
        <is>
          <t>YDRE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46311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46311</v>
      </c>
      <c r="F319" t="inlineStr">
        <is>
          <t>ÖSTERGÖTLANDS LÄN</t>
        </is>
      </c>
      <c r="G319" t="inlineStr">
        <is>
          <t>YDRE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45460</v>
      </c>
      <c r="E320" s="1" t="n">
        <v>46311</v>
      </c>
      <c r="F320" t="inlineStr">
        <is>
          <t>ÖSTERGÖTLANDS LÄN</t>
        </is>
      </c>
      <c r="G320" t="inlineStr">
        <is>
          <t>YDRE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46311</v>
      </c>
      <c r="F321" t="inlineStr">
        <is>
          <t>ÖSTERGÖTLANDS LÄN</t>
        </is>
      </c>
      <c r="G321" t="inlineStr">
        <is>
          <t>YDRE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45666</v>
      </c>
      <c r="E322" s="1" t="n">
        <v>46311</v>
      </c>
      <c r="F322" t="inlineStr">
        <is>
          <t>ÖSTERGÖTLANDS LÄN</t>
        </is>
      </c>
      <c r="G322" t="inlineStr">
        <is>
          <t>YDRE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44994</v>
      </c>
      <c r="E323" s="1" t="n">
        <v>46311</v>
      </c>
      <c r="F323" t="inlineStr">
        <is>
          <t>ÖSTERGÖTLANDS LÄN</t>
        </is>
      </c>
      <c r="G323" t="inlineStr">
        <is>
          <t>YDRE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44635</v>
      </c>
      <c r="E324" s="1" t="n">
        <v>46311</v>
      </c>
      <c r="F324" t="inlineStr">
        <is>
          <t>ÖSTERGÖTLANDS LÄN</t>
        </is>
      </c>
      <c r="G324" t="inlineStr">
        <is>
          <t>YDRE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46240</v>
      </c>
      <c r="E325" s="1" t="n">
        <v>46311</v>
      </c>
      <c r="F325" t="inlineStr">
        <is>
          <t>ÖSTERGÖTLANDS LÄN</t>
        </is>
      </c>
      <c r="G325" t="inlineStr">
        <is>
          <t>YDRE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46283</v>
      </c>
      <c r="E326" s="1" t="n">
        <v>46311</v>
      </c>
      <c r="F326" t="inlineStr">
        <is>
          <t>ÖSTERGÖTLANDS LÄN</t>
        </is>
      </c>
      <c r="G326" t="inlineStr">
        <is>
          <t>YDRE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38613-2026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46283</v>
      </c>
      <c r="E327" s="1" t="n">
        <v>46311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46286</v>
      </c>
      <c r="E328" s="1" t="n">
        <v>46311</v>
      </c>
      <c r="F328" t="inlineStr">
        <is>
          <t>ÖSTERGÖTLANDS LÄN</t>
        </is>
      </c>
      <c r="G328" t="inlineStr">
        <is>
          <t>YDRE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46286</v>
      </c>
      <c r="E329" s="1" t="n">
        <v>46311</v>
      </c>
      <c r="F329" t="inlineStr">
        <is>
          <t>ÖSTERGÖTLANDS LÄN</t>
        </is>
      </c>
      <c r="G329" t="inlineStr">
        <is>
          <t>YDRE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45665</v>
      </c>
      <c r="E330" s="1" t="n">
        <v>46311</v>
      </c>
      <c r="F330" t="inlineStr">
        <is>
          <t>ÖSTERGÖTLANDS LÄN</t>
        </is>
      </c>
      <c r="G330" t="inlineStr">
        <is>
          <t>YDRE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45110</v>
      </c>
      <c r="E331" s="1" t="n">
        <v>46311</v>
      </c>
      <c r="F331" t="inlineStr">
        <is>
          <t>ÖSTERGÖTLANDS LÄN</t>
        </is>
      </c>
      <c r="G331" t="inlineStr">
        <is>
          <t>YDRE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46240</v>
      </c>
      <c r="E332" s="1" t="n">
        <v>46311</v>
      </c>
      <c r="F332" t="inlineStr">
        <is>
          <t>ÖSTERGÖTLANDS LÄN</t>
        </is>
      </c>
      <c r="G332" t="inlineStr">
        <is>
          <t>YDRE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38606-2026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46283</v>
      </c>
      <c r="E333" s="1" t="n">
        <v>46311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46283</v>
      </c>
      <c r="E334" s="1" t="n">
        <v>46311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50977-2023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45218</v>
      </c>
      <c r="E335" s="1" t="n">
        <v>46311</v>
      </c>
      <c r="F335" t="inlineStr">
        <is>
          <t>ÖSTERGÖTLANDS LÄN</t>
        </is>
      </c>
      <c r="G335" t="inlineStr">
        <is>
          <t>YDRE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46311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45236</v>
      </c>
      <c r="E337" s="1" t="n">
        <v>46311</v>
      </c>
      <c r="F337" t="inlineStr">
        <is>
          <t>ÖSTERGÖTLANDS LÄN</t>
        </is>
      </c>
      <c r="G337" t="inlineStr">
        <is>
          <t>YDRE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45714</v>
      </c>
      <c r="E338" s="1" t="n">
        <v>46311</v>
      </c>
      <c r="F338" t="inlineStr">
        <is>
          <t>ÖSTERGÖTLANDS LÄN</t>
        </is>
      </c>
      <c r="G338" t="inlineStr">
        <is>
          <t>YDRE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49967-2024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45597</v>
      </c>
      <c r="E339" s="1" t="n">
        <v>46311</v>
      </c>
      <c r="F339" t="inlineStr">
        <is>
          <t>ÖSTERGÖTLANDS LÄN</t>
        </is>
      </c>
      <c r="G339" t="inlineStr">
        <is>
          <t>YDRE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45054</v>
      </c>
      <c r="E340" s="1" t="n">
        <v>46311</v>
      </c>
      <c r="F340" t="inlineStr">
        <is>
          <t>ÖSTERGÖTLANDS LÄN</t>
        </is>
      </c>
      <c r="G340" t="inlineStr">
        <is>
          <t>YDRE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46311</v>
      </c>
      <c r="F341" t="inlineStr">
        <is>
          <t>ÖSTERGÖTLANDS LÄN</t>
        </is>
      </c>
      <c r="G341" t="inlineStr">
        <is>
          <t>YDRE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46311</v>
      </c>
      <c r="F342" t="inlineStr">
        <is>
          <t>ÖSTERGÖTLANDS LÄN</t>
        </is>
      </c>
      <c r="G342" t="inlineStr">
        <is>
          <t>YDRE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46311</v>
      </c>
      <c r="F343" t="inlineStr">
        <is>
          <t>ÖSTERGÖTLANDS LÄN</t>
        </is>
      </c>
      <c r="G343" t="inlineStr">
        <is>
          <t>YDRE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45432</v>
      </c>
      <c r="E344" s="1" t="n">
        <v>46311</v>
      </c>
      <c r="F344" t="inlineStr">
        <is>
          <t>ÖSTERGÖTLANDS LÄN</t>
        </is>
      </c>
      <c r="G344" t="inlineStr">
        <is>
          <t>YDRE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59589-2024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45638</v>
      </c>
      <c r="E345" s="1" t="n">
        <v>46311</v>
      </c>
      <c r="F345" t="inlineStr">
        <is>
          <t>ÖSTERGÖTLANDS LÄN</t>
        </is>
      </c>
      <c r="G345" t="inlineStr">
        <is>
          <t>YDRE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17277-2024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45414</v>
      </c>
      <c r="E346" s="1" t="n">
        <v>46311</v>
      </c>
      <c r="F346" t="inlineStr">
        <is>
          <t>ÖSTERGÖTLANDS LÄN</t>
        </is>
      </c>
      <c r="G346" t="inlineStr">
        <is>
          <t>YDRE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45414</v>
      </c>
      <c r="E347" s="1" t="n">
        <v>46311</v>
      </c>
      <c r="F347" t="inlineStr">
        <is>
          <t>ÖSTERGÖTLANDS LÄN</t>
        </is>
      </c>
      <c r="G347" t="inlineStr">
        <is>
          <t>YDRE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45110</v>
      </c>
      <c r="E348" s="1" t="n">
        <v>46311</v>
      </c>
      <c r="F348" t="inlineStr">
        <is>
          <t>ÖSTERGÖTLANDS LÄN</t>
        </is>
      </c>
      <c r="G348" t="inlineStr">
        <is>
          <t>YDRE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26101-2024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45468</v>
      </c>
      <c r="E349" s="1" t="n">
        <v>46311</v>
      </c>
      <c r="F349" t="inlineStr">
        <is>
          <t>ÖSTERGÖTLANDS LÄN</t>
        </is>
      </c>
      <c r="G349" t="inlineStr">
        <is>
          <t>YDRE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39734-2026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46290</v>
      </c>
      <c r="E350" s="1" t="n">
        <v>46311</v>
      </c>
      <c r="F350" t="inlineStr">
        <is>
          <t>ÖSTERGÖTLANDS LÄN</t>
        </is>
      </c>
      <c r="G350" t="inlineStr">
        <is>
          <t>YDRE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46311</v>
      </c>
      <c r="F351" t="inlineStr">
        <is>
          <t>ÖSTERGÖTLANDS LÄN</t>
        </is>
      </c>
      <c r="G351" t="inlineStr">
        <is>
          <t>YDRE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45492</v>
      </c>
      <c r="E352" s="1" t="n">
        <v>46311</v>
      </c>
      <c r="F352" t="inlineStr">
        <is>
          <t>ÖSTERGÖTLANDS LÄN</t>
        </is>
      </c>
      <c r="G352" t="inlineStr">
        <is>
          <t>YDRE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46311</v>
      </c>
      <c r="F353" t="inlineStr">
        <is>
          <t>ÖSTERGÖTLANDS LÄN</t>
        </is>
      </c>
      <c r="G353" t="inlineStr">
        <is>
          <t>YDRE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45666</v>
      </c>
      <c r="E354" s="1" t="n">
        <v>46311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60138-2025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46311</v>
      </c>
      <c r="F355" t="inlineStr">
        <is>
          <t>ÖSTERGÖTLANDS LÄN</t>
        </is>
      </c>
      <c r="G355" t="inlineStr">
        <is>
          <t>YDRE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46311</v>
      </c>
      <c r="F356" t="inlineStr">
        <is>
          <t>ÖSTERGÖTLANDS LÄN</t>
        </is>
      </c>
      <c r="G356" t="inlineStr">
        <is>
          <t>YDRE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62245-2025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46311</v>
      </c>
      <c r="F357" t="inlineStr">
        <is>
          <t>ÖSTERGÖTLANDS LÄN</t>
        </is>
      </c>
      <c r="G357" t="inlineStr">
        <is>
          <t>YDRE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46006</v>
      </c>
      <c r="E358" s="1" t="n">
        <v>46311</v>
      </c>
      <c r="F358" t="inlineStr">
        <is>
          <t>ÖSTERGÖTLANDS LÄN</t>
        </is>
      </c>
      <c r="G358" t="inlineStr">
        <is>
          <t>YDRE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45475</v>
      </c>
      <c r="E359" s="1" t="n">
        <v>46311</v>
      </c>
      <c r="F359" t="inlineStr">
        <is>
          <t>ÖSTERGÖTLANDS LÄN</t>
        </is>
      </c>
      <c r="G359" t="inlineStr">
        <is>
          <t>YDRE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46311</v>
      </c>
      <c r="F360" t="inlineStr">
        <is>
          <t>ÖSTERGÖTLANDS LÄN</t>
        </is>
      </c>
      <c r="G360" t="inlineStr">
        <is>
          <t>YDRE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46311</v>
      </c>
      <c r="F361" t="inlineStr">
        <is>
          <t>ÖSTERGÖTLANDS LÄN</t>
        </is>
      </c>
      <c r="G361" t="inlineStr">
        <is>
          <t>YDRE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46311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46007</v>
      </c>
      <c r="E363" s="1" t="n">
        <v>46311</v>
      </c>
      <c r="F363" t="inlineStr">
        <is>
          <t>ÖSTERGÖTLANDS LÄN</t>
        </is>
      </c>
      <c r="G363" t="inlineStr">
        <is>
          <t>YDRE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46311</v>
      </c>
      <c r="F364" t="inlineStr">
        <is>
          <t>ÖSTERGÖTLANDS LÄN</t>
        </is>
      </c>
      <c r="G364" t="inlineStr">
        <is>
          <t>YDRE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46311</v>
      </c>
      <c r="F365" t="inlineStr">
        <is>
          <t>ÖSTERGÖTLANDS LÄN</t>
        </is>
      </c>
      <c r="G365" t="inlineStr">
        <is>
          <t>YDRE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46311</v>
      </c>
      <c r="F366" t="inlineStr">
        <is>
          <t>ÖSTERGÖTLANDS LÄN</t>
        </is>
      </c>
      <c r="G366" t="inlineStr">
        <is>
          <t>YDRE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9997-2025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45719</v>
      </c>
      <c r="E367" s="1" t="n">
        <v>46311</v>
      </c>
      <c r="F367" t="inlineStr">
        <is>
          <t>ÖSTERGÖTLANDS LÄN</t>
        </is>
      </c>
      <c r="G367" t="inlineStr">
        <is>
          <t>YDRE</t>
        </is>
      </c>
      <c r="H367" t="inlineStr">
        <is>
          <t>Övriga Aktiebolag</t>
        </is>
      </c>
      <c r="I367" t="n">
        <v>18.2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10414-2024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45365</v>
      </c>
      <c r="E368" s="1" t="n">
        <v>46311</v>
      </c>
      <c r="F368" t="inlineStr">
        <is>
          <t>ÖSTERGÖTLANDS LÄN</t>
        </is>
      </c>
      <c r="G368" t="inlineStr">
        <is>
          <t>YDRE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63536-2025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46311</v>
      </c>
      <c r="F369" t="inlineStr">
        <is>
          <t>ÖSTERGÖTLANDS LÄN</t>
        </is>
      </c>
      <c r="G369" t="inlineStr">
        <is>
          <t>YDRE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63538-2025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46311</v>
      </c>
      <c r="F370" t="inlineStr">
        <is>
          <t>ÖSTERGÖTLANDS LÄN</t>
        </is>
      </c>
      <c r="G370" t="inlineStr">
        <is>
          <t>YDRE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46311</v>
      </c>
      <c r="F371" t="inlineStr">
        <is>
          <t>ÖSTERGÖTLANDS LÄN</t>
        </is>
      </c>
      <c r="G371" t="inlineStr">
        <is>
          <t>YDRE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45796</v>
      </c>
      <c r="E372" s="1" t="n">
        <v>46311</v>
      </c>
      <c r="F372" t="inlineStr">
        <is>
          <t>ÖSTERGÖTLANDS LÄN</t>
        </is>
      </c>
      <c r="G372" t="inlineStr">
        <is>
          <t>YDRE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63998-2025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46021</v>
      </c>
      <c r="E373" s="1" t="n">
        <v>46311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46311</v>
      </c>
      <c r="F374" t="inlineStr">
        <is>
          <t>ÖSTERGÖTLANDS LÄN</t>
        </is>
      </c>
      <c r="G374" t="inlineStr">
        <is>
          <t>YDRE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46258</v>
      </c>
      <c r="E375" s="1" t="n">
        <v>46311</v>
      </c>
      <c r="F375" t="inlineStr">
        <is>
          <t>ÖSTERGÖTLANDS LÄN</t>
        </is>
      </c>
      <c r="G375" t="inlineStr">
        <is>
          <t>YDRE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46311</v>
      </c>
      <c r="F376" t="inlineStr">
        <is>
          <t>ÖSTERGÖTLANDS LÄN</t>
        </is>
      </c>
      <c r="G376" t="inlineStr">
        <is>
          <t>YDRE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46311</v>
      </c>
      <c r="F377" t="inlineStr">
        <is>
          <t>ÖSTERGÖTLANDS LÄN</t>
        </is>
      </c>
      <c r="G377" t="inlineStr">
        <is>
          <t>YDRE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46311</v>
      </c>
      <c r="F378" t="inlineStr">
        <is>
          <t>ÖSTERGÖTLANDS LÄN</t>
        </is>
      </c>
      <c r="G378" t="inlineStr">
        <is>
          <t>YDRE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46303</v>
      </c>
      <c r="E379" s="1" t="n">
        <v>46311</v>
      </c>
      <c r="F379" t="inlineStr">
        <is>
          <t>ÖSTERGÖTLANDS LÄN</t>
        </is>
      </c>
      <c r="G379" t="inlineStr">
        <is>
          <t>YDRE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46303</v>
      </c>
      <c r="E380" s="1" t="n">
        <v>46311</v>
      </c>
      <c r="F380" t="inlineStr">
        <is>
          <t>ÖSTERGÖTLANDS LÄN</t>
        </is>
      </c>
      <c r="G380" t="inlineStr">
        <is>
          <t>YDRE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42156-2026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46304</v>
      </c>
      <c r="E381" s="1" t="n">
        <v>46311</v>
      </c>
      <c r="F381" t="inlineStr">
        <is>
          <t>ÖSTERGÖTLANDS LÄN</t>
        </is>
      </c>
      <c r="G381" t="inlineStr">
        <is>
          <t>YDRE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46304</v>
      </c>
      <c r="E382" s="1" t="n">
        <v>46311</v>
      </c>
      <c r="F382" t="inlineStr">
        <is>
          <t>ÖSTERGÖTLANDS LÄN</t>
        </is>
      </c>
      <c r="G382" t="inlineStr">
        <is>
          <t>YDRE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46036</v>
      </c>
      <c r="E383" s="1" t="n">
        <v>46311</v>
      </c>
      <c r="F383" t="inlineStr">
        <is>
          <t>ÖSTERGÖTLANDS LÄN</t>
        </is>
      </c>
      <c r="G383" t="inlineStr">
        <is>
          <t>YDRE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46311</v>
      </c>
      <c r="F384" t="inlineStr">
        <is>
          <t>ÖSTERGÖTLANDS LÄN</t>
        </is>
      </c>
      <c r="G384" t="inlineStr">
        <is>
          <t>YDRE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46311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46311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46311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46308</v>
      </c>
      <c r="E388" s="1" t="n">
        <v>46311</v>
      </c>
      <c r="F388" t="inlineStr">
        <is>
          <t>ÖSTERGÖTLANDS LÄN</t>
        </is>
      </c>
      <c r="G388" t="inlineStr">
        <is>
          <t>YDRE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6293-2026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46055</v>
      </c>
      <c r="E389" s="1" t="n">
        <v>46311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46310</v>
      </c>
      <c r="E390" s="1" t="n">
        <v>46311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46311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46311</v>
      </c>
      <c r="F392" t="inlineStr">
        <is>
          <t>ÖSTERGÖTLANDS LÄN</t>
        </is>
      </c>
      <c r="G392" t="inlineStr">
        <is>
          <t>YDRE</t>
        </is>
      </c>
      <c r="H392" t="inlineStr">
        <is>
          <t>Övriga Aktiebolag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46311</v>
      </c>
      <c r="F393" t="inlineStr">
        <is>
          <t>ÖSTERGÖTLANDS LÄN</t>
        </is>
      </c>
      <c r="G393" t="inlineStr">
        <is>
          <t>YDRE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46311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9409-2026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46311</v>
      </c>
      <c r="F395" t="inlineStr">
        <is>
          <t>ÖSTERGÖTLANDS LÄN</t>
        </is>
      </c>
      <c r="G395" t="inlineStr">
        <is>
          <t>YDRE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46311</v>
      </c>
      <c r="F396" t="inlineStr">
        <is>
          <t>ÖSTERGÖTLANDS LÄN</t>
        </is>
      </c>
      <c r="G396" t="inlineStr">
        <is>
          <t>YDRE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416-2022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44585</v>
      </c>
      <c r="E397" s="1" t="n">
        <v>46311</v>
      </c>
      <c r="F397" t="inlineStr">
        <is>
          <t>ÖSTERGÖTLANDS LÄN</t>
        </is>
      </c>
      <c r="G397" t="inlineStr">
        <is>
          <t>YDRE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2053-2025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45839</v>
      </c>
      <c r="E398" s="1" t="n">
        <v>46311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2604-2025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45916</v>
      </c>
      <c r="E399" s="1" t="n">
        <v>46311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3063-2025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45964</v>
      </c>
      <c r="E400" s="1" t="n">
        <v>46311</v>
      </c>
      <c r="F400" t="inlineStr">
        <is>
          <t>ÖSTERGÖTLANDS LÄN</t>
        </is>
      </c>
      <c r="G400" t="inlineStr">
        <is>
          <t>YDRE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384-2026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46066</v>
      </c>
      <c r="E401" s="1" t="n">
        <v>46311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2485-2026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46287</v>
      </c>
      <c r="E402" s="1" t="n">
        <v>46311</v>
      </c>
      <c r="F402" t="inlineStr">
        <is>
          <t>ÖSTERGÖTLANDS LÄN</t>
        </is>
      </c>
      <c r="G402" t="inlineStr">
        <is>
          <t>YDRE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2026-10-16T02:21:13Z</dcterms:created>
  <dcterms:modified xmlns:dcterms="http://purl.org/dc/terms/" xmlns:xsi="http://www.w3.org/2001/XMLSchema-instance" xsi:type="dcterms:W3CDTF">2026-10-16T02:21:14Z</dcterms:modified>
</cp:coreProperties>
</file>