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62483-2021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44503</v>
      </c>
      <c r="E2" s="1" t="n">
        <v>46326</v>
      </c>
      <c r="F2" t="inlineStr">
        <is>
          <t>ÖSTERGÖTLANDS LÄN</t>
        </is>
      </c>
      <c r="G2" t="inlineStr">
        <is>
          <t>YDRE</t>
        </is>
      </c>
      <c r="H2" t="inlineStr">
        <is>
          <t>Sveaskog</t>
        </is>
      </c>
      <c r="I2" t="n">
        <v>1.4</v>
      </c>
      <c r="J2" t="n">
        <v>15</v>
      </c>
      <c r="K2" t="n">
        <v>0</v>
      </c>
      <c r="L2" t="n">
        <v>6</v>
      </c>
      <c r="M2" t="n">
        <v>2</v>
      </c>
      <c r="N2" t="n">
        <v>0</v>
      </c>
      <c r="O2" t="n">
        <v>0</v>
      </c>
      <c r="P2" t="n">
        <v>0</v>
      </c>
      <c r="Q2" t="n">
        <v>8</v>
      </c>
      <c r="R2" t="n">
        <v>2</v>
      </c>
      <c r="S2" t="n">
        <v>15</v>
      </c>
      <c r="T2" t="n">
        <v>17</v>
      </c>
      <c r="U2" t="n">
        <v>17</v>
      </c>
      <c r="V2" s="2" t="inlineStr">
        <is>
          <t>Grönfink
Stare
Enkelbeckasin
Gulsparv
Järnsparv
Nötkråka
Sparvuggla
Talltita
Spillkråka
Havsörn
Kråka
Kungsfågel
Orre
Sångsvan
Trana</t>
        </is>
      </c>
      <c r="W2">
        <f>HYPERLINK("https://klasma.github.io/Logging_0512/artfynd/A 62483-2021 artfynd.xlsx", "A 62483-2021")</f>
        <v/>
      </c>
      <c r="X2">
        <f>HYPERLINK("https://klasma.github.io/Logging_0512/kartor/A 62483-2021 karta.png", "A 62483-2021")</f>
        <v/>
      </c>
      <c r="Y2">
        <f>HYPERLINK("https://klasma.github.io/Logging_0512/kartor_geotiff/A 62483-2021 georefererad karta.tif", "A 62483-2021")</f>
        <v/>
      </c>
      <c r="AA2">
        <f>HYPERLINK("https://klasma.github.io/Logging_0512/klagomål/A 62483-2021 FSC-klagomål.docx", "A 62483-2021")</f>
        <v/>
      </c>
      <c r="AB2">
        <f>HYPERLINK("https://klasma.github.io/Logging_0512/klagomålsmail/A 62483-2021 FSC-klagomål mail.docx", "A 62483-2021")</f>
        <v/>
      </c>
      <c r="AC2">
        <f>HYPERLINK("https://klasma.github.io/Logging_0512/tillsyn/A 62483-2021 tillsynsbegäran.docx", "A 62483-2021")</f>
        <v/>
      </c>
      <c r="AD2">
        <f>HYPERLINK("https://klasma.github.io/Logging_0512/tillsynsmail/A 62483-2021 tillsynsbegäran mail.docx", "A 62483-2021")</f>
        <v/>
      </c>
      <c r="AE2">
        <f>HYPERLINK("https://klasma.github.io/Logging_0512/fåglar/A 62483-2021 prioriterade fågelarter.docx", "A 62483-2021")</f>
        <v/>
      </c>
    </row>
    <row r="3" ht="15" customHeight="1">
      <c r="A3" t="inlineStr">
        <is>
          <t>A 36721-2023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45153</v>
      </c>
      <c r="E3" s="1" t="n">
        <v>46326</v>
      </c>
      <c r="F3" t="inlineStr">
        <is>
          <t>ÖSTERGÖTLANDS LÄN</t>
        </is>
      </c>
      <c r="G3" t="inlineStr">
        <is>
          <t>YDRE</t>
        </is>
      </c>
      <c r="I3" t="n">
        <v>4</v>
      </c>
      <c r="J3" t="n">
        <v>2</v>
      </c>
      <c r="K3" t="n">
        <v>2</v>
      </c>
      <c r="L3" t="n">
        <v>2</v>
      </c>
      <c r="M3" t="n">
        <v>2</v>
      </c>
      <c r="N3" t="n">
        <v>0</v>
      </c>
      <c r="O3" t="n">
        <v>0</v>
      </c>
      <c r="P3" t="n">
        <v>0</v>
      </c>
      <c r="Q3" t="n">
        <v>4</v>
      </c>
      <c r="R3" t="n">
        <v>2</v>
      </c>
      <c r="S3" t="n">
        <v>7</v>
      </c>
      <c r="T3" t="n">
        <v>22</v>
      </c>
      <c r="U3" t="n">
        <v>22</v>
      </c>
      <c r="V3" s="2" t="inlineStr">
        <is>
          <t>Garnlav
Knärot
Brunpudrad nållav
Vedtrappmossa
Grönpyrola
Skinnlav
Tjäder</t>
        </is>
      </c>
      <c r="W3">
        <f>HYPERLINK("https://klasma.github.io/Logging_0512/artfynd/A 36721-2023 artfynd.xlsx", "A 36721-2023")</f>
        <v/>
      </c>
      <c r="X3">
        <f>HYPERLINK("https://klasma.github.io/Logging_0512/kartor/A 36721-2023 karta.png", "A 36721-2023")</f>
        <v/>
      </c>
      <c r="Y3">
        <f>HYPERLINK("https://klasma.github.io/Logging_0512/kartor_geotiff/A 36721-2023 georefererad karta.tif", "A 36721-2023")</f>
        <v/>
      </c>
      <c r="Z3">
        <f>HYPERLINK("https://klasma.github.io/Logging_0512/knärot/A 36721-2023 karta knärot.png", "A 36721-2023")</f>
        <v/>
      </c>
      <c r="AA3">
        <f>HYPERLINK("https://klasma.github.io/Logging_0512/klagomål/A 36721-2023 FSC-klagomål.docx", "A 36721-2023")</f>
        <v/>
      </c>
      <c r="AB3">
        <f>HYPERLINK("https://klasma.github.io/Logging_0512/klagomålsmail/A 36721-2023 FSC-klagomål mail.docx", "A 36721-2023")</f>
        <v/>
      </c>
      <c r="AC3">
        <f>HYPERLINK("https://klasma.github.io/Logging_0512/tillsyn/A 36721-2023 tillsynsbegäran.docx", "A 36721-2023")</f>
        <v/>
      </c>
      <c r="AD3">
        <f>HYPERLINK("https://klasma.github.io/Logging_0512/tillsynsmail/A 36721-2023 tillsynsbegäran mail.docx", "A 36721-2023")</f>
        <v/>
      </c>
      <c r="AE3">
        <f>HYPERLINK("https://klasma.github.io/Logging_0512/fåglar/A 36721-2023 prioriterade fågelarter.docx", "A 36721-2023")</f>
        <v/>
      </c>
    </row>
    <row r="4" ht="15" customHeight="1">
      <c r="A4" t="inlineStr">
        <is>
          <t>A 10001-2022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44621</v>
      </c>
      <c r="E4" s="1" t="n">
        <v>46326</v>
      </c>
      <c r="F4" t="inlineStr">
        <is>
          <t>ÖSTERGÖTLANDS LÄN</t>
        </is>
      </c>
      <c r="G4" t="inlineStr">
        <is>
          <t>YDRE</t>
        </is>
      </c>
      <c r="I4" t="n">
        <v>6.5</v>
      </c>
      <c r="J4" t="n">
        <v>0</v>
      </c>
      <c r="K4" t="n">
        <v>1</v>
      </c>
      <c r="L4" t="n">
        <v>4</v>
      </c>
      <c r="M4" t="n">
        <v>0</v>
      </c>
      <c r="N4" t="n">
        <v>0</v>
      </c>
      <c r="O4" t="n">
        <v>0</v>
      </c>
      <c r="P4" t="n">
        <v>0</v>
      </c>
      <c r="Q4" t="n">
        <v>4</v>
      </c>
      <c r="R4" t="n">
        <v>0</v>
      </c>
      <c r="S4" t="n">
        <v>5</v>
      </c>
      <c r="T4" t="n">
        <v>5</v>
      </c>
      <c r="U4" t="n">
        <v>0</v>
      </c>
      <c r="V4" s="2" t="inlineStr">
        <is>
          <t>Gammelekslav
Gul dropplav
Rosa skärelav
Skuggorangelav
Rostfläck</t>
        </is>
      </c>
      <c r="W4">
        <f>HYPERLINK("https://klasma.github.io/Logging_0512/artfynd/A 10001-2022 artfynd.xlsx", "A 10001-2022")</f>
        <v/>
      </c>
      <c r="X4">
        <f>HYPERLINK("https://klasma.github.io/Logging_0512/kartor/A 10001-2022 karta.png", "A 10001-2022")</f>
        <v/>
      </c>
      <c r="Y4">
        <f>HYPERLINK("https://klasma.github.io/Logging_0512/kartor_geotiff/A 10001-2022 georefererad karta.tif", "A 10001-2022")</f>
        <v/>
      </c>
      <c r="AA4">
        <f>HYPERLINK("https://klasma.github.io/Logging_0512/klagomål/A 10001-2022 FSC-klagomål.docx", "A 10001-2022")</f>
        <v/>
      </c>
      <c r="AB4">
        <f>HYPERLINK("https://klasma.github.io/Logging_0512/klagomålsmail/A 10001-2022 FSC-klagomål mail.docx", "A 10001-2022")</f>
        <v/>
      </c>
      <c r="AC4">
        <f>HYPERLINK("https://klasma.github.io/Logging_0512/tillsyn/A 10001-2022 tillsynsbegäran.docx", "A 10001-2022")</f>
        <v/>
      </c>
      <c r="AD4">
        <f>HYPERLINK("https://klasma.github.io/Logging_0512/tillsynsmail/A 10001-2022 tillsynsbegäran mail.docx", "A 10001-2022")</f>
        <v/>
      </c>
    </row>
    <row r="5" ht="15" customHeight="1">
      <c r="A5" t="inlineStr">
        <is>
          <t>A 38468-2026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46282</v>
      </c>
      <c r="E5" s="1" t="n">
        <v>46326</v>
      </c>
      <c r="F5" t="inlineStr">
        <is>
          <t>ÖSTERGÖTLANDS LÄN</t>
        </is>
      </c>
      <c r="G5" t="inlineStr">
        <is>
          <t>YDRE</t>
        </is>
      </c>
      <c r="I5" t="n">
        <v>2.1</v>
      </c>
      <c r="J5" t="n">
        <v>0</v>
      </c>
      <c r="K5" t="n">
        <v>1</v>
      </c>
      <c r="L5" t="n">
        <v>4</v>
      </c>
      <c r="M5" t="n">
        <v>0</v>
      </c>
      <c r="N5" t="n">
        <v>0</v>
      </c>
      <c r="O5" t="n">
        <v>0</v>
      </c>
      <c r="P5" t="n">
        <v>0</v>
      </c>
      <c r="Q5" t="n">
        <v>4</v>
      </c>
      <c r="R5" t="n">
        <v>0</v>
      </c>
      <c r="S5" t="n">
        <v>5</v>
      </c>
      <c r="T5" t="n">
        <v>5</v>
      </c>
      <c r="U5" t="n">
        <v>0</v>
      </c>
      <c r="V5" s="2" t="inlineStr">
        <is>
          <t>Gammelekslav
Gul dropplav
Rosa skärelav
Skuggorangelav
Rostfläck</t>
        </is>
      </c>
      <c r="W5">
        <f>HYPERLINK("https://klasma.github.io/Logging_0512/artfynd/A 38468-2026 artfynd.xlsx", "A 38468-2026")</f>
        <v/>
      </c>
      <c r="X5">
        <f>HYPERLINK("https://klasma.github.io/Logging_0512/kartor/A 38468-2026 karta.png", "A 38468-2026")</f>
        <v/>
      </c>
      <c r="Y5">
        <f>HYPERLINK("https://klasma.github.io/Logging_0512/kartor_geotiff/A 38468-2026 georefererad karta.tif", "A 38468-2026")</f>
        <v/>
      </c>
      <c r="AA5">
        <f>HYPERLINK("https://klasma.github.io/Logging_0512/klagomål/A 38468-2026 FSC-klagomål.docx", "A 38468-2026")</f>
        <v/>
      </c>
      <c r="AB5">
        <f>HYPERLINK("https://klasma.github.io/Logging_0512/klagomålsmail/A 38468-2026 FSC-klagomål mail.docx", "A 38468-2026")</f>
        <v/>
      </c>
      <c r="AC5">
        <f>HYPERLINK("https://klasma.github.io/Logging_0512/tillsyn/A 38468-2026 tillsynsbegäran.docx", "A 38468-2026")</f>
        <v/>
      </c>
      <c r="AD5">
        <f>HYPERLINK("https://klasma.github.io/Logging_0512/tillsynsmail/A 38468-2026 tillsynsbegäran mail.docx", "A 38468-2026")</f>
        <v/>
      </c>
    </row>
    <row r="6" ht="15" customHeight="1">
      <c r="A6" t="inlineStr">
        <is>
          <t>S 942-2024</t>
        </is>
      </c>
      <c r="B6" t="inlineStr">
        <is>
          <t>samrådsanmälan</t>
        </is>
      </c>
      <c r="C6" t="inlineStr">
        <is>
          <t>Annan skogsbruksåtgärd</t>
        </is>
      </c>
      <c r="D6" s="1" t="n">
        <v>45378</v>
      </c>
      <c r="E6" s="1" t="n">
        <v>46326</v>
      </c>
      <c r="F6" t="inlineStr">
        <is>
          <t>ÖSTERGÖTLANDS LÄN</t>
        </is>
      </c>
      <c r="G6" t="inlineStr">
        <is>
          <t>YDRE</t>
        </is>
      </c>
      <c r="H6" t="inlineStr">
        <is>
          <t>Sveaskog</t>
        </is>
      </c>
      <c r="I6" t="n">
        <v>2.4</v>
      </c>
      <c r="J6" t="n">
        <v>1</v>
      </c>
      <c r="K6" t="n">
        <v>2</v>
      </c>
      <c r="L6" t="n">
        <v>2</v>
      </c>
      <c r="M6" t="n">
        <v>1</v>
      </c>
      <c r="N6" t="n">
        <v>0</v>
      </c>
      <c r="O6" t="n">
        <v>0</v>
      </c>
      <c r="P6" t="n">
        <v>0</v>
      </c>
      <c r="Q6" t="n">
        <v>3</v>
      </c>
      <c r="R6" t="n">
        <v>1</v>
      </c>
      <c r="S6" t="n">
        <v>5</v>
      </c>
      <c r="T6" t="n">
        <v>11</v>
      </c>
      <c r="U6" t="n">
        <v>7</v>
      </c>
      <c r="V6" s="2" t="inlineStr">
        <is>
          <t>Knärot
Skrovlig flatbagge
Vedskivlav
Flagellkvastmossa
Gulnål</t>
        </is>
      </c>
      <c r="W6">
        <f>HYPERLINK("https://klasma.github.io/Logging_0512/artfynd/S 942-2024 artfynd.xlsx", "S 942-2024")</f>
        <v/>
      </c>
      <c r="X6">
        <f>HYPERLINK("https://klasma.github.io/Logging_0512/kartor/S 942-2024 karta.png", "S 942-2024")</f>
        <v/>
      </c>
      <c r="Y6">
        <f>HYPERLINK("https://klasma.github.io/Logging_0512/kartor_geotiff/S 942-2024 georefererad karta.tif", "S 942-2024")</f>
        <v/>
      </c>
      <c r="Z6">
        <f>HYPERLINK("https://klasma.github.io/Logging_0512/knärot/S 942-2024 karta knärot.png", "S 942-2024")</f>
        <v/>
      </c>
      <c r="AA6">
        <f>HYPERLINK("https://klasma.github.io/Logging_0512/klagomål/S 942-2024 FSC-klagomål.docx", "S 942-2024")</f>
        <v/>
      </c>
      <c r="AB6">
        <f>HYPERLINK("https://klasma.github.io/Logging_0512/klagomålsmail/S 942-2024 FSC-klagomål mail.docx", "S 942-2024")</f>
        <v/>
      </c>
      <c r="AC6">
        <f>HYPERLINK("https://klasma.github.io/Logging_0512/tillsyn/S 942-2024 tillsynsbegäran.docx", "S 942-2024")</f>
        <v/>
      </c>
      <c r="AD6">
        <f>HYPERLINK("https://klasma.github.io/Logging_0512/tillsynsmail/S 942-2024 tillsynsbegäran mail.docx", "S 942-2024")</f>
        <v/>
      </c>
    </row>
    <row r="7" ht="15" customHeight="1">
      <c r="A7" t="inlineStr">
        <is>
          <t>A 52405-2025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45954</v>
      </c>
      <c r="E7" s="1" t="n">
        <v>46326</v>
      </c>
      <c r="F7" t="inlineStr">
        <is>
          <t>ÖSTERGÖTLANDS LÄN</t>
        </is>
      </c>
      <c r="G7" t="inlineStr">
        <is>
          <t>YDRE</t>
        </is>
      </c>
      <c r="H7" t="inlineStr">
        <is>
          <t>Sveaskog</t>
        </is>
      </c>
      <c r="I7" t="n">
        <v>11.4</v>
      </c>
      <c r="J7" t="n">
        <v>1</v>
      </c>
      <c r="K7" t="n">
        <v>2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2</v>
      </c>
      <c r="R7" t="n">
        <v>1</v>
      </c>
      <c r="S7" t="n">
        <v>4</v>
      </c>
      <c r="T7" t="n">
        <v>4</v>
      </c>
      <c r="U7" t="n">
        <v>0</v>
      </c>
      <c r="V7" s="2" t="inlineStr">
        <is>
          <t>Knärot
Lunglav
Norrlandslav
Underviol</t>
        </is>
      </c>
      <c r="W7">
        <f>HYPERLINK("https://klasma.github.io/Logging_0512/artfynd/A 52405-2025 artfynd.xlsx", "A 52405-2025")</f>
        <v/>
      </c>
      <c r="X7">
        <f>HYPERLINK("https://klasma.github.io/Logging_0512/kartor/A 52405-2025 karta.png", "A 52405-2025")</f>
        <v/>
      </c>
      <c r="Y7">
        <f>HYPERLINK("https://klasma.github.io/Logging_0512/kartor_geotiff/A 52405-2025 georefererad karta.tif", "A 52405-2025")</f>
        <v/>
      </c>
      <c r="Z7">
        <f>HYPERLINK("https://klasma.github.io/Logging_0512/knärot/A 52405-2025 karta knärot.png", "A 52405-2025")</f>
        <v/>
      </c>
      <c r="AA7">
        <f>HYPERLINK("https://klasma.github.io/Logging_0512/klagomål/A 52405-2025 FSC-klagomål.docx", "A 52405-2025")</f>
        <v/>
      </c>
      <c r="AB7">
        <f>HYPERLINK("https://klasma.github.io/Logging_0512/klagomålsmail/A 52405-2025 FSC-klagomål mail.docx", "A 52405-2025")</f>
        <v/>
      </c>
      <c r="AC7">
        <f>HYPERLINK("https://klasma.github.io/Logging_0512/tillsyn/A 52405-2025 tillsynsbegäran.docx", "A 52405-2025")</f>
        <v/>
      </c>
      <c r="AD7">
        <f>HYPERLINK("https://klasma.github.io/Logging_0512/tillsynsmail/A 52405-2025 tillsynsbegäran mail.docx", "A 52405-2025")</f>
        <v/>
      </c>
    </row>
    <row r="8" ht="15" customHeight="1">
      <c r="A8" t="inlineStr">
        <is>
          <t>A 46582-2023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45198</v>
      </c>
      <c r="E8" s="1" t="n">
        <v>46326</v>
      </c>
      <c r="F8" t="inlineStr">
        <is>
          <t>ÖSTERGÖTLANDS LÄN</t>
        </is>
      </c>
      <c r="G8" t="inlineStr">
        <is>
          <t>YDRE</t>
        </is>
      </c>
      <c r="I8" t="n">
        <v>4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2</v>
      </c>
      <c r="R8" t="n">
        <v>1</v>
      </c>
      <c r="S8" t="n">
        <v>3</v>
      </c>
      <c r="T8" t="n">
        <v>6</v>
      </c>
      <c r="U8" t="n">
        <v>2</v>
      </c>
      <c r="V8" s="2" t="inlineStr">
        <is>
          <t>Knärot
Vedtrappmossa
Kornig nållav</t>
        </is>
      </c>
      <c r="W8">
        <f>HYPERLINK("https://klasma.github.io/Logging_0512/artfynd/A 46582-2023 artfynd.xlsx", "A 46582-2023")</f>
        <v/>
      </c>
      <c r="X8">
        <f>HYPERLINK("https://klasma.github.io/Logging_0512/kartor/A 46582-2023 karta.png", "A 46582-2023")</f>
        <v/>
      </c>
      <c r="Y8">
        <f>HYPERLINK("https://klasma.github.io/Logging_0512/kartor_geotiff/A 46582-2023 georefererad karta.tif", "A 46582-2023")</f>
        <v/>
      </c>
      <c r="Z8">
        <f>HYPERLINK("https://klasma.github.io/Logging_0512/knärot/A 46582-2023 karta knärot.png", "A 46582-2023")</f>
        <v/>
      </c>
      <c r="AA8">
        <f>HYPERLINK("https://klasma.github.io/Logging_0512/klagomål/A 46582-2023 FSC-klagomål.docx", "A 46582-2023")</f>
        <v/>
      </c>
      <c r="AB8">
        <f>HYPERLINK("https://klasma.github.io/Logging_0512/klagomålsmail/A 46582-2023 FSC-klagomål mail.docx", "A 46582-2023")</f>
        <v/>
      </c>
      <c r="AC8">
        <f>HYPERLINK("https://klasma.github.io/Logging_0512/tillsyn/A 46582-2023 tillsynsbegäran.docx", "A 46582-2023")</f>
        <v/>
      </c>
      <c r="AD8">
        <f>HYPERLINK("https://klasma.github.io/Logging_0512/tillsynsmail/A 46582-2023 tillsynsbegäran mail.docx", "A 46582-2023")</f>
        <v/>
      </c>
    </row>
    <row r="9" ht="15" customHeight="1">
      <c r="A9" t="inlineStr">
        <is>
          <t>A 8451-2025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45709</v>
      </c>
      <c r="E9" s="1" t="n">
        <v>46326</v>
      </c>
      <c r="F9" t="inlineStr">
        <is>
          <t>ÖSTERGÖTLANDS LÄN</t>
        </is>
      </c>
      <c r="G9" t="inlineStr">
        <is>
          <t>YDRE</t>
        </is>
      </c>
      <c r="I9" t="n">
        <v>1.1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3</v>
      </c>
      <c r="T9" t="n">
        <v>7</v>
      </c>
      <c r="U9" t="n">
        <v>0</v>
      </c>
      <c r="V9" s="2" t="inlineStr">
        <is>
          <t>Dunmossa
Skogshakmossa
Revlummer</t>
        </is>
      </c>
      <c r="W9">
        <f>HYPERLINK("https://klasma.github.io/Logging_0512/artfynd/A 8451-2025 artfynd.xlsx", "A 8451-2025")</f>
        <v/>
      </c>
      <c r="X9">
        <f>HYPERLINK("https://klasma.github.io/Logging_0512/kartor/A 8451-2025 karta.png", "A 8451-2025")</f>
        <v/>
      </c>
      <c r="Y9">
        <f>HYPERLINK("https://klasma.github.io/Logging_0512/kartor_geotiff/A 8451-2025 georefererad karta.tif", "A 8451-2025")</f>
        <v/>
      </c>
      <c r="AA9">
        <f>HYPERLINK("https://klasma.github.io/Logging_0512/klagomål/A 8451-2025 FSC-klagomål.docx", "A 8451-2025")</f>
        <v/>
      </c>
      <c r="AB9">
        <f>HYPERLINK("https://klasma.github.io/Logging_0512/klagomålsmail/A 8451-2025 FSC-klagomål mail.docx", "A 8451-2025")</f>
        <v/>
      </c>
      <c r="AC9">
        <f>HYPERLINK("https://klasma.github.io/Logging_0512/tillsyn/A 8451-2025 tillsynsbegäran.docx", "A 8451-2025")</f>
        <v/>
      </c>
      <c r="AD9">
        <f>HYPERLINK("https://klasma.github.io/Logging_0512/tillsynsmail/A 8451-2025 tillsynsbegäran mail.docx", "A 8451-2025")</f>
        <v/>
      </c>
    </row>
    <row r="10" ht="15" customHeight="1">
      <c r="A10" t="inlineStr">
        <is>
          <t>A 27469-2026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46189</v>
      </c>
      <c r="E10" s="1" t="n">
        <v>46326</v>
      </c>
      <c r="F10" t="inlineStr">
        <is>
          <t>ÖSTERGÖTLANDS LÄN</t>
        </is>
      </c>
      <c r="G10" t="inlineStr">
        <is>
          <t>YDRE</t>
        </is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2</v>
      </c>
      <c r="R10" t="n">
        <v>1</v>
      </c>
      <c r="S10" t="n">
        <v>3</v>
      </c>
      <c r="T10" t="n">
        <v>3</v>
      </c>
      <c r="U10" t="n">
        <v>0</v>
      </c>
      <c r="V10" s="2" t="inlineStr">
        <is>
          <t>Slåttergubbe
Svinrot
Gullviva</t>
        </is>
      </c>
      <c r="W10">
        <f>HYPERLINK("https://klasma.github.io/Logging_0512/artfynd/A 27469-2026 artfynd.xlsx", "A 27469-2026")</f>
        <v/>
      </c>
      <c r="X10">
        <f>HYPERLINK("https://klasma.github.io/Logging_0512/kartor/A 27469-2026 karta.png", "A 27469-2026")</f>
        <v/>
      </c>
      <c r="Y10">
        <f>HYPERLINK("https://klasma.github.io/Logging_0512/kartor_geotiff/A 27469-2026 georefererad karta.tif", "A 27469-2026")</f>
        <v/>
      </c>
      <c r="AA10">
        <f>HYPERLINK("https://klasma.github.io/Logging_0512/klagomål/A 27469-2026 FSC-klagomål.docx", "A 27469-2026")</f>
        <v/>
      </c>
      <c r="AB10">
        <f>HYPERLINK("https://klasma.github.io/Logging_0512/klagomålsmail/A 27469-2026 FSC-klagomål mail.docx", "A 27469-2026")</f>
        <v/>
      </c>
      <c r="AC10">
        <f>HYPERLINK("https://klasma.github.io/Logging_0512/tillsyn/A 27469-2026 tillsynsbegäran.docx", "A 27469-2026")</f>
        <v/>
      </c>
      <c r="AD10">
        <f>HYPERLINK("https://klasma.github.io/Logging_0512/tillsynsmail/A 27469-2026 tillsynsbegäran mail.docx", "A 27469-2026")</f>
        <v/>
      </c>
    </row>
    <row r="11" ht="15" customHeight="1">
      <c r="A11" t="inlineStr">
        <is>
          <t>S 2314-2025</t>
        </is>
      </c>
      <c r="B11" t="inlineStr">
        <is>
          <t>samrådsanmälan</t>
        </is>
      </c>
      <c r="C11" t="inlineStr">
        <is>
          <t>Annan skogsbruksåtgärd</t>
        </is>
      </c>
      <c r="D11" s="1" t="n">
        <v>45883</v>
      </c>
      <c r="E11" s="1" t="n">
        <v>46326</v>
      </c>
      <c r="F11" t="inlineStr">
        <is>
          <t>ÖSTERGÖTLANDS LÄN</t>
        </is>
      </c>
      <c r="G11" t="inlineStr">
        <is>
          <t>YDRE</t>
        </is>
      </c>
      <c r="H11" t="inlineStr">
        <is>
          <t>Övriga Aktiebolag</t>
        </is>
      </c>
      <c r="I11" t="n">
        <v>1.6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</v>
      </c>
      <c r="T11" t="n">
        <v>3</v>
      </c>
      <c r="U11" t="n">
        <v>3</v>
      </c>
      <c r="V11" s="2" t="inlineStr">
        <is>
          <t>Springkorn
Hässlebrodd
Grönvit nattviol</t>
        </is>
      </c>
      <c r="W11">
        <f>HYPERLINK("https://klasma.github.io/Logging_0512/artfynd/S 2314-2025 artfynd.xlsx", "S 2314-2025")</f>
        <v/>
      </c>
      <c r="X11">
        <f>HYPERLINK("https://klasma.github.io/Logging_0512/kartor/S 2314-2025 karta.png", "S 2314-2025")</f>
        <v/>
      </c>
      <c r="Y11">
        <f>HYPERLINK("https://klasma.github.io/Logging_0512/kartor_geotiff/S 2314-2025 georefererad karta.tif", "S 2314-2025")</f>
        <v/>
      </c>
      <c r="AA11">
        <f>HYPERLINK("https://klasma.github.io/Logging_0512/klagomål/S 2314-2025 FSC-klagomål.docx", "S 2314-2025")</f>
        <v/>
      </c>
      <c r="AB11">
        <f>HYPERLINK("https://klasma.github.io/Logging_0512/klagomålsmail/S 2314-2025 FSC-klagomål mail.docx", "S 2314-2025")</f>
        <v/>
      </c>
      <c r="AC11">
        <f>HYPERLINK("https://klasma.github.io/Logging_0512/tillsyn/S 2314-2025 tillsynsbegäran.docx", "S 2314-2025")</f>
        <v/>
      </c>
      <c r="AD11">
        <f>HYPERLINK("https://klasma.github.io/Logging_0512/tillsynsmail/S 2314-2025 tillsynsbegäran mail.docx", "S 2314-2025")</f>
        <v/>
      </c>
    </row>
    <row r="12" ht="15" customHeight="1">
      <c r="A12" t="inlineStr">
        <is>
          <t>A 63961-2021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44509</v>
      </c>
      <c r="E12" s="1" t="n">
        <v>46326</v>
      </c>
      <c r="F12" t="inlineStr">
        <is>
          <t>ÖSTERGÖTLANDS LÄN</t>
        </is>
      </c>
      <c r="G12" t="inlineStr">
        <is>
          <t>YDRE</t>
        </is>
      </c>
      <c r="I12" t="n">
        <v>3.1</v>
      </c>
      <c r="J12" t="n">
        <v>0</v>
      </c>
      <c r="K12" t="n">
        <v>0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0</v>
      </c>
      <c r="S12" t="n">
        <v>2</v>
      </c>
      <c r="T12" t="n">
        <v>2</v>
      </c>
      <c r="U12" t="n">
        <v>2</v>
      </c>
      <c r="V12" s="2" t="inlineStr">
        <is>
          <t>Crepis tectorum subsp. tectorum
Tallticka</t>
        </is>
      </c>
      <c r="W12">
        <f>HYPERLINK("https://klasma.github.io/Logging_0512/artfynd/A 63961-2021 artfynd.xlsx", "A 63961-2021")</f>
        <v/>
      </c>
      <c r="X12">
        <f>HYPERLINK("https://klasma.github.io/Logging_0512/kartor/A 63961-2021 karta.png", "A 63961-2021")</f>
        <v/>
      </c>
      <c r="Y12">
        <f>HYPERLINK("https://klasma.github.io/Logging_0512/kartor_geotiff/A 63961-2021 georefererad karta.tif", "A 63961-2021")</f>
        <v/>
      </c>
      <c r="AA12">
        <f>HYPERLINK("https://klasma.github.io/Logging_0512/klagomål/A 63961-2021 FSC-klagomål.docx", "A 63961-2021")</f>
        <v/>
      </c>
      <c r="AB12">
        <f>HYPERLINK("https://klasma.github.io/Logging_0512/klagomålsmail/A 63961-2021 FSC-klagomål mail.docx", "A 63961-2021")</f>
        <v/>
      </c>
      <c r="AC12">
        <f>HYPERLINK("https://klasma.github.io/Logging_0512/tillsyn/A 63961-2021 tillsynsbegäran.docx", "A 63961-2021")</f>
        <v/>
      </c>
      <c r="AD12">
        <f>HYPERLINK("https://klasma.github.io/Logging_0512/tillsynsmail/A 63961-2021 tillsynsbegäran mail.docx", "A 63961-2021")</f>
        <v/>
      </c>
    </row>
    <row r="13" ht="15" customHeight="1">
      <c r="A13" t="inlineStr">
        <is>
          <t>A 26030-2023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45091</v>
      </c>
      <c r="E13" s="1" t="n">
        <v>46326</v>
      </c>
      <c r="F13" t="inlineStr">
        <is>
          <t>ÖSTERGÖTLANDS LÄN</t>
        </is>
      </c>
      <c r="G13" t="inlineStr">
        <is>
          <t>YDRE</t>
        </is>
      </c>
      <c r="H13" t="inlineStr">
        <is>
          <t>Sveaskog</t>
        </is>
      </c>
      <c r="I13" t="n">
        <v>0.9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2</v>
      </c>
      <c r="T13" t="n">
        <v>2</v>
      </c>
      <c r="U13" t="n">
        <v>1</v>
      </c>
      <c r="V13" s="2" t="inlineStr">
        <is>
          <t>Aspelandsfibbla
Smal guldkornsfibbla</t>
        </is>
      </c>
      <c r="W13">
        <f>HYPERLINK("https://klasma.github.io/Logging_0512/artfynd/A 26030-2023 artfynd.xlsx", "A 26030-2023")</f>
        <v/>
      </c>
      <c r="X13">
        <f>HYPERLINK("https://klasma.github.io/Logging_0512/kartor/A 26030-2023 karta.png", "A 26030-2023")</f>
        <v/>
      </c>
      <c r="Y13">
        <f>HYPERLINK("https://klasma.github.io/Logging_0512/kartor_geotiff/A 26030-2023 georefererad karta.tif", "A 26030-2023")</f>
        <v/>
      </c>
      <c r="AA13">
        <f>HYPERLINK("https://klasma.github.io/Logging_0512/klagomål/A 26030-2023 FSC-klagomål.docx", "A 26030-2023")</f>
        <v/>
      </c>
      <c r="AB13">
        <f>HYPERLINK("https://klasma.github.io/Logging_0512/klagomålsmail/A 26030-2023 FSC-klagomål mail.docx", "A 26030-2023")</f>
        <v/>
      </c>
      <c r="AC13">
        <f>HYPERLINK("https://klasma.github.io/Logging_0512/tillsyn/A 26030-2023 tillsynsbegäran.docx", "A 26030-2023")</f>
        <v/>
      </c>
      <c r="AD13">
        <f>HYPERLINK("https://klasma.github.io/Logging_0512/tillsynsmail/A 26030-2023 tillsynsbegäran mail.docx", "A 26030-2023")</f>
        <v/>
      </c>
    </row>
    <row r="14" ht="15" customHeight="1">
      <c r="A14" t="inlineStr">
        <is>
          <t>A 23612-2025</t>
        </is>
      </c>
      <c r="B14" t="inlineStr">
        <is>
          <t>avverkningsanmälan</t>
        </is>
      </c>
      <c r="C14" t="inlineStr">
        <is>
          <t>Avverkning för annat ändamål</t>
        </is>
      </c>
      <c r="D14" s="1" t="n">
        <v>45792</v>
      </c>
      <c r="E14" s="1" t="n">
        <v>46326</v>
      </c>
      <c r="F14" t="inlineStr">
        <is>
          <t>ÖSTERGÖTLANDS LÄN</t>
        </is>
      </c>
      <c r="G14" t="inlineStr">
        <is>
          <t>YDRE</t>
        </is>
      </c>
      <c r="I14" t="n">
        <v>2.1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2</v>
      </c>
      <c r="T14" t="n">
        <v>2</v>
      </c>
      <c r="U14" t="n">
        <v>0</v>
      </c>
      <c r="V14" s="2" t="inlineStr">
        <is>
          <t>Tallticka
Blomkålssvamp</t>
        </is>
      </c>
      <c r="W14">
        <f>HYPERLINK("https://klasma.github.io/Logging_0512/artfynd/A 23612-2025 artfynd.xlsx", "A 23612-2025")</f>
        <v/>
      </c>
      <c r="X14">
        <f>HYPERLINK("https://klasma.github.io/Logging_0512/kartor/A 23612-2025 karta.png", "A 23612-2025")</f>
        <v/>
      </c>
      <c r="Y14">
        <f>HYPERLINK("https://klasma.github.io/Logging_0512/kartor_geotiff/A 23612-2025 georefererad karta.tif", "A 23612-2025")</f>
        <v/>
      </c>
      <c r="AA14">
        <f>HYPERLINK("https://klasma.github.io/Logging_0512/klagomål/A 23612-2025 FSC-klagomål.docx", "A 23612-2025")</f>
        <v/>
      </c>
      <c r="AB14">
        <f>HYPERLINK("https://klasma.github.io/Logging_0512/klagomålsmail/A 23612-2025 FSC-klagomål mail.docx", "A 23612-2025")</f>
        <v/>
      </c>
      <c r="AC14">
        <f>HYPERLINK("https://klasma.github.io/Logging_0512/tillsyn/A 23612-2025 tillsynsbegäran.docx", "A 23612-2025")</f>
        <v/>
      </c>
      <c r="AD14">
        <f>HYPERLINK("https://klasma.github.io/Logging_0512/tillsynsmail/A 23612-2025 tillsynsbegäran mail.docx", "A 23612-2025")</f>
        <v/>
      </c>
    </row>
    <row r="15" ht="15" customHeight="1">
      <c r="A15" t="inlineStr">
        <is>
          <t>A 33676-2022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44789</v>
      </c>
      <c r="E15" s="1" t="n">
        <v>46326</v>
      </c>
      <c r="F15" t="inlineStr">
        <is>
          <t>ÖSTERGÖTLANDS LÄN</t>
        </is>
      </c>
      <c r="G15" t="inlineStr">
        <is>
          <t>YDRE</t>
        </is>
      </c>
      <c r="H15" t="inlineStr">
        <is>
          <t>Sveaskog</t>
        </is>
      </c>
      <c r="I15" t="n">
        <v>1.8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2</v>
      </c>
      <c r="T15" t="n">
        <v>2</v>
      </c>
      <c r="U15" t="n">
        <v>1</v>
      </c>
      <c r="V15" s="2" t="inlineStr">
        <is>
          <t>Svinrot
Mattlummer</t>
        </is>
      </c>
      <c r="W15">
        <f>HYPERLINK("https://klasma.github.io/Logging_0512/artfynd/A 33676-2022 artfynd.xlsx", "A 33676-2022")</f>
        <v/>
      </c>
      <c r="X15">
        <f>HYPERLINK("https://klasma.github.io/Logging_0512/kartor/A 33676-2022 karta.png", "A 33676-2022")</f>
        <v/>
      </c>
      <c r="Y15">
        <f>HYPERLINK("https://klasma.github.io/Logging_0512/kartor_geotiff/A 33676-2022 georefererad karta.tif", "A 33676-2022")</f>
        <v/>
      </c>
      <c r="AA15">
        <f>HYPERLINK("https://klasma.github.io/Logging_0512/klagomål/A 33676-2022 FSC-klagomål.docx", "A 33676-2022")</f>
        <v/>
      </c>
      <c r="AB15">
        <f>HYPERLINK("https://klasma.github.io/Logging_0512/klagomålsmail/A 33676-2022 FSC-klagomål mail.docx", "A 33676-2022")</f>
        <v/>
      </c>
      <c r="AC15">
        <f>HYPERLINK("https://klasma.github.io/Logging_0512/tillsyn/A 33676-2022 tillsynsbegäran.docx", "A 33676-2022")</f>
        <v/>
      </c>
      <c r="AD15">
        <f>HYPERLINK("https://klasma.github.io/Logging_0512/tillsynsmail/A 33676-2022 tillsynsbegäran mail.docx", "A 33676-2022")</f>
        <v/>
      </c>
    </row>
    <row r="16" ht="15" customHeight="1">
      <c r="A16" t="inlineStr">
        <is>
          <t>A 55870-2025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45973</v>
      </c>
      <c r="E16" s="1" t="n">
        <v>46326</v>
      </c>
      <c r="F16" t="inlineStr">
        <is>
          <t>ÖSTERGÖTLANDS LÄN</t>
        </is>
      </c>
      <c r="G16" t="inlineStr">
        <is>
          <t>YDRE</t>
        </is>
      </c>
      <c r="H16" t="inlineStr">
        <is>
          <t>Sveaskog</t>
        </is>
      </c>
      <c r="I16" t="n">
        <v>4.4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2</v>
      </c>
      <c r="R16" t="n">
        <v>1</v>
      </c>
      <c r="S16" t="n">
        <v>2</v>
      </c>
      <c r="T16" t="n">
        <v>2</v>
      </c>
      <c r="U16" t="n">
        <v>0</v>
      </c>
      <c r="V16" s="2" t="inlineStr">
        <is>
          <t>Västlig njurlav
Grynig filtlav</t>
        </is>
      </c>
      <c r="W16">
        <f>HYPERLINK("https://klasma.github.io/Logging_0512/artfynd/A 55870-2025 artfynd.xlsx", "A 55870-2025")</f>
        <v/>
      </c>
      <c r="X16">
        <f>HYPERLINK("https://klasma.github.io/Logging_0512/kartor/A 55870-2025 karta.png", "A 55870-2025")</f>
        <v/>
      </c>
      <c r="Y16">
        <f>HYPERLINK("https://klasma.github.io/Logging_0512/kartor_geotiff/A 55870-2025 georefererad karta.tif", "A 55870-2025")</f>
        <v/>
      </c>
      <c r="AA16">
        <f>HYPERLINK("https://klasma.github.io/Logging_0512/klagomål/A 55870-2025 FSC-klagomål.docx", "A 55870-2025")</f>
        <v/>
      </c>
      <c r="AB16">
        <f>HYPERLINK("https://klasma.github.io/Logging_0512/klagomålsmail/A 55870-2025 FSC-klagomål mail.docx", "A 55870-2025")</f>
        <v/>
      </c>
      <c r="AC16">
        <f>HYPERLINK("https://klasma.github.io/Logging_0512/tillsyn/A 55870-2025 tillsynsbegäran.docx", "A 55870-2025")</f>
        <v/>
      </c>
      <c r="AD16">
        <f>HYPERLINK("https://klasma.github.io/Logging_0512/tillsynsmail/A 55870-2025 tillsynsbegäran mail.docx", "A 55870-2025")</f>
        <v/>
      </c>
    </row>
    <row r="17" ht="15" customHeight="1">
      <c r="A17" t="inlineStr">
        <is>
          <t>A 17526-2024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45415</v>
      </c>
      <c r="E17" s="1" t="n">
        <v>46326</v>
      </c>
      <c r="F17" t="inlineStr">
        <is>
          <t>ÖSTERGÖTLANDS LÄN</t>
        </is>
      </c>
      <c r="G17" t="inlineStr">
        <is>
          <t>YDRE</t>
        </is>
      </c>
      <c r="I17" t="n">
        <v>1.6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2</v>
      </c>
      <c r="T17" t="n">
        <v>2</v>
      </c>
      <c r="U17" t="n">
        <v>0</v>
      </c>
      <c r="V17" s="2" t="inlineStr">
        <is>
          <t>Svinrot
Blåsippa</t>
        </is>
      </c>
      <c r="W17">
        <f>HYPERLINK("https://klasma.github.io/Logging_0512/artfynd/A 17526-2024 artfynd.xlsx", "A 17526-2024")</f>
        <v/>
      </c>
      <c r="X17">
        <f>HYPERLINK("https://klasma.github.io/Logging_0512/kartor/A 17526-2024 karta.png", "A 17526-2024")</f>
        <v/>
      </c>
      <c r="Y17">
        <f>HYPERLINK("https://klasma.github.io/Logging_0512/kartor_geotiff/A 17526-2024 georefererad karta.tif", "A 17526-2024")</f>
        <v/>
      </c>
      <c r="AA17">
        <f>HYPERLINK("https://klasma.github.io/Logging_0512/klagomål/A 17526-2024 FSC-klagomål.docx", "A 17526-2024")</f>
        <v/>
      </c>
      <c r="AB17">
        <f>HYPERLINK("https://klasma.github.io/Logging_0512/klagomålsmail/A 17526-2024 FSC-klagomål mail.docx", "A 17526-2024")</f>
        <v/>
      </c>
      <c r="AC17">
        <f>HYPERLINK("https://klasma.github.io/Logging_0512/tillsyn/A 17526-2024 tillsynsbegäran.docx", "A 17526-2024")</f>
        <v/>
      </c>
      <c r="AD17">
        <f>HYPERLINK("https://klasma.github.io/Logging_0512/tillsynsmail/A 17526-2024 tillsynsbegäran mail.docx", "A 17526-2024")</f>
        <v/>
      </c>
    </row>
    <row r="18" ht="15" customHeight="1">
      <c r="A18" t="inlineStr">
        <is>
          <t>A 7621-2024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45348</v>
      </c>
      <c r="E18" s="1" t="n">
        <v>46326</v>
      </c>
      <c r="F18" t="inlineStr">
        <is>
          <t>ÖSTERGÖTLANDS LÄN</t>
        </is>
      </c>
      <c r="G18" t="inlineStr">
        <is>
          <t>YDRE</t>
        </is>
      </c>
      <c r="I18" t="n">
        <v>4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2</v>
      </c>
      <c r="T18" t="n">
        <v>2</v>
      </c>
      <c r="U18" t="n">
        <v>0</v>
      </c>
      <c r="V18" s="2" t="inlineStr">
        <is>
          <t>Nordfladdermus
Vattenfladdermus</t>
        </is>
      </c>
      <c r="W18">
        <f>HYPERLINK("https://klasma.github.io/Logging_0512/artfynd/A 7621-2024 artfynd.xlsx", "A 7621-2024")</f>
        <v/>
      </c>
      <c r="X18">
        <f>HYPERLINK("https://klasma.github.io/Logging_0512/kartor/A 7621-2024 karta.png", "A 7621-2024")</f>
        <v/>
      </c>
      <c r="Y18">
        <f>HYPERLINK("https://klasma.github.io/Logging_0512/kartor_geotiff/A 7621-2024 georefererad karta.tif", "A 7621-2024")</f>
        <v/>
      </c>
      <c r="AA18">
        <f>HYPERLINK("https://klasma.github.io/Logging_0512/klagomål/A 7621-2024 FSC-klagomål.docx", "A 7621-2024")</f>
        <v/>
      </c>
      <c r="AB18">
        <f>HYPERLINK("https://klasma.github.io/Logging_0512/klagomålsmail/A 7621-2024 FSC-klagomål mail.docx", "A 7621-2024")</f>
        <v/>
      </c>
      <c r="AC18">
        <f>HYPERLINK("https://klasma.github.io/Logging_0512/tillsyn/A 7621-2024 tillsynsbegäran.docx", "A 7621-2024")</f>
        <v/>
      </c>
      <c r="AD18">
        <f>HYPERLINK("https://klasma.github.io/Logging_0512/tillsynsmail/A 7621-2024 tillsynsbegäran mail.docx", "A 7621-2024")</f>
        <v/>
      </c>
    </row>
    <row r="19" ht="15" customHeight="1">
      <c r="A19" t="inlineStr">
        <is>
          <t>A 53091-2024</t>
        </is>
      </c>
      <c r="B19" t="inlineStr">
        <is>
          <t>avverkningsanmälan</t>
        </is>
      </c>
      <c r="C19" t="inlineStr">
        <is>
          <t>Avverkning för att bevara och utveckla /försöksver</t>
        </is>
      </c>
      <c r="D19" s="1" t="n">
        <v>45611</v>
      </c>
      <c r="E19" s="1" t="n">
        <v>46326</v>
      </c>
      <c r="F19" t="inlineStr">
        <is>
          <t>ÖSTERGÖTLANDS LÄN</t>
        </is>
      </c>
      <c r="G19" t="inlineStr">
        <is>
          <t>YDRE</t>
        </is>
      </c>
      <c r="H19" t="inlineStr">
        <is>
          <t>Övriga Aktiebolag</t>
        </is>
      </c>
      <c r="I19" t="n">
        <v>5.5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1</v>
      </c>
      <c r="S19" t="n">
        <v>2</v>
      </c>
      <c r="T19" t="n">
        <v>2</v>
      </c>
      <c r="U19" t="n">
        <v>1</v>
      </c>
      <c r="V19" s="2" t="inlineStr">
        <is>
          <t>Knärot
Ängsstarr</t>
        </is>
      </c>
      <c r="W19">
        <f>HYPERLINK("https://klasma.github.io/Logging_0512/artfynd/A 53091-2024 artfynd.xlsx", "A 53091-2024")</f>
        <v/>
      </c>
      <c r="X19">
        <f>HYPERLINK("https://klasma.github.io/Logging_0512/kartor/A 53091-2024 karta.png", "A 53091-2024")</f>
        <v/>
      </c>
      <c r="Y19">
        <f>HYPERLINK("https://klasma.github.io/Logging_0512/kartor_geotiff/A 53091-2024 georefererad karta.tif", "A 53091-2024")</f>
        <v/>
      </c>
      <c r="Z19">
        <f>HYPERLINK("https://klasma.github.io/Logging_0512/knärot/A 53091-2024 karta knärot.png", "A 53091-2024")</f>
        <v/>
      </c>
      <c r="AA19">
        <f>HYPERLINK("https://klasma.github.io/Logging_0512/klagomål/A 53091-2024 FSC-klagomål.docx", "A 53091-2024")</f>
        <v/>
      </c>
      <c r="AB19">
        <f>HYPERLINK("https://klasma.github.io/Logging_0512/klagomålsmail/A 53091-2024 FSC-klagomål mail.docx", "A 53091-2024")</f>
        <v/>
      </c>
      <c r="AC19">
        <f>HYPERLINK("https://klasma.github.io/Logging_0512/tillsyn/A 53091-2024 tillsynsbegäran.docx", "A 53091-2024")</f>
        <v/>
      </c>
      <c r="AD19">
        <f>HYPERLINK("https://klasma.github.io/Logging_0512/tillsynsmail/A 53091-2024 tillsynsbegäran mail.docx", "A 53091-2024")</f>
        <v/>
      </c>
    </row>
    <row r="20" ht="15" customHeight="1">
      <c r="A20" t="inlineStr">
        <is>
          <t>A 58691-2023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45251</v>
      </c>
      <c r="E20" s="1" t="n">
        <v>46326</v>
      </c>
      <c r="F20" t="inlineStr">
        <is>
          <t>ÖSTERGÖTLANDS LÄN</t>
        </is>
      </c>
      <c r="G20" t="inlineStr">
        <is>
          <t>YDRE</t>
        </is>
      </c>
      <c r="I20" t="n">
        <v>1.7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2</v>
      </c>
      <c r="T20" t="n">
        <v>2</v>
      </c>
      <c r="U20" t="n">
        <v>0</v>
      </c>
      <c r="V20" s="2" t="inlineStr">
        <is>
          <t>Gulsparv
Grönsiska</t>
        </is>
      </c>
      <c r="W20">
        <f>HYPERLINK("https://klasma.github.io/Logging_0512/artfynd/A 58691-2023 artfynd.xlsx", "A 58691-2023")</f>
        <v/>
      </c>
      <c r="X20">
        <f>HYPERLINK("https://klasma.github.io/Logging_0512/kartor/A 58691-2023 karta.png", "A 58691-2023")</f>
        <v/>
      </c>
      <c r="Y20">
        <f>HYPERLINK("https://klasma.github.io/Logging_0512/kartor_geotiff/A 58691-2023 georefererad karta.tif", "A 58691-2023")</f>
        <v/>
      </c>
      <c r="AA20">
        <f>HYPERLINK("https://klasma.github.io/Logging_0512/klagomål/A 58691-2023 FSC-klagomål.docx", "A 58691-2023")</f>
        <v/>
      </c>
      <c r="AB20">
        <f>HYPERLINK("https://klasma.github.io/Logging_0512/klagomålsmail/A 58691-2023 FSC-klagomål mail.docx", "A 58691-2023")</f>
        <v/>
      </c>
      <c r="AC20">
        <f>HYPERLINK("https://klasma.github.io/Logging_0512/tillsyn/A 58691-2023 tillsynsbegäran.docx", "A 58691-2023")</f>
        <v/>
      </c>
      <c r="AD20">
        <f>HYPERLINK("https://klasma.github.io/Logging_0512/tillsynsmail/A 58691-2023 tillsynsbegäran mail.docx", "A 58691-2023")</f>
        <v/>
      </c>
      <c r="AE20">
        <f>HYPERLINK("https://klasma.github.io/Logging_0512/fåglar/A 58691-2023 prioriterade fågelarter.docx", "A 58691-2023")</f>
        <v/>
      </c>
    </row>
    <row r="21" ht="15" customHeight="1">
      <c r="A21" t="inlineStr">
        <is>
          <t>A 52667-2022</t>
        </is>
      </c>
      <c r="B21" t="inlineStr">
        <is>
          <t>avverkningsanmälan</t>
        </is>
      </c>
      <c r="C21" t="inlineStr">
        <is>
          <t>Avverkning för annat ändamål</t>
        </is>
      </c>
      <c r="D21" s="1" t="n">
        <v>44874</v>
      </c>
      <c r="E21" s="1" t="n">
        <v>46326</v>
      </c>
      <c r="F21" t="inlineStr">
        <is>
          <t>ÖSTERGÖTLANDS LÄN</t>
        </is>
      </c>
      <c r="G21" t="inlineStr">
        <is>
          <t>YDRE</t>
        </is>
      </c>
      <c r="I21" t="n">
        <v>1.2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2</v>
      </c>
      <c r="T21" t="n">
        <v>2</v>
      </c>
      <c r="U21" t="n">
        <v>0</v>
      </c>
      <c r="V21" s="2" t="inlineStr">
        <is>
          <t>Solvända
Mattlummer</t>
        </is>
      </c>
      <c r="W21">
        <f>HYPERLINK("https://klasma.github.io/Logging_0512/artfynd/A 52667-2022 artfynd.xlsx", "A 52667-2022")</f>
        <v/>
      </c>
      <c r="X21">
        <f>HYPERLINK("https://klasma.github.io/Logging_0512/kartor/A 52667-2022 karta.png", "A 52667-2022")</f>
        <v/>
      </c>
      <c r="Y21">
        <f>HYPERLINK("https://klasma.github.io/Logging_0512/kartor_geotiff/A 52667-2022 georefererad karta.tif", "A 52667-2022")</f>
        <v/>
      </c>
      <c r="AA21">
        <f>HYPERLINK("https://klasma.github.io/Logging_0512/klagomål/A 52667-2022 FSC-klagomål.docx", "A 52667-2022")</f>
        <v/>
      </c>
      <c r="AB21">
        <f>HYPERLINK("https://klasma.github.io/Logging_0512/klagomålsmail/A 52667-2022 FSC-klagomål mail.docx", "A 52667-2022")</f>
        <v/>
      </c>
      <c r="AC21">
        <f>HYPERLINK("https://klasma.github.io/Logging_0512/tillsyn/A 52667-2022 tillsynsbegäran.docx", "A 52667-2022")</f>
        <v/>
      </c>
      <c r="AD21">
        <f>HYPERLINK("https://klasma.github.io/Logging_0512/tillsynsmail/A 52667-2022 tillsynsbegäran mail.docx", "A 52667-2022")</f>
        <v/>
      </c>
    </row>
    <row r="22" ht="15" customHeight="1">
      <c r="A22" t="inlineStr">
        <is>
          <t>A 25498-2022</t>
        </is>
      </c>
      <c r="B22" t="inlineStr">
        <is>
          <t>avverkningsanmälan</t>
        </is>
      </c>
      <c r="C22" t="inlineStr">
        <is>
          <t>Avverkning för annat ändamål</t>
        </is>
      </c>
      <c r="D22" s="1" t="n">
        <v>44732</v>
      </c>
      <c r="E22" s="1" t="n">
        <v>46326</v>
      </c>
      <c r="F22" t="inlineStr">
        <is>
          <t>ÖSTERGÖTLANDS LÄN</t>
        </is>
      </c>
      <c r="G22" t="inlineStr">
        <is>
          <t>YDRE</t>
        </is>
      </c>
      <c r="H22" t="inlineStr">
        <is>
          <t>Kyrkan</t>
        </is>
      </c>
      <c r="I22" t="n">
        <v>71.09999999999999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1</v>
      </c>
      <c r="S22" t="n">
        <v>2</v>
      </c>
      <c r="T22" t="n">
        <v>2</v>
      </c>
      <c r="U22" t="n">
        <v>0</v>
      </c>
      <c r="V22" s="2" t="inlineStr">
        <is>
          <t>Garnlav
Brunpudrad nållav</t>
        </is>
      </c>
      <c r="W22">
        <f>HYPERLINK("https://klasma.github.io/Logging_0512/artfynd/A 25498-2022 artfynd.xlsx", "A 25498-2022")</f>
        <v/>
      </c>
      <c r="X22">
        <f>HYPERLINK("https://klasma.github.io/Logging_0512/kartor/A 25498-2022 karta.png", "A 25498-2022")</f>
        <v/>
      </c>
      <c r="Y22">
        <f>HYPERLINK("https://klasma.github.io/Logging_0512/kartor_geotiff/A 25498-2022 georefererad karta.tif", "A 25498-2022")</f>
        <v/>
      </c>
      <c r="AA22">
        <f>HYPERLINK("https://klasma.github.io/Logging_0512/klagomål/A 25498-2022 FSC-klagomål.docx", "A 25498-2022")</f>
        <v/>
      </c>
      <c r="AB22">
        <f>HYPERLINK("https://klasma.github.io/Logging_0512/klagomålsmail/A 25498-2022 FSC-klagomål mail.docx", "A 25498-2022")</f>
        <v/>
      </c>
      <c r="AC22">
        <f>HYPERLINK("https://klasma.github.io/Logging_0512/tillsyn/A 25498-2022 tillsynsbegäran.docx", "A 25498-2022")</f>
        <v/>
      </c>
      <c r="AD22">
        <f>HYPERLINK("https://klasma.github.io/Logging_0512/tillsynsmail/A 25498-2022 tillsynsbegäran mail.docx", "A 25498-2022")</f>
        <v/>
      </c>
    </row>
    <row r="23" ht="15" customHeight="1">
      <c r="A23" t="inlineStr">
        <is>
          <t>S 4815-2024</t>
        </is>
      </c>
      <c r="B23" t="inlineStr">
        <is>
          <t>samrådsanmälan</t>
        </is>
      </c>
      <c r="C23" t="inlineStr">
        <is>
          <t>Annan skogsbruksåtgärd</t>
        </is>
      </c>
      <c r="D23" s="1" t="n">
        <v>45614</v>
      </c>
      <c r="E23" s="1" t="n">
        <v>46326</v>
      </c>
      <c r="F23" t="inlineStr">
        <is>
          <t>ÖSTERGÖTLANDS LÄN</t>
        </is>
      </c>
      <c r="G23" t="inlineStr">
        <is>
          <t>YDRE</t>
        </is>
      </c>
      <c r="H23" t="inlineStr">
        <is>
          <t>Övriga Aktiebolag</t>
        </is>
      </c>
      <c r="I23" t="n">
        <v>0.5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2</v>
      </c>
      <c r="T23" t="n">
        <v>2</v>
      </c>
      <c r="U23" t="n">
        <v>0</v>
      </c>
      <c r="V23" s="2" t="inlineStr">
        <is>
          <t>Aspgelélav
Tibast</t>
        </is>
      </c>
      <c r="W23">
        <f>HYPERLINK("https://klasma.github.io/Logging_0512/artfynd/S 4815-2024 artfynd.xlsx", "S 4815-2024")</f>
        <v/>
      </c>
      <c r="X23">
        <f>HYPERLINK("https://klasma.github.io/Logging_0512/kartor/S 4815-2024 karta.png", "S 4815-2024")</f>
        <v/>
      </c>
      <c r="Y23">
        <f>HYPERLINK("https://klasma.github.io/Logging_0512/kartor_geotiff/S 4815-2024 georefererad karta.tif", "S 4815-2024")</f>
        <v/>
      </c>
      <c r="AA23">
        <f>HYPERLINK("https://klasma.github.io/Logging_0512/klagomål/S 4815-2024 FSC-klagomål.docx", "S 4815-2024")</f>
        <v/>
      </c>
      <c r="AB23">
        <f>HYPERLINK("https://klasma.github.io/Logging_0512/klagomålsmail/S 4815-2024 FSC-klagomål mail.docx", "S 4815-2024")</f>
        <v/>
      </c>
      <c r="AC23">
        <f>HYPERLINK("https://klasma.github.io/Logging_0512/tillsyn/S 4815-2024 tillsynsbegäran.docx", "S 4815-2024")</f>
        <v/>
      </c>
      <c r="AD23">
        <f>HYPERLINK("https://klasma.github.io/Logging_0512/tillsynsmail/S 4815-2024 tillsynsbegäran mail.docx", "S 4815-2024")</f>
        <v/>
      </c>
    </row>
    <row r="24" ht="15" customHeight="1">
      <c r="A24" t="inlineStr">
        <is>
          <t>S 2122-2025</t>
        </is>
      </c>
      <c r="B24" t="inlineStr">
        <is>
          <t>samrådsanmälan</t>
        </is>
      </c>
      <c r="C24" t="inlineStr">
        <is>
          <t>Annan skogsbruksåtgärd</t>
        </is>
      </c>
      <c r="D24" s="1" t="n">
        <v>45846</v>
      </c>
      <c r="E24" s="1" t="n">
        <v>46326</v>
      </c>
      <c r="F24" t="inlineStr">
        <is>
          <t>ÖSTERGÖTLANDS LÄN</t>
        </is>
      </c>
      <c r="G24" t="inlineStr">
        <is>
          <t>YDRE</t>
        </is>
      </c>
      <c r="H24" t="inlineStr">
        <is>
          <t>Kyrkan</t>
        </is>
      </c>
      <c r="I24" t="n">
        <v>6.5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4</v>
      </c>
      <c r="U24" t="n">
        <v>2</v>
      </c>
      <c r="V24" s="2" t="inlineStr">
        <is>
          <t>Gulnål
Stubbspretmossa</t>
        </is>
      </c>
      <c r="W24">
        <f>HYPERLINK("https://klasma.github.io/Logging_0512/artfynd/S 2122-2025 artfynd.xlsx", "S 2122-2025")</f>
        <v/>
      </c>
      <c r="X24">
        <f>HYPERLINK("https://klasma.github.io/Logging_0512/kartor/S 2122-2025 karta.png", "S 2122-2025")</f>
        <v/>
      </c>
      <c r="Y24">
        <f>HYPERLINK("https://klasma.github.io/Logging_0512/kartor_geotiff/S 2122-2025 georefererad karta.tif", "S 2122-2025")</f>
        <v/>
      </c>
      <c r="AA24">
        <f>HYPERLINK("https://klasma.github.io/Logging_0512/klagomål/S 2122-2025 FSC-klagomål.docx", "S 2122-2025")</f>
        <v/>
      </c>
      <c r="AB24">
        <f>HYPERLINK("https://klasma.github.io/Logging_0512/klagomålsmail/S 2122-2025 FSC-klagomål mail.docx", "S 2122-2025")</f>
        <v/>
      </c>
      <c r="AC24">
        <f>HYPERLINK("https://klasma.github.io/Logging_0512/tillsyn/S 2122-2025 tillsynsbegäran.docx", "S 2122-2025")</f>
        <v/>
      </c>
      <c r="AD24">
        <f>HYPERLINK("https://klasma.github.io/Logging_0512/tillsynsmail/S 2122-2025 tillsynsbegäran mail.docx", "S 2122-2025")</f>
        <v/>
      </c>
    </row>
    <row r="25" ht="15" customHeight="1">
      <c r="A25" t="inlineStr">
        <is>
          <t>A 65337-2021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44515</v>
      </c>
      <c r="E25" s="1" t="n">
        <v>46326</v>
      </c>
      <c r="F25" t="inlineStr">
        <is>
          <t>ÖSTERGÖTLANDS LÄN</t>
        </is>
      </c>
      <c r="G25" t="inlineStr">
        <is>
          <t>YDRE</t>
        </is>
      </c>
      <c r="I25" t="n">
        <v>0.5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0</v>
      </c>
      <c r="V25" s="2" t="inlineStr">
        <is>
          <t>Revlummer</t>
        </is>
      </c>
      <c r="W25">
        <f>HYPERLINK("https://klasma.github.io/Logging_0512/artfynd/A 65337-2021 artfynd.xlsx", "A 65337-2021")</f>
        <v/>
      </c>
      <c r="X25">
        <f>HYPERLINK("https://klasma.github.io/Logging_0512/kartor/A 65337-2021 karta.png", "A 65337-2021")</f>
        <v/>
      </c>
      <c r="Y25">
        <f>HYPERLINK("https://klasma.github.io/Logging_0512/kartor_geotiff/A 65337-2021 georefererad karta.tif", "A 65337-2021")</f>
        <v/>
      </c>
      <c r="AA25">
        <f>HYPERLINK("https://klasma.github.io/Logging_0512/klagomål/A 65337-2021 FSC-klagomål.docx", "A 65337-2021")</f>
        <v/>
      </c>
      <c r="AB25">
        <f>HYPERLINK("https://klasma.github.io/Logging_0512/klagomålsmail/A 65337-2021 FSC-klagomål mail.docx", "A 65337-2021")</f>
        <v/>
      </c>
      <c r="AC25">
        <f>HYPERLINK("https://klasma.github.io/Logging_0512/tillsyn/A 65337-2021 tillsynsbegäran.docx", "A 65337-2021")</f>
        <v/>
      </c>
      <c r="AD25">
        <f>HYPERLINK("https://klasma.github.io/Logging_0512/tillsynsmail/A 65337-2021 tillsynsbegäran mail.docx", "A 65337-2021")</f>
        <v/>
      </c>
    </row>
    <row r="26" ht="15" customHeight="1">
      <c r="A26" t="inlineStr">
        <is>
          <t>A 48344-2022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44858</v>
      </c>
      <c r="E26" s="1" t="n">
        <v>46326</v>
      </c>
      <c r="F26" t="inlineStr">
        <is>
          <t>ÖSTERGÖTLANDS LÄN</t>
        </is>
      </c>
      <c r="G26" t="inlineStr">
        <is>
          <t>YDRE</t>
        </is>
      </c>
      <c r="H26" t="inlineStr">
        <is>
          <t>Övriga Aktiebolag</t>
        </is>
      </c>
      <c r="I26" t="n">
        <v>7.6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1</v>
      </c>
      <c r="U26" t="n">
        <v>0</v>
      </c>
      <c r="V26" s="2" t="inlineStr">
        <is>
          <t>Gullklöver</t>
        </is>
      </c>
      <c r="W26">
        <f>HYPERLINK("https://klasma.github.io/Logging_0512/artfynd/A 48344-2022 artfynd.xlsx", "A 48344-2022")</f>
        <v/>
      </c>
      <c r="X26">
        <f>HYPERLINK("https://klasma.github.io/Logging_0512/kartor/A 48344-2022 karta.png", "A 48344-2022")</f>
        <v/>
      </c>
      <c r="Y26">
        <f>HYPERLINK("https://klasma.github.io/Logging_0512/kartor_geotiff/A 48344-2022 georefererad karta.tif", "A 48344-2022")</f>
        <v/>
      </c>
      <c r="AA26">
        <f>HYPERLINK("https://klasma.github.io/Logging_0512/klagomål/A 48344-2022 FSC-klagomål.docx", "A 48344-2022")</f>
        <v/>
      </c>
      <c r="AB26">
        <f>HYPERLINK("https://klasma.github.io/Logging_0512/klagomålsmail/A 48344-2022 FSC-klagomål mail.docx", "A 48344-2022")</f>
        <v/>
      </c>
      <c r="AC26">
        <f>HYPERLINK("https://klasma.github.io/Logging_0512/tillsyn/A 48344-2022 tillsynsbegäran.docx", "A 48344-2022")</f>
        <v/>
      </c>
      <c r="AD26">
        <f>HYPERLINK("https://klasma.github.io/Logging_0512/tillsynsmail/A 48344-2022 tillsynsbegäran mail.docx", "A 48344-2022")</f>
        <v/>
      </c>
    </row>
    <row r="27" ht="15" customHeight="1">
      <c r="A27" t="inlineStr">
        <is>
          <t>A 4248-2026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46045</v>
      </c>
      <c r="E27" s="1" t="n">
        <v>46326</v>
      </c>
      <c r="F27" t="inlineStr">
        <is>
          <t>ÖSTERGÖTLANDS LÄN</t>
        </is>
      </c>
      <c r="G27" t="inlineStr">
        <is>
          <t>YDRE</t>
        </is>
      </c>
      <c r="H27" t="inlineStr">
        <is>
          <t>Sveaskog</t>
        </is>
      </c>
      <c r="I27" t="n">
        <v>5.1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1</v>
      </c>
      <c r="U27" t="n">
        <v>0</v>
      </c>
      <c r="V27" s="2" t="inlineStr">
        <is>
          <t>Tjäder</t>
        </is>
      </c>
      <c r="W27">
        <f>HYPERLINK("https://klasma.github.io/Logging_0512/artfynd/A 4248-2026 artfynd.xlsx", "A 4248-2026")</f>
        <v/>
      </c>
      <c r="X27">
        <f>HYPERLINK("https://klasma.github.io/Logging_0512/kartor/A 4248-2026 karta.png", "A 4248-2026")</f>
        <v/>
      </c>
      <c r="Y27">
        <f>HYPERLINK("https://klasma.github.io/Logging_0512/kartor_geotiff/A 4248-2026 georefererad karta.tif", "A 4248-2026")</f>
        <v/>
      </c>
      <c r="AA27">
        <f>HYPERLINK("https://klasma.github.io/Logging_0512/klagomål/A 4248-2026 FSC-klagomål.docx", "A 4248-2026")</f>
        <v/>
      </c>
      <c r="AB27">
        <f>HYPERLINK("https://klasma.github.io/Logging_0512/klagomålsmail/A 4248-2026 FSC-klagomål mail.docx", "A 4248-2026")</f>
        <v/>
      </c>
      <c r="AC27">
        <f>HYPERLINK("https://klasma.github.io/Logging_0512/tillsyn/A 4248-2026 tillsynsbegäran.docx", "A 4248-2026")</f>
        <v/>
      </c>
      <c r="AD27">
        <f>HYPERLINK("https://klasma.github.io/Logging_0512/tillsynsmail/A 4248-2026 tillsynsbegäran mail.docx", "A 4248-2026")</f>
        <v/>
      </c>
      <c r="AE27">
        <f>HYPERLINK("https://klasma.github.io/Logging_0512/fåglar/A 4248-2026 prioriterade fågelarter.docx", "A 4248-2026")</f>
        <v/>
      </c>
    </row>
    <row r="28" ht="15" customHeight="1">
      <c r="A28" t="inlineStr">
        <is>
          <t>A 44503-2025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45916</v>
      </c>
      <c r="E28" s="1" t="n">
        <v>46326</v>
      </c>
      <c r="F28" t="inlineStr">
        <is>
          <t>ÖSTERGÖTLANDS LÄN</t>
        </is>
      </c>
      <c r="G28" t="inlineStr">
        <is>
          <t>YDRE</t>
        </is>
      </c>
      <c r="I28" t="n">
        <v>0.6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s="2" t="inlineStr">
        <is>
          <t>Grönvit nattviol</t>
        </is>
      </c>
      <c r="W28">
        <f>HYPERLINK("https://klasma.github.io/Logging_0512/artfynd/A 44503-2025 artfynd.xlsx", "A 44503-2025")</f>
        <v/>
      </c>
      <c r="X28">
        <f>HYPERLINK("https://klasma.github.io/Logging_0512/kartor/A 44503-2025 karta.png", "A 44503-2025")</f>
        <v/>
      </c>
      <c r="Y28">
        <f>HYPERLINK("https://klasma.github.io/Logging_0512/kartor_geotiff/A 44503-2025 georefererad karta.tif", "A 44503-2025")</f>
        <v/>
      </c>
      <c r="AA28">
        <f>HYPERLINK("https://klasma.github.io/Logging_0512/klagomål/A 44503-2025 FSC-klagomål.docx", "A 44503-2025")</f>
        <v/>
      </c>
      <c r="AB28">
        <f>HYPERLINK("https://klasma.github.io/Logging_0512/klagomålsmail/A 44503-2025 FSC-klagomål mail.docx", "A 44503-2025")</f>
        <v/>
      </c>
      <c r="AC28">
        <f>HYPERLINK("https://klasma.github.io/Logging_0512/tillsyn/A 44503-2025 tillsynsbegäran.docx", "A 44503-2025")</f>
        <v/>
      </c>
      <c r="AD28">
        <f>HYPERLINK("https://klasma.github.io/Logging_0512/tillsynsmail/A 44503-2025 tillsynsbegäran mail.docx", "A 44503-2025")</f>
        <v/>
      </c>
    </row>
    <row r="29" ht="15" customHeight="1">
      <c r="A29" t="inlineStr">
        <is>
          <t>A 45771-2025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45922</v>
      </c>
      <c r="E29" s="1" t="n">
        <v>46326</v>
      </c>
      <c r="F29" t="inlineStr">
        <is>
          <t>ÖSTERGÖTLANDS LÄN</t>
        </is>
      </c>
      <c r="G29" t="inlineStr">
        <is>
          <t>YDRE</t>
        </is>
      </c>
      <c r="I29" t="n">
        <v>4.5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2</v>
      </c>
      <c r="U29" t="n">
        <v>0</v>
      </c>
      <c r="V29" s="2" t="inlineStr">
        <is>
          <t>Kattfotslav</t>
        </is>
      </c>
      <c r="W29">
        <f>HYPERLINK("https://klasma.github.io/Logging_0512/artfynd/A 45771-2025 artfynd.xlsx", "A 45771-2025")</f>
        <v/>
      </c>
      <c r="X29">
        <f>HYPERLINK("https://klasma.github.io/Logging_0512/kartor/A 45771-2025 karta.png", "A 45771-2025")</f>
        <v/>
      </c>
      <c r="Y29">
        <f>HYPERLINK("https://klasma.github.io/Logging_0512/kartor_geotiff/A 45771-2025 georefererad karta.tif", "A 45771-2025")</f>
        <v/>
      </c>
      <c r="AA29">
        <f>HYPERLINK("https://klasma.github.io/Logging_0512/klagomål/A 45771-2025 FSC-klagomål.docx", "A 45771-2025")</f>
        <v/>
      </c>
      <c r="AB29">
        <f>HYPERLINK("https://klasma.github.io/Logging_0512/klagomålsmail/A 45771-2025 FSC-klagomål mail.docx", "A 45771-2025")</f>
        <v/>
      </c>
      <c r="AC29">
        <f>HYPERLINK("https://klasma.github.io/Logging_0512/tillsyn/A 45771-2025 tillsynsbegäran.docx", "A 45771-2025")</f>
        <v/>
      </c>
      <c r="AD29">
        <f>HYPERLINK("https://klasma.github.io/Logging_0512/tillsynsmail/A 45771-2025 tillsynsbegäran mail.docx", "A 45771-2025")</f>
        <v/>
      </c>
    </row>
    <row r="30" ht="15" customHeight="1">
      <c r="A30" t="inlineStr">
        <is>
          <t>A 9051-2026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46069</v>
      </c>
      <c r="E30" s="1" t="n">
        <v>46326</v>
      </c>
      <c r="F30" t="inlineStr">
        <is>
          <t>ÖSTERGÖTLANDS LÄN</t>
        </is>
      </c>
      <c r="G30" t="inlineStr">
        <is>
          <t>YDRE</t>
        </is>
      </c>
      <c r="I30" t="n">
        <v>1.4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1</v>
      </c>
      <c r="U30" t="n">
        <v>0</v>
      </c>
      <c r="V30" s="2" t="inlineStr">
        <is>
          <t>Slåtterfibbla</t>
        </is>
      </c>
      <c r="W30">
        <f>HYPERLINK("https://klasma.github.io/Logging_0512/artfynd/A 9051-2026 artfynd.xlsx", "A 9051-2026")</f>
        <v/>
      </c>
      <c r="X30">
        <f>HYPERLINK("https://klasma.github.io/Logging_0512/kartor/A 9051-2026 karta.png", "A 9051-2026")</f>
        <v/>
      </c>
      <c r="Y30">
        <f>HYPERLINK("https://klasma.github.io/Logging_0512/kartor_geotiff/A 9051-2026 georefererad karta.tif", "A 9051-2026")</f>
        <v/>
      </c>
      <c r="AA30">
        <f>HYPERLINK("https://klasma.github.io/Logging_0512/klagomål/A 9051-2026 FSC-klagomål.docx", "A 9051-2026")</f>
        <v/>
      </c>
      <c r="AB30">
        <f>HYPERLINK("https://klasma.github.io/Logging_0512/klagomålsmail/A 9051-2026 FSC-klagomål mail.docx", "A 9051-2026")</f>
        <v/>
      </c>
      <c r="AC30">
        <f>HYPERLINK("https://klasma.github.io/Logging_0512/tillsyn/A 9051-2026 tillsynsbegäran.docx", "A 9051-2026")</f>
        <v/>
      </c>
      <c r="AD30">
        <f>HYPERLINK("https://klasma.github.io/Logging_0512/tillsynsmail/A 9051-2026 tillsynsbegäran mail.docx", "A 9051-2026")</f>
        <v/>
      </c>
    </row>
    <row r="31" ht="15" customHeight="1">
      <c r="A31" t="inlineStr">
        <is>
          <t>A 8923-2026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46069</v>
      </c>
      <c r="E31" s="1" t="n">
        <v>46326</v>
      </c>
      <c r="F31" t="inlineStr">
        <is>
          <t>ÖSTERGÖTLANDS LÄN</t>
        </is>
      </c>
      <c r="G31" t="inlineStr">
        <is>
          <t>YDRE</t>
        </is>
      </c>
      <c r="H31" t="inlineStr">
        <is>
          <t>Övriga Aktiebolag</t>
        </is>
      </c>
      <c r="I31" t="n">
        <v>4.6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s="2" t="inlineStr">
        <is>
          <t>Revlummer</t>
        </is>
      </c>
      <c r="W31">
        <f>HYPERLINK("https://klasma.github.io/Logging_0512/artfynd/A 8923-2026 artfynd.xlsx", "A 8923-2026")</f>
        <v/>
      </c>
      <c r="X31">
        <f>HYPERLINK("https://klasma.github.io/Logging_0512/kartor/A 8923-2026 karta.png", "A 8923-2026")</f>
        <v/>
      </c>
      <c r="Y31">
        <f>HYPERLINK("https://klasma.github.io/Logging_0512/kartor_geotiff/A 8923-2026 georefererad karta.tif", "A 8923-2026")</f>
        <v/>
      </c>
      <c r="AA31">
        <f>HYPERLINK("https://klasma.github.io/Logging_0512/klagomål/A 8923-2026 FSC-klagomål.docx", "A 8923-2026")</f>
        <v/>
      </c>
      <c r="AB31">
        <f>HYPERLINK("https://klasma.github.io/Logging_0512/klagomålsmail/A 8923-2026 FSC-klagomål mail.docx", "A 8923-2026")</f>
        <v/>
      </c>
      <c r="AC31">
        <f>HYPERLINK("https://klasma.github.io/Logging_0512/tillsyn/A 8923-2026 tillsynsbegäran.docx", "A 8923-2026")</f>
        <v/>
      </c>
      <c r="AD31">
        <f>HYPERLINK("https://klasma.github.io/Logging_0512/tillsynsmail/A 8923-2026 tillsynsbegäran mail.docx", "A 8923-2026")</f>
        <v/>
      </c>
    </row>
    <row r="32" ht="15" customHeight="1">
      <c r="A32" t="inlineStr">
        <is>
          <t>A 54520-2025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45965</v>
      </c>
      <c r="E32" s="1" t="n">
        <v>46326</v>
      </c>
      <c r="F32" t="inlineStr">
        <is>
          <t>ÖSTERGÖTLANDS LÄN</t>
        </is>
      </c>
      <c r="G32" t="inlineStr">
        <is>
          <t>YDRE</t>
        </is>
      </c>
      <c r="I32" t="n">
        <v>10.9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1</v>
      </c>
      <c r="U32" t="n">
        <v>0</v>
      </c>
      <c r="V32" s="2" t="inlineStr">
        <is>
          <t>Talltita</t>
        </is>
      </c>
      <c r="W32">
        <f>HYPERLINK("https://klasma.github.io/Logging_0512/artfynd/A 54520-2025 artfynd.xlsx", "A 54520-2025")</f>
        <v/>
      </c>
      <c r="X32">
        <f>HYPERLINK("https://klasma.github.io/Logging_0512/kartor/A 54520-2025 karta.png", "A 54520-2025")</f>
        <v/>
      </c>
      <c r="Y32">
        <f>HYPERLINK("https://klasma.github.io/Logging_0512/kartor_geotiff/A 54520-2025 georefererad karta.tif", "A 54520-2025")</f>
        <v/>
      </c>
      <c r="AA32">
        <f>HYPERLINK("https://klasma.github.io/Logging_0512/klagomål/A 54520-2025 FSC-klagomål.docx", "A 54520-2025")</f>
        <v/>
      </c>
      <c r="AB32">
        <f>HYPERLINK("https://klasma.github.io/Logging_0512/klagomålsmail/A 54520-2025 FSC-klagomål mail.docx", "A 54520-2025")</f>
        <v/>
      </c>
      <c r="AC32">
        <f>HYPERLINK("https://klasma.github.io/Logging_0512/tillsyn/A 54520-2025 tillsynsbegäran.docx", "A 54520-2025")</f>
        <v/>
      </c>
      <c r="AD32">
        <f>HYPERLINK("https://klasma.github.io/Logging_0512/tillsynsmail/A 54520-2025 tillsynsbegäran mail.docx", "A 54520-2025")</f>
        <v/>
      </c>
      <c r="AE32">
        <f>HYPERLINK("https://klasma.github.io/Logging_0512/fåglar/A 54520-2025 prioriterade fågelarter.docx", "A 54520-2025")</f>
        <v/>
      </c>
    </row>
    <row r="33" ht="15" customHeight="1">
      <c r="A33" t="inlineStr">
        <is>
          <t>A 54075-2025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45964</v>
      </c>
      <c r="E33" s="1" t="n">
        <v>46326</v>
      </c>
      <c r="F33" t="inlineStr">
        <is>
          <t>ÖSTERGÖTLANDS LÄN</t>
        </is>
      </c>
      <c r="G33" t="inlineStr">
        <is>
          <t>YDRE</t>
        </is>
      </c>
      <c r="H33" t="inlineStr">
        <is>
          <t>Sveaskog</t>
        </is>
      </c>
      <c r="I33" t="n">
        <v>3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0</v>
      </c>
      <c r="V33" s="2" t="inlineStr">
        <is>
          <t>Revlummer</t>
        </is>
      </c>
      <c r="W33">
        <f>HYPERLINK("https://klasma.github.io/Logging_0512/artfynd/A 54075-2025 artfynd.xlsx", "A 54075-2025")</f>
        <v/>
      </c>
      <c r="X33">
        <f>HYPERLINK("https://klasma.github.io/Logging_0512/kartor/A 54075-2025 karta.png", "A 54075-2025")</f>
        <v/>
      </c>
      <c r="Y33">
        <f>HYPERLINK("https://klasma.github.io/Logging_0512/kartor_geotiff/A 54075-2025 georefererad karta.tif", "A 54075-2025")</f>
        <v/>
      </c>
      <c r="AA33">
        <f>HYPERLINK("https://klasma.github.io/Logging_0512/klagomål/A 54075-2025 FSC-klagomål.docx", "A 54075-2025")</f>
        <v/>
      </c>
      <c r="AB33">
        <f>HYPERLINK("https://klasma.github.io/Logging_0512/klagomålsmail/A 54075-2025 FSC-klagomål mail.docx", "A 54075-2025")</f>
        <v/>
      </c>
      <c r="AC33">
        <f>HYPERLINK("https://klasma.github.io/Logging_0512/tillsyn/A 54075-2025 tillsynsbegäran.docx", "A 54075-2025")</f>
        <v/>
      </c>
      <c r="AD33">
        <f>HYPERLINK("https://klasma.github.io/Logging_0512/tillsynsmail/A 54075-2025 tillsynsbegäran mail.docx", "A 54075-2025")</f>
        <v/>
      </c>
    </row>
    <row r="34" ht="15" customHeight="1">
      <c r="A34" t="inlineStr">
        <is>
          <t>A 19370-2025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45769</v>
      </c>
      <c r="E34" s="1" t="n">
        <v>46326</v>
      </c>
      <c r="F34" t="inlineStr">
        <is>
          <t>ÖSTERGÖTLANDS LÄN</t>
        </is>
      </c>
      <c r="G34" t="inlineStr">
        <is>
          <t>YDRE</t>
        </is>
      </c>
      <c r="I34" t="n">
        <v>5.3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1</v>
      </c>
      <c r="U34" t="n">
        <v>0</v>
      </c>
      <c r="V34" s="2" t="inlineStr">
        <is>
          <t>Smal guldkornsfibbla</t>
        </is>
      </c>
      <c r="W34">
        <f>HYPERLINK("https://klasma.github.io/Logging_0512/artfynd/A 19370-2025 artfynd.xlsx", "A 19370-2025")</f>
        <v/>
      </c>
      <c r="X34">
        <f>HYPERLINK("https://klasma.github.io/Logging_0512/kartor/A 19370-2025 karta.png", "A 19370-2025")</f>
        <v/>
      </c>
      <c r="Y34">
        <f>HYPERLINK("https://klasma.github.io/Logging_0512/kartor_geotiff/A 19370-2025 georefererad karta.tif", "A 19370-2025")</f>
        <v/>
      </c>
      <c r="AA34">
        <f>HYPERLINK("https://klasma.github.io/Logging_0512/klagomål/A 19370-2025 FSC-klagomål.docx", "A 19370-2025")</f>
        <v/>
      </c>
      <c r="AB34">
        <f>HYPERLINK("https://klasma.github.io/Logging_0512/klagomålsmail/A 19370-2025 FSC-klagomål mail.docx", "A 19370-2025")</f>
        <v/>
      </c>
      <c r="AC34">
        <f>HYPERLINK("https://klasma.github.io/Logging_0512/tillsyn/A 19370-2025 tillsynsbegäran.docx", "A 19370-2025")</f>
        <v/>
      </c>
      <c r="AD34">
        <f>HYPERLINK("https://klasma.github.io/Logging_0512/tillsynsmail/A 19370-2025 tillsynsbegäran mail.docx", "A 19370-2025")</f>
        <v/>
      </c>
    </row>
    <row r="35" ht="15" customHeight="1">
      <c r="A35" t="inlineStr">
        <is>
          <t>A 53049-2024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45611</v>
      </c>
      <c r="E35" s="1" t="n">
        <v>46326</v>
      </c>
      <c r="F35" t="inlineStr">
        <is>
          <t>ÖSTERGÖTLANDS LÄN</t>
        </is>
      </c>
      <c r="G35" t="inlineStr">
        <is>
          <t>YDRE</t>
        </is>
      </c>
      <c r="H35" t="inlineStr">
        <is>
          <t>Övriga Aktiebolag</t>
        </is>
      </c>
      <c r="I35" t="n">
        <v>2.8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s="2" t="inlineStr">
        <is>
          <t>Mosippa</t>
        </is>
      </c>
      <c r="W35">
        <f>HYPERLINK("https://klasma.github.io/Logging_0512/artfynd/A 53049-2024 artfynd.xlsx", "A 53049-2024")</f>
        <v/>
      </c>
      <c r="X35">
        <f>HYPERLINK("https://klasma.github.io/Logging_0512/kartor/A 53049-2024 karta.png", "A 53049-2024")</f>
        <v/>
      </c>
      <c r="Y35">
        <f>HYPERLINK("https://klasma.github.io/Logging_0512/kartor_geotiff/A 53049-2024 georefererad karta.tif", "A 53049-2024")</f>
        <v/>
      </c>
      <c r="AA35">
        <f>HYPERLINK("https://klasma.github.io/Logging_0512/klagomål/A 53049-2024 FSC-klagomål.docx", "A 53049-2024")</f>
        <v/>
      </c>
      <c r="AB35">
        <f>HYPERLINK("https://klasma.github.io/Logging_0512/klagomålsmail/A 53049-2024 FSC-klagomål mail.docx", "A 53049-2024")</f>
        <v/>
      </c>
      <c r="AC35">
        <f>HYPERLINK("https://klasma.github.io/Logging_0512/tillsyn/A 53049-2024 tillsynsbegäran.docx", "A 53049-2024")</f>
        <v/>
      </c>
      <c r="AD35">
        <f>HYPERLINK("https://klasma.github.io/Logging_0512/tillsynsmail/A 53049-2024 tillsynsbegäran mail.docx", "A 53049-2024")</f>
        <v/>
      </c>
    </row>
    <row r="36" ht="15" customHeight="1">
      <c r="A36" t="inlineStr">
        <is>
          <t>A 11273-2024</t>
        </is>
      </c>
      <c r="B36" t="inlineStr">
        <is>
          <t>avverkningsanmälan</t>
        </is>
      </c>
      <c r="C36" t="inlineStr">
        <is>
          <t>Avverkning för annat ändamål</t>
        </is>
      </c>
      <c r="D36" s="1" t="n">
        <v>45371</v>
      </c>
      <c r="E36" s="1" t="n">
        <v>46326</v>
      </c>
      <c r="F36" t="inlineStr">
        <is>
          <t>ÖSTERGÖTLANDS LÄN</t>
        </is>
      </c>
      <c r="G36" t="inlineStr">
        <is>
          <t>YDRE</t>
        </is>
      </c>
      <c r="I36" t="n">
        <v>3.6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s="2" t="inlineStr">
        <is>
          <t>Lungrot</t>
        </is>
      </c>
      <c r="W36">
        <f>HYPERLINK("https://klasma.github.io/Logging_0512/artfynd/A 11273-2024 artfynd.xlsx", "A 11273-2024")</f>
        <v/>
      </c>
      <c r="X36">
        <f>HYPERLINK("https://klasma.github.io/Logging_0512/kartor/A 11273-2024 karta.png", "A 11273-2024")</f>
        <v/>
      </c>
      <c r="Y36">
        <f>HYPERLINK("https://klasma.github.io/Logging_0512/kartor_geotiff/A 11273-2024 georefererad karta.tif", "A 11273-2024")</f>
        <v/>
      </c>
      <c r="AA36">
        <f>HYPERLINK("https://klasma.github.io/Logging_0512/klagomål/A 11273-2024 FSC-klagomål.docx", "A 11273-2024")</f>
        <v/>
      </c>
      <c r="AB36">
        <f>HYPERLINK("https://klasma.github.io/Logging_0512/klagomålsmail/A 11273-2024 FSC-klagomål mail.docx", "A 11273-2024")</f>
        <v/>
      </c>
      <c r="AC36">
        <f>HYPERLINK("https://klasma.github.io/Logging_0512/tillsyn/A 11273-2024 tillsynsbegäran.docx", "A 11273-2024")</f>
        <v/>
      </c>
      <c r="AD36">
        <f>HYPERLINK("https://klasma.github.io/Logging_0512/tillsynsmail/A 11273-2024 tillsynsbegäran mail.docx", "A 11273-2024")</f>
        <v/>
      </c>
    </row>
    <row r="37" ht="15" customHeight="1">
      <c r="A37" t="inlineStr">
        <is>
          <t>A 41907-2024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45561</v>
      </c>
      <c r="E37" s="1" t="n">
        <v>46326</v>
      </c>
      <c r="F37" t="inlineStr">
        <is>
          <t>ÖSTERGÖTLANDS LÄN</t>
        </is>
      </c>
      <c r="G37" t="inlineStr">
        <is>
          <t>YDRE</t>
        </is>
      </c>
      <c r="I37" t="n">
        <v>1.2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s="2" t="inlineStr">
        <is>
          <t>Grovticka</t>
        </is>
      </c>
      <c r="W37">
        <f>HYPERLINK("https://klasma.github.io/Logging_0512/artfynd/A 41907-2024 artfynd.xlsx", "A 41907-2024")</f>
        <v/>
      </c>
      <c r="X37">
        <f>HYPERLINK("https://klasma.github.io/Logging_0512/kartor/A 41907-2024 karta.png", "A 41907-2024")</f>
        <v/>
      </c>
      <c r="Y37">
        <f>HYPERLINK("https://klasma.github.io/Logging_0512/kartor_geotiff/A 41907-2024 georefererad karta.tif", "A 41907-2024")</f>
        <v/>
      </c>
      <c r="AA37">
        <f>HYPERLINK("https://klasma.github.io/Logging_0512/klagomål/A 41907-2024 FSC-klagomål.docx", "A 41907-2024")</f>
        <v/>
      </c>
      <c r="AB37">
        <f>HYPERLINK("https://klasma.github.io/Logging_0512/klagomålsmail/A 41907-2024 FSC-klagomål mail.docx", "A 41907-2024")</f>
        <v/>
      </c>
      <c r="AC37">
        <f>HYPERLINK("https://klasma.github.io/Logging_0512/tillsyn/A 41907-2024 tillsynsbegäran.docx", "A 41907-2024")</f>
        <v/>
      </c>
      <c r="AD37">
        <f>HYPERLINK("https://klasma.github.io/Logging_0512/tillsynsmail/A 41907-2024 tillsynsbegäran mail.docx", "A 41907-2024")</f>
        <v/>
      </c>
    </row>
    <row r="38" ht="15" customHeight="1">
      <c r="A38" t="inlineStr">
        <is>
          <t>A 16704-2025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45754</v>
      </c>
      <c r="E38" s="1" t="n">
        <v>46326</v>
      </c>
      <c r="F38" t="inlineStr">
        <is>
          <t>ÖSTERGÖTLANDS LÄN</t>
        </is>
      </c>
      <c r="G38" t="inlineStr">
        <is>
          <t>YDRE</t>
        </is>
      </c>
      <c r="I38" t="n">
        <v>0.5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s="2" t="inlineStr">
        <is>
          <t>Grön sköldmossa</t>
        </is>
      </c>
      <c r="W38">
        <f>HYPERLINK("https://klasma.github.io/Logging_0512/artfynd/A 16704-2025 artfynd.xlsx", "A 16704-2025")</f>
        <v/>
      </c>
      <c r="X38">
        <f>HYPERLINK("https://klasma.github.io/Logging_0512/kartor/A 16704-2025 karta.png", "A 16704-2025")</f>
        <v/>
      </c>
      <c r="Y38">
        <f>HYPERLINK("https://klasma.github.io/Logging_0512/kartor_geotiff/A 16704-2025 georefererad karta.tif", "A 16704-2025")</f>
        <v/>
      </c>
      <c r="AA38">
        <f>HYPERLINK("https://klasma.github.io/Logging_0512/klagomål/A 16704-2025 FSC-klagomål.docx", "A 16704-2025")</f>
        <v/>
      </c>
      <c r="AB38">
        <f>HYPERLINK("https://klasma.github.io/Logging_0512/klagomålsmail/A 16704-2025 FSC-klagomål mail.docx", "A 16704-2025")</f>
        <v/>
      </c>
      <c r="AC38">
        <f>HYPERLINK("https://klasma.github.io/Logging_0512/tillsyn/A 16704-2025 tillsynsbegäran.docx", "A 16704-2025")</f>
        <v/>
      </c>
      <c r="AD38">
        <f>HYPERLINK("https://klasma.github.io/Logging_0512/tillsynsmail/A 16704-2025 tillsynsbegäran mail.docx", "A 16704-2025")</f>
        <v/>
      </c>
    </row>
    <row r="39" ht="15" customHeight="1">
      <c r="A39" t="inlineStr">
        <is>
          <t>A 11716-2025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45727</v>
      </c>
      <c r="E39" s="1" t="n">
        <v>46326</v>
      </c>
      <c r="F39" t="inlineStr">
        <is>
          <t>ÖSTERGÖTLANDS LÄN</t>
        </is>
      </c>
      <c r="G39" t="inlineStr">
        <is>
          <t>YDRE</t>
        </is>
      </c>
      <c r="I39" t="n">
        <v>1.7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1</v>
      </c>
      <c r="U39" t="n">
        <v>0</v>
      </c>
      <c r="V39" s="2" t="inlineStr">
        <is>
          <t>Kryddspindling</t>
        </is>
      </c>
      <c r="W39">
        <f>HYPERLINK("https://klasma.github.io/Logging_0512/artfynd/A 11716-2025 artfynd.xlsx", "A 11716-2025")</f>
        <v/>
      </c>
      <c r="X39">
        <f>HYPERLINK("https://klasma.github.io/Logging_0512/kartor/A 11716-2025 karta.png", "A 11716-2025")</f>
        <v/>
      </c>
      <c r="Y39">
        <f>HYPERLINK("https://klasma.github.io/Logging_0512/kartor_geotiff/A 11716-2025 georefererad karta.tif", "A 11716-2025")</f>
        <v/>
      </c>
      <c r="AA39">
        <f>HYPERLINK("https://klasma.github.io/Logging_0512/klagomål/A 11716-2025 FSC-klagomål.docx", "A 11716-2025")</f>
        <v/>
      </c>
      <c r="AB39">
        <f>HYPERLINK("https://klasma.github.io/Logging_0512/klagomålsmail/A 11716-2025 FSC-klagomål mail.docx", "A 11716-2025")</f>
        <v/>
      </c>
      <c r="AC39">
        <f>HYPERLINK("https://klasma.github.io/Logging_0512/tillsyn/A 11716-2025 tillsynsbegäran.docx", "A 11716-2025")</f>
        <v/>
      </c>
      <c r="AD39">
        <f>HYPERLINK("https://klasma.github.io/Logging_0512/tillsynsmail/A 11716-2025 tillsynsbegäran mail.docx", "A 11716-2025")</f>
        <v/>
      </c>
    </row>
    <row r="40" ht="15" customHeight="1">
      <c r="A40" t="inlineStr">
        <is>
          <t>A 45765-2025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45922</v>
      </c>
      <c r="E40" s="1" t="n">
        <v>46326</v>
      </c>
      <c r="F40" t="inlineStr">
        <is>
          <t>ÖSTERGÖTLANDS LÄN</t>
        </is>
      </c>
      <c r="G40" t="inlineStr">
        <is>
          <t>YDRE</t>
        </is>
      </c>
      <c r="I40" t="n">
        <v>10.9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1</v>
      </c>
      <c r="U40" t="n">
        <v>0</v>
      </c>
      <c r="V40" s="2" t="inlineStr">
        <is>
          <t>Sommarfibbla</t>
        </is>
      </c>
      <c r="W40">
        <f>HYPERLINK("https://klasma.github.io/Logging_0512/artfynd/A 45765-2025 artfynd.xlsx", "A 45765-2025")</f>
        <v/>
      </c>
      <c r="X40">
        <f>HYPERLINK("https://klasma.github.io/Logging_0512/kartor/A 45765-2025 karta.png", "A 45765-2025")</f>
        <v/>
      </c>
      <c r="Y40">
        <f>HYPERLINK("https://klasma.github.io/Logging_0512/kartor_geotiff/A 45765-2025 georefererad karta.tif", "A 45765-2025")</f>
        <v/>
      </c>
      <c r="AA40">
        <f>HYPERLINK("https://klasma.github.io/Logging_0512/klagomål/A 45765-2025 FSC-klagomål.docx", "A 45765-2025")</f>
        <v/>
      </c>
      <c r="AB40">
        <f>HYPERLINK("https://klasma.github.io/Logging_0512/klagomålsmail/A 45765-2025 FSC-klagomål mail.docx", "A 45765-2025")</f>
        <v/>
      </c>
      <c r="AC40">
        <f>HYPERLINK("https://klasma.github.io/Logging_0512/tillsyn/A 45765-2025 tillsynsbegäran.docx", "A 45765-2025")</f>
        <v/>
      </c>
      <c r="AD40">
        <f>HYPERLINK("https://klasma.github.io/Logging_0512/tillsynsmail/A 45765-2025 tillsynsbegäran mail.docx", "A 45765-2025")</f>
        <v/>
      </c>
    </row>
    <row r="41" ht="15" customHeight="1">
      <c r="A41" t="inlineStr">
        <is>
          <t>A 12669-2025</t>
        </is>
      </c>
      <c r="B41" t="inlineStr">
        <is>
          <t>avverkningsanmälan</t>
        </is>
      </c>
      <c r="C41" t="inlineStr">
        <is>
          <t>Avverkning för annat ändamål</t>
        </is>
      </c>
      <c r="D41" s="1" t="n">
        <v>45733</v>
      </c>
      <c r="E41" s="1" t="n">
        <v>46326</v>
      </c>
      <c r="F41" t="inlineStr">
        <is>
          <t>ÖSTERGÖTLANDS LÄN</t>
        </is>
      </c>
      <c r="G41" t="inlineStr">
        <is>
          <t>YDRE</t>
        </is>
      </c>
      <c r="I41" t="n">
        <v>0.8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0</v>
      </c>
      <c r="V41" s="2" t="inlineStr">
        <is>
          <t>Nattviol</t>
        </is>
      </c>
      <c r="W41">
        <f>HYPERLINK("https://klasma.github.io/Logging_0512/artfynd/A 12669-2025 artfynd.xlsx", "A 12669-2025")</f>
        <v/>
      </c>
      <c r="X41">
        <f>HYPERLINK("https://klasma.github.io/Logging_0512/kartor/A 12669-2025 karta.png", "A 12669-2025")</f>
        <v/>
      </c>
      <c r="Y41">
        <f>HYPERLINK("https://klasma.github.io/Logging_0512/kartor_geotiff/A 12669-2025 georefererad karta.tif", "A 12669-2025")</f>
        <v/>
      </c>
      <c r="AA41">
        <f>HYPERLINK("https://klasma.github.io/Logging_0512/klagomål/A 12669-2025 FSC-klagomål.docx", "A 12669-2025")</f>
        <v/>
      </c>
      <c r="AB41">
        <f>HYPERLINK("https://klasma.github.io/Logging_0512/klagomålsmail/A 12669-2025 FSC-klagomål mail.docx", "A 12669-2025")</f>
        <v/>
      </c>
      <c r="AC41">
        <f>HYPERLINK("https://klasma.github.io/Logging_0512/tillsyn/A 12669-2025 tillsynsbegäran.docx", "A 12669-2025")</f>
        <v/>
      </c>
      <c r="AD41">
        <f>HYPERLINK("https://klasma.github.io/Logging_0512/tillsynsmail/A 12669-2025 tillsynsbegäran mail.docx", "A 12669-2025")</f>
        <v/>
      </c>
    </row>
    <row r="42" ht="15" customHeight="1">
      <c r="A42" t="inlineStr">
        <is>
          <t>A 45354-2023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45192</v>
      </c>
      <c r="E42" s="1" t="n">
        <v>46326</v>
      </c>
      <c r="F42" t="inlineStr">
        <is>
          <t>ÖSTERGÖTLANDS LÄN</t>
        </is>
      </c>
      <c r="G42" t="inlineStr">
        <is>
          <t>YDRE</t>
        </is>
      </c>
      <c r="I42" t="n">
        <v>0.8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s="2" t="inlineStr">
        <is>
          <t>Grönvit nattviol</t>
        </is>
      </c>
      <c r="W42">
        <f>HYPERLINK("https://klasma.github.io/Logging_0512/artfynd/A 45354-2023 artfynd.xlsx", "A 45354-2023")</f>
        <v/>
      </c>
      <c r="X42">
        <f>HYPERLINK("https://klasma.github.io/Logging_0512/kartor/A 45354-2023 karta.png", "A 45354-2023")</f>
        <v/>
      </c>
      <c r="Y42">
        <f>HYPERLINK("https://klasma.github.io/Logging_0512/kartor_geotiff/A 45354-2023 georefererad karta.tif", "A 45354-2023")</f>
        <v/>
      </c>
      <c r="AA42">
        <f>HYPERLINK("https://klasma.github.io/Logging_0512/klagomål/A 45354-2023 FSC-klagomål.docx", "A 45354-2023")</f>
        <v/>
      </c>
      <c r="AB42">
        <f>HYPERLINK("https://klasma.github.io/Logging_0512/klagomålsmail/A 45354-2023 FSC-klagomål mail.docx", "A 45354-2023")</f>
        <v/>
      </c>
      <c r="AC42">
        <f>HYPERLINK("https://klasma.github.io/Logging_0512/tillsyn/A 45354-2023 tillsynsbegäran.docx", "A 45354-2023")</f>
        <v/>
      </c>
      <c r="AD42">
        <f>HYPERLINK("https://klasma.github.io/Logging_0512/tillsynsmail/A 45354-2023 tillsynsbegäran mail.docx", "A 45354-2023")</f>
        <v/>
      </c>
    </row>
    <row r="43" ht="15" customHeight="1">
      <c r="A43" t="inlineStr">
        <is>
          <t>A 29200-2026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46202</v>
      </c>
      <c r="E43" s="1" t="n">
        <v>46326</v>
      </c>
      <c r="F43" t="inlineStr">
        <is>
          <t>ÖSTERGÖTLANDS LÄN</t>
        </is>
      </c>
      <c r="G43" t="inlineStr">
        <is>
          <t>YDRE</t>
        </is>
      </c>
      <c r="I43" t="n">
        <v>1.9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1</v>
      </c>
      <c r="U43" t="n">
        <v>0</v>
      </c>
      <c r="V43" s="2" t="inlineStr">
        <is>
          <t>Svinrot</t>
        </is>
      </c>
      <c r="W43">
        <f>HYPERLINK("https://klasma.github.io/Logging_0512/artfynd/A 29200-2026 artfynd.xlsx", "A 29200-2026")</f>
        <v/>
      </c>
      <c r="X43">
        <f>HYPERLINK("https://klasma.github.io/Logging_0512/kartor/A 29200-2026 karta.png", "A 29200-2026")</f>
        <v/>
      </c>
      <c r="Y43">
        <f>HYPERLINK("https://klasma.github.io/Logging_0512/kartor_geotiff/A 29200-2026 georefererad karta.tif", "A 29200-2026")</f>
        <v/>
      </c>
      <c r="AA43">
        <f>HYPERLINK("https://klasma.github.io/Logging_0512/klagomål/A 29200-2026 FSC-klagomål.docx", "A 29200-2026")</f>
        <v/>
      </c>
      <c r="AB43">
        <f>HYPERLINK("https://klasma.github.io/Logging_0512/klagomålsmail/A 29200-2026 FSC-klagomål mail.docx", "A 29200-2026")</f>
        <v/>
      </c>
      <c r="AC43">
        <f>HYPERLINK("https://klasma.github.io/Logging_0512/tillsyn/A 29200-2026 tillsynsbegäran.docx", "A 29200-2026")</f>
        <v/>
      </c>
      <c r="AD43">
        <f>HYPERLINK("https://klasma.github.io/Logging_0512/tillsynsmail/A 29200-2026 tillsynsbegäran mail.docx", "A 29200-2026")</f>
        <v/>
      </c>
    </row>
    <row r="44" ht="15" customHeight="1">
      <c r="A44" t="inlineStr">
        <is>
          <t>S 1389-2025</t>
        </is>
      </c>
      <c r="B44" t="inlineStr">
        <is>
          <t>samrådsanmälan</t>
        </is>
      </c>
      <c r="C44" t="inlineStr">
        <is>
          <t>Annan skogsbruksåtgärd</t>
        </is>
      </c>
      <c r="D44" s="1" t="n">
        <v>45777</v>
      </c>
      <c r="E44" s="1" t="n">
        <v>46326</v>
      </c>
      <c r="F44" t="inlineStr">
        <is>
          <t>ÖSTERGÖTLANDS LÄN</t>
        </is>
      </c>
      <c r="G44" t="inlineStr">
        <is>
          <t>YDRE</t>
        </is>
      </c>
      <c r="I44" t="n">
        <v>5.3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1</v>
      </c>
      <c r="U44" t="n">
        <v>0</v>
      </c>
      <c r="V44" s="2" t="inlineStr">
        <is>
          <t>Smal guldkornsfibbla</t>
        </is>
      </c>
      <c r="W44">
        <f>HYPERLINK("https://klasma.github.io/Logging_0512/artfynd/S 1389-2025 artfynd.xlsx", "S 1389-2025")</f>
        <v/>
      </c>
      <c r="X44">
        <f>HYPERLINK("https://klasma.github.io/Logging_0512/kartor/S 1389-2025 karta.png", "S 1389-2025")</f>
        <v/>
      </c>
      <c r="Y44">
        <f>HYPERLINK("https://klasma.github.io/Logging_0512/kartor_geotiff/S 1389-2025 georefererad karta.tif", "S 1389-2025")</f>
        <v/>
      </c>
      <c r="AA44">
        <f>HYPERLINK("https://klasma.github.io/Logging_0512/klagomål/S 1389-2025 FSC-klagomål.docx", "S 1389-2025")</f>
        <v/>
      </c>
      <c r="AB44">
        <f>HYPERLINK("https://klasma.github.io/Logging_0512/klagomålsmail/S 1389-2025 FSC-klagomål mail.docx", "S 1389-2025")</f>
        <v/>
      </c>
      <c r="AC44">
        <f>HYPERLINK("https://klasma.github.io/Logging_0512/tillsyn/S 1389-2025 tillsynsbegäran.docx", "S 1389-2025")</f>
        <v/>
      </c>
      <c r="AD44">
        <f>HYPERLINK("https://klasma.github.io/Logging_0512/tillsynsmail/S 1389-2025 tillsynsbegäran mail.docx", "S 1389-2025")</f>
        <v/>
      </c>
    </row>
    <row r="45" ht="15" customHeight="1">
      <c r="A45" t="inlineStr">
        <is>
          <t>S 490-2026</t>
        </is>
      </c>
      <c r="B45" t="inlineStr">
        <is>
          <t>samrådsanmälan</t>
        </is>
      </c>
      <c r="C45" t="inlineStr">
        <is>
          <t>Annan skogsbruksåtgärd</t>
        </is>
      </c>
      <c r="D45" s="1" t="n">
        <v>46075</v>
      </c>
      <c r="E45" s="1" t="n">
        <v>46326</v>
      </c>
      <c r="F45" t="inlineStr">
        <is>
          <t>ÖSTERGÖTLANDS LÄN</t>
        </is>
      </c>
      <c r="G45" t="inlineStr">
        <is>
          <t>YDRE</t>
        </is>
      </c>
      <c r="I45" t="n">
        <v>8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s="2" t="inlineStr">
        <is>
          <t>Spillkråka</t>
        </is>
      </c>
      <c r="W45">
        <f>HYPERLINK("https://klasma.github.io/Logging_0512/artfynd/S 490-2026 artfynd.xlsx", "S 490-2026")</f>
        <v/>
      </c>
      <c r="X45">
        <f>HYPERLINK("https://klasma.github.io/Logging_0512/kartor/S 490-2026 karta.png", "S 490-2026")</f>
        <v/>
      </c>
      <c r="Y45">
        <f>HYPERLINK("https://klasma.github.io/Logging_0512/kartor_geotiff/S 490-2026 georefererad karta.tif", "S 490-2026")</f>
        <v/>
      </c>
      <c r="AA45">
        <f>HYPERLINK("https://klasma.github.io/Logging_0512/klagomål/S 490-2026 FSC-klagomål.docx", "S 490-2026")</f>
        <v/>
      </c>
      <c r="AB45">
        <f>HYPERLINK("https://klasma.github.io/Logging_0512/klagomålsmail/S 490-2026 FSC-klagomål mail.docx", "S 490-2026")</f>
        <v/>
      </c>
      <c r="AC45">
        <f>HYPERLINK("https://klasma.github.io/Logging_0512/tillsyn/S 490-2026 tillsynsbegäran.docx", "S 490-2026")</f>
        <v/>
      </c>
      <c r="AD45">
        <f>HYPERLINK("https://klasma.github.io/Logging_0512/tillsynsmail/S 490-2026 tillsynsbegäran mail.docx", "S 490-2026")</f>
        <v/>
      </c>
      <c r="AE45">
        <f>HYPERLINK("https://klasma.github.io/Logging_0512/fåglar/S 490-2026 prioriterade fågelarter.docx", "S 490-2026")</f>
        <v/>
      </c>
    </row>
    <row r="46" ht="15" customHeight="1">
      <c r="A46" t="inlineStr">
        <is>
          <t>A 3066-2022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44582</v>
      </c>
      <c r="E46" s="1" t="n">
        <v>46326</v>
      </c>
      <c r="F46" t="inlineStr">
        <is>
          <t>ÖSTERGÖTLANDS LÄN</t>
        </is>
      </c>
      <c r="G46" t="inlineStr">
        <is>
          <t>YDRE</t>
        </is>
      </c>
      <c r="I46" t="n">
        <v>0.7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63384-2021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44508</v>
      </c>
      <c r="E47" s="1" t="n">
        <v>46326</v>
      </c>
      <c r="F47" t="inlineStr">
        <is>
          <t>ÖSTERGÖTLANDS LÄN</t>
        </is>
      </c>
      <c r="G47" t="inlineStr">
        <is>
          <t>YDRE</t>
        </is>
      </c>
      <c r="I47" t="n">
        <v>0.6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19610-2022</t>
        </is>
      </c>
      <c r="B48" t="inlineStr">
        <is>
          <t>avverkningsanmälan</t>
        </is>
      </c>
      <c r="C48" t="inlineStr">
        <is>
          <t>Avverkning för annat ändamål</t>
        </is>
      </c>
      <c r="D48" s="1" t="n">
        <v>44693</v>
      </c>
      <c r="E48" s="1" t="n">
        <v>46326</v>
      </c>
      <c r="F48" t="inlineStr">
        <is>
          <t>ÖSTERGÖTLANDS LÄN</t>
        </is>
      </c>
      <c r="G48" t="inlineStr">
        <is>
          <t>YDRE</t>
        </is>
      </c>
      <c r="I48" t="n">
        <v>2.4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41531-2022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44827</v>
      </c>
      <c r="E49" s="1" t="n">
        <v>46326</v>
      </c>
      <c r="F49" t="inlineStr">
        <is>
          <t>ÖSTERGÖTLANDS LÄN</t>
        </is>
      </c>
      <c r="G49" t="inlineStr">
        <is>
          <t>YDRE</t>
        </is>
      </c>
      <c r="H49" t="inlineStr">
        <is>
          <t>Sveaskog</t>
        </is>
      </c>
      <c r="I49" t="n">
        <v>4.2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3374-2022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44585</v>
      </c>
      <c r="E50" s="1" t="n">
        <v>46326</v>
      </c>
      <c r="F50" t="inlineStr">
        <is>
          <t>ÖSTERGÖTLANDS LÄN</t>
        </is>
      </c>
      <c r="G50" t="inlineStr">
        <is>
          <t>YDRE</t>
        </is>
      </c>
      <c r="I50" t="n">
        <v>2.9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62006-2021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44502</v>
      </c>
      <c r="E51" s="1" t="n">
        <v>46326</v>
      </c>
      <c r="F51" t="inlineStr">
        <is>
          <t>ÖSTERGÖTLANDS LÄN</t>
        </is>
      </c>
      <c r="G51" t="inlineStr">
        <is>
          <t>YDRE</t>
        </is>
      </c>
      <c r="I51" t="n">
        <v>1.7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40070-2022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44820</v>
      </c>
      <c r="E52" s="1" t="n">
        <v>46326</v>
      </c>
      <c r="F52" t="inlineStr">
        <is>
          <t>ÖSTERGÖTLANDS LÄN</t>
        </is>
      </c>
      <c r="G52" t="inlineStr">
        <is>
          <t>YDRE</t>
        </is>
      </c>
      <c r="I52" t="n">
        <v>17.3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41508-2022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44827</v>
      </c>
      <c r="E53" s="1" t="n">
        <v>46326</v>
      </c>
      <c r="F53" t="inlineStr">
        <is>
          <t>ÖSTERGÖTLANDS LÄN</t>
        </is>
      </c>
      <c r="G53" t="inlineStr">
        <is>
          <t>YDRE</t>
        </is>
      </c>
      <c r="H53" t="inlineStr">
        <is>
          <t>Sveaskog</t>
        </is>
      </c>
      <c r="I53" t="n">
        <v>0.7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62509-2021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44503</v>
      </c>
      <c r="E54" s="1" t="n">
        <v>46326</v>
      </c>
      <c r="F54" t="inlineStr">
        <is>
          <t>ÖSTERGÖTLANDS LÄN</t>
        </is>
      </c>
      <c r="G54" t="inlineStr">
        <is>
          <t>YDRE</t>
        </is>
      </c>
      <c r="H54" t="inlineStr">
        <is>
          <t>Sveaskog</t>
        </is>
      </c>
      <c r="I54" t="n">
        <v>3.5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18608-2022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44687</v>
      </c>
      <c r="E55" s="1" t="n">
        <v>46326</v>
      </c>
      <c r="F55" t="inlineStr">
        <is>
          <t>ÖSTERGÖTLANDS LÄN</t>
        </is>
      </c>
      <c r="G55" t="inlineStr">
        <is>
          <t>YDRE</t>
        </is>
      </c>
      <c r="H55" t="inlineStr">
        <is>
          <t>Övriga Aktiebolag</t>
        </is>
      </c>
      <c r="I55" t="n">
        <v>0.7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51046-2022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44868</v>
      </c>
      <c r="E56" s="1" t="n">
        <v>46326</v>
      </c>
      <c r="F56" t="inlineStr">
        <is>
          <t>ÖSTERGÖTLANDS LÄN</t>
        </is>
      </c>
      <c r="G56" t="inlineStr">
        <is>
          <t>YDRE</t>
        </is>
      </c>
      <c r="I56" t="n">
        <v>1.3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53331-2022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44879</v>
      </c>
      <c r="E57" s="1" t="n">
        <v>46326</v>
      </c>
      <c r="F57" t="inlineStr">
        <is>
          <t>ÖSTERGÖTLANDS LÄN</t>
        </is>
      </c>
      <c r="G57" t="inlineStr">
        <is>
          <t>YDRE</t>
        </is>
      </c>
      <c r="H57" t="inlineStr">
        <is>
          <t>Övriga Aktiebolag</t>
        </is>
      </c>
      <c r="I57" t="n">
        <v>3.8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53373-2022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44879</v>
      </c>
      <c r="E58" s="1" t="n">
        <v>46326</v>
      </c>
      <c r="F58" t="inlineStr">
        <is>
          <t>ÖSTERGÖTLANDS LÄN</t>
        </is>
      </c>
      <c r="G58" t="inlineStr">
        <is>
          <t>YDRE</t>
        </is>
      </c>
      <c r="I58" t="n">
        <v>0.9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53383-2022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44879</v>
      </c>
      <c r="E59" s="1" t="n">
        <v>46326</v>
      </c>
      <c r="F59" t="inlineStr">
        <is>
          <t>ÖSTERGÖTLANDS LÄN</t>
        </is>
      </c>
      <c r="G59" t="inlineStr">
        <is>
          <t>YDRE</t>
        </is>
      </c>
      <c r="I59" t="n">
        <v>0.7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33687-2022</t>
        </is>
      </c>
      <c r="B60" t="inlineStr">
        <is>
          <t>avverkningsanmälan</t>
        </is>
      </c>
      <c r="C60" t="inlineStr">
        <is>
          <t>Avverkning för att bevara och utveckla /försöksver</t>
        </is>
      </c>
      <c r="D60" s="1" t="n">
        <v>44789</v>
      </c>
      <c r="E60" s="1" t="n">
        <v>46326</v>
      </c>
      <c r="F60" t="inlineStr">
        <is>
          <t>ÖSTERGÖTLANDS LÄN</t>
        </is>
      </c>
      <c r="G60" t="inlineStr">
        <is>
          <t>YDRE</t>
        </is>
      </c>
      <c r="H60" t="inlineStr">
        <is>
          <t>Sveaskog</t>
        </is>
      </c>
      <c r="I60" t="n">
        <v>2.6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65794-2021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44516</v>
      </c>
      <c r="E61" s="1" t="n">
        <v>46326</v>
      </c>
      <c r="F61" t="inlineStr">
        <is>
          <t>ÖSTERGÖTLANDS LÄN</t>
        </is>
      </c>
      <c r="G61" t="inlineStr">
        <is>
          <t>YDRE</t>
        </is>
      </c>
      <c r="I61" t="n">
        <v>4.4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39085-2022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44816</v>
      </c>
      <c r="E62" s="1" t="n">
        <v>46326</v>
      </c>
      <c r="F62" t="inlineStr">
        <is>
          <t>ÖSTERGÖTLANDS LÄN</t>
        </is>
      </c>
      <c r="G62" t="inlineStr">
        <is>
          <t>YDRE</t>
        </is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71035-2021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44538</v>
      </c>
      <c r="E63" s="1" t="n">
        <v>46326</v>
      </c>
      <c r="F63" t="inlineStr">
        <is>
          <t>ÖSTERGÖTLANDS LÄN</t>
        </is>
      </c>
      <c r="G63" t="inlineStr">
        <is>
          <t>YDRE</t>
        </is>
      </c>
      <c r="I63" t="n">
        <v>4.5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24938-2022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44728</v>
      </c>
      <c r="E64" s="1" t="n">
        <v>46326</v>
      </c>
      <c r="F64" t="inlineStr">
        <is>
          <t>ÖSTERGÖTLANDS LÄN</t>
        </is>
      </c>
      <c r="G64" t="inlineStr">
        <is>
          <t>YDRE</t>
        </is>
      </c>
      <c r="I64" t="n">
        <v>2.5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4982-2022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44593</v>
      </c>
      <c r="E65" s="1" t="n">
        <v>46326</v>
      </c>
      <c r="F65" t="inlineStr">
        <is>
          <t>ÖSTERGÖTLANDS LÄN</t>
        </is>
      </c>
      <c r="G65" t="inlineStr">
        <is>
          <t>YDRE</t>
        </is>
      </c>
      <c r="H65" t="inlineStr">
        <is>
          <t>Övriga Aktiebolag</t>
        </is>
      </c>
      <c r="I65" t="n">
        <v>5.9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20158-2022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44698</v>
      </c>
      <c r="E66" s="1" t="n">
        <v>46326</v>
      </c>
      <c r="F66" t="inlineStr">
        <is>
          <t>ÖSTERGÖTLANDS LÄN</t>
        </is>
      </c>
      <c r="G66" t="inlineStr">
        <is>
          <t>YDRE</t>
        </is>
      </c>
      <c r="I66" t="n">
        <v>0.9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13935-2022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44650</v>
      </c>
      <c r="E67" s="1" t="n">
        <v>46326</v>
      </c>
      <c r="F67" t="inlineStr">
        <is>
          <t>ÖSTERGÖTLANDS LÄN</t>
        </is>
      </c>
      <c r="G67" t="inlineStr">
        <is>
          <t>YDRE</t>
        </is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41536-2022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44827</v>
      </c>
      <c r="E68" s="1" t="n">
        <v>46326</v>
      </c>
      <c r="F68" t="inlineStr">
        <is>
          <t>ÖSTERGÖTLANDS LÄN</t>
        </is>
      </c>
      <c r="G68" t="inlineStr">
        <is>
          <t>YDRE</t>
        </is>
      </c>
      <c r="H68" t="inlineStr">
        <is>
          <t>Sveaskog</t>
        </is>
      </c>
      <c r="I68" t="n">
        <v>5.6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27744-2022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44743</v>
      </c>
      <c r="E69" s="1" t="n">
        <v>46326</v>
      </c>
      <c r="F69" t="inlineStr">
        <is>
          <t>ÖSTERGÖTLANDS LÄN</t>
        </is>
      </c>
      <c r="G69" t="inlineStr">
        <is>
          <t>YDRE</t>
        </is>
      </c>
      <c r="I69" t="n">
        <v>2.2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71041-2021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44538</v>
      </c>
      <c r="E70" s="1" t="n">
        <v>46326</v>
      </c>
      <c r="F70" t="inlineStr">
        <is>
          <t>ÖSTERGÖTLANDS LÄN</t>
        </is>
      </c>
      <c r="G70" t="inlineStr">
        <is>
          <t>YDRE</t>
        </is>
      </c>
      <c r="I70" t="n">
        <v>1.1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69307-2021</t>
        </is>
      </c>
      <c r="B71" t="inlineStr">
        <is>
          <t>avverkningsanmälan</t>
        </is>
      </c>
      <c r="C71" t="inlineStr">
        <is>
          <t>Avverkning för annat ändamål</t>
        </is>
      </c>
      <c r="D71" s="1" t="n">
        <v>44531</v>
      </c>
      <c r="E71" s="1" t="n">
        <v>46326</v>
      </c>
      <c r="F71" t="inlineStr">
        <is>
          <t>ÖSTERGÖTLANDS LÄN</t>
        </is>
      </c>
      <c r="G71" t="inlineStr">
        <is>
          <t>YDRE</t>
        </is>
      </c>
      <c r="I71" t="n">
        <v>1.3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30049-2023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45110</v>
      </c>
      <c r="E72" s="1" t="n">
        <v>46326</v>
      </c>
      <c r="F72" t="inlineStr">
        <is>
          <t>ÖSTERGÖTLANDS LÄN</t>
        </is>
      </c>
      <c r="G72" t="inlineStr">
        <is>
          <t>YDRE</t>
        </is>
      </c>
      <c r="I72" t="n">
        <v>1.2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19769-2024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45432</v>
      </c>
      <c r="E73" s="1" t="n">
        <v>46326</v>
      </c>
      <c r="F73" t="inlineStr">
        <is>
          <t>ÖSTERGÖTLANDS LÄN</t>
        </is>
      </c>
      <c r="G73" t="inlineStr">
        <is>
          <t>YDRE</t>
        </is>
      </c>
      <c r="I73" t="n">
        <v>3.1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49967-2024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45597</v>
      </c>
      <c r="E74" s="1" t="n">
        <v>46326</v>
      </c>
      <c r="F74" t="inlineStr">
        <is>
          <t>ÖSTERGÖTLANDS LÄN</t>
        </is>
      </c>
      <c r="G74" t="inlineStr">
        <is>
          <t>YDRE</t>
        </is>
      </c>
      <c r="I74" t="n">
        <v>1.3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565-2025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45664</v>
      </c>
      <c r="E75" s="1" t="n">
        <v>46326</v>
      </c>
      <c r="F75" t="inlineStr">
        <is>
          <t>ÖSTERGÖTLANDS LÄN</t>
        </is>
      </c>
      <c r="G75" t="inlineStr">
        <is>
          <t>YDRE</t>
        </is>
      </c>
      <c r="I75" t="n">
        <v>2.5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7306-2022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44606</v>
      </c>
      <c r="E76" s="1" t="n">
        <v>46326</v>
      </c>
      <c r="F76" t="inlineStr">
        <is>
          <t>ÖSTERGÖTLANDS LÄN</t>
        </is>
      </c>
      <c r="G76" t="inlineStr">
        <is>
          <t>YDRE</t>
        </is>
      </c>
      <c r="I76" t="n">
        <v>1.4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71524-2021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44538</v>
      </c>
      <c r="E77" s="1" t="n">
        <v>46326</v>
      </c>
      <c r="F77" t="inlineStr">
        <is>
          <t>ÖSTERGÖTLANDS LÄN</t>
        </is>
      </c>
      <c r="G77" t="inlineStr">
        <is>
          <t>YDRE</t>
        </is>
      </c>
      <c r="I77" t="n">
        <v>0.5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30108-2023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45110</v>
      </c>
      <c r="E78" s="1" t="n">
        <v>46326</v>
      </c>
      <c r="F78" t="inlineStr">
        <is>
          <t>ÖSTERGÖTLANDS LÄN</t>
        </is>
      </c>
      <c r="G78" t="inlineStr">
        <is>
          <t>YDRE</t>
        </is>
      </c>
      <c r="I78" t="n">
        <v>2.1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49694-2024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45596</v>
      </c>
      <c r="E79" s="1" t="n">
        <v>46326</v>
      </c>
      <c r="F79" t="inlineStr">
        <is>
          <t>ÖSTERGÖTLANDS LÄN</t>
        </is>
      </c>
      <c r="G79" t="inlineStr">
        <is>
          <t>YDRE</t>
        </is>
      </c>
      <c r="I79" t="n">
        <v>1.1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9158-2025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45714</v>
      </c>
      <c r="E80" s="1" t="n">
        <v>46326</v>
      </c>
      <c r="F80" t="inlineStr">
        <is>
          <t>ÖSTERGÖTLANDS LÄN</t>
        </is>
      </c>
      <c r="G80" t="inlineStr">
        <is>
          <t>YDRE</t>
        </is>
      </c>
      <c r="I80" t="n">
        <v>3.5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34181-2023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45138</v>
      </c>
      <c r="E81" s="1" t="n">
        <v>46326</v>
      </c>
      <c r="F81" t="inlineStr">
        <is>
          <t>ÖSTERGÖTLANDS LÄN</t>
        </is>
      </c>
      <c r="G81" t="inlineStr">
        <is>
          <t>YDRE</t>
        </is>
      </c>
      <c r="I81" t="n">
        <v>1.8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795-2025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45665</v>
      </c>
      <c r="E82" s="1" t="n">
        <v>46326</v>
      </c>
      <c r="F82" t="inlineStr">
        <is>
          <t>ÖSTERGÖTLANDS LÄN</t>
        </is>
      </c>
      <c r="G82" t="inlineStr">
        <is>
          <t>YDRE</t>
        </is>
      </c>
      <c r="I82" t="n">
        <v>1.3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794-2025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45665</v>
      </c>
      <c r="E83" s="1" t="n">
        <v>46326</v>
      </c>
      <c r="F83" t="inlineStr">
        <is>
          <t>ÖSTERGÖTLANDS LÄN</t>
        </is>
      </c>
      <c r="G83" t="inlineStr">
        <is>
          <t>YDRE</t>
        </is>
      </c>
      <c r="I83" t="n">
        <v>0.5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1000-2025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45666</v>
      </c>
      <c r="E84" s="1" t="n">
        <v>46326</v>
      </c>
      <c r="F84" t="inlineStr">
        <is>
          <t>ÖSTERGÖTLANDS LÄN</t>
        </is>
      </c>
      <c r="G84" t="inlineStr">
        <is>
          <t>YDRE</t>
        </is>
      </c>
      <c r="I84" t="n">
        <v>0.5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58831-2022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44903</v>
      </c>
      <c r="E85" s="1" t="n">
        <v>46326</v>
      </c>
      <c r="F85" t="inlineStr">
        <is>
          <t>ÖSTERGÖTLANDS LÄN</t>
        </is>
      </c>
      <c r="G85" t="inlineStr">
        <is>
          <t>YDRE</t>
        </is>
      </c>
      <c r="I85" t="n">
        <v>3.7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55395-2023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45231</v>
      </c>
      <c r="E86" s="1" t="n">
        <v>46326</v>
      </c>
      <c r="F86" t="inlineStr">
        <is>
          <t>ÖSTERGÖTLANDS LÄN</t>
        </is>
      </c>
      <c r="G86" t="inlineStr">
        <is>
          <t>YDRE</t>
        </is>
      </c>
      <c r="I86" t="n">
        <v>0.8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4624-2022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44592</v>
      </c>
      <c r="E87" s="1" t="n">
        <v>46326</v>
      </c>
      <c r="F87" t="inlineStr">
        <is>
          <t>ÖSTERGÖTLANDS LÄN</t>
        </is>
      </c>
      <c r="G87" t="inlineStr">
        <is>
          <t>YDRE</t>
        </is>
      </c>
      <c r="I87" t="n">
        <v>1.9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8088-2025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45707</v>
      </c>
      <c r="E88" s="1" t="n">
        <v>46326</v>
      </c>
      <c r="F88" t="inlineStr">
        <is>
          <t>ÖSTERGÖTLANDS LÄN</t>
        </is>
      </c>
      <c r="G88" t="inlineStr">
        <is>
          <t>YDRE</t>
        </is>
      </c>
      <c r="I88" t="n">
        <v>2.5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7026-2025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45701</v>
      </c>
      <c r="E89" s="1" t="n">
        <v>46326</v>
      </c>
      <c r="F89" t="inlineStr">
        <is>
          <t>ÖSTERGÖTLANDS LÄN</t>
        </is>
      </c>
      <c r="G89" t="inlineStr">
        <is>
          <t>YDRE</t>
        </is>
      </c>
      <c r="I89" t="n">
        <v>0.7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8606-2024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45355</v>
      </c>
      <c r="E90" s="1" t="n">
        <v>46326</v>
      </c>
      <c r="F90" t="inlineStr">
        <is>
          <t>ÖSTERGÖTLANDS LÄN</t>
        </is>
      </c>
      <c r="G90" t="inlineStr">
        <is>
          <t>YDRE</t>
        </is>
      </c>
      <c r="I90" t="n">
        <v>0.9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8611-2024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45355</v>
      </c>
      <c r="E91" s="1" t="n">
        <v>46326</v>
      </c>
      <c r="F91" t="inlineStr">
        <is>
          <t>ÖSTERGÖTLANDS LÄN</t>
        </is>
      </c>
      <c r="G91" t="inlineStr">
        <is>
          <t>YDRE</t>
        </is>
      </c>
      <c r="I91" t="n">
        <v>1.1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34932-2022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44796</v>
      </c>
      <c r="E92" s="1" t="n">
        <v>46326</v>
      </c>
      <c r="F92" t="inlineStr">
        <is>
          <t>ÖSTERGÖTLANDS LÄN</t>
        </is>
      </c>
      <c r="G92" t="inlineStr">
        <is>
          <t>YDRE</t>
        </is>
      </c>
      <c r="I92" t="n">
        <v>1.1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5843-2024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45335</v>
      </c>
      <c r="E93" s="1" t="n">
        <v>46326</v>
      </c>
      <c r="F93" t="inlineStr">
        <is>
          <t>ÖSTERGÖTLANDS LÄN</t>
        </is>
      </c>
      <c r="G93" t="inlineStr">
        <is>
          <t>YDRE</t>
        </is>
      </c>
      <c r="I93" t="n">
        <v>0.2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48742-2023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45208</v>
      </c>
      <c r="E94" s="1" t="n">
        <v>46326</v>
      </c>
      <c r="F94" t="inlineStr">
        <is>
          <t>ÖSTERGÖTLANDS LÄN</t>
        </is>
      </c>
      <c r="G94" t="inlineStr">
        <is>
          <t>YDRE</t>
        </is>
      </c>
      <c r="I94" t="n">
        <v>1.5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61262-2023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45261</v>
      </c>
      <c r="E95" s="1" t="n">
        <v>46326</v>
      </c>
      <c r="F95" t="inlineStr">
        <is>
          <t>ÖSTERGÖTLANDS LÄN</t>
        </is>
      </c>
      <c r="G95" t="inlineStr">
        <is>
          <t>YDRE</t>
        </is>
      </c>
      <c r="I95" t="n">
        <v>2.8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49698-2024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45596</v>
      </c>
      <c r="E96" s="1" t="n">
        <v>46326</v>
      </c>
      <c r="F96" t="inlineStr">
        <is>
          <t>ÖSTERGÖTLANDS LÄN</t>
        </is>
      </c>
      <c r="G96" t="inlineStr">
        <is>
          <t>YDRE</t>
        </is>
      </c>
      <c r="I96" t="n">
        <v>1.1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17968-2024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45419</v>
      </c>
      <c r="E97" s="1" t="n">
        <v>46326</v>
      </c>
      <c r="F97" t="inlineStr">
        <is>
          <t>ÖSTERGÖTLANDS LÄN</t>
        </is>
      </c>
      <c r="G97" t="inlineStr">
        <is>
          <t>YDRE</t>
        </is>
      </c>
      <c r="I97" t="n">
        <v>2.4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55867-2023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45239</v>
      </c>
      <c r="E98" s="1" t="n">
        <v>46326</v>
      </c>
      <c r="F98" t="inlineStr">
        <is>
          <t>ÖSTERGÖTLANDS LÄN</t>
        </is>
      </c>
      <c r="G98" t="inlineStr">
        <is>
          <t>YDRE</t>
        </is>
      </c>
      <c r="I98" t="n">
        <v>3.2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27798-2024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45475</v>
      </c>
      <c r="E99" s="1" t="n">
        <v>46326</v>
      </c>
      <c r="F99" t="inlineStr">
        <is>
          <t>ÖSTERGÖTLANDS LÄN</t>
        </is>
      </c>
      <c r="G99" t="inlineStr">
        <is>
          <t>YDRE</t>
        </is>
      </c>
      <c r="I99" t="n">
        <v>2.1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63830-2023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45278</v>
      </c>
      <c r="E100" s="1" t="n">
        <v>46326</v>
      </c>
      <c r="F100" t="inlineStr">
        <is>
          <t>ÖSTERGÖTLANDS LÄN</t>
        </is>
      </c>
      <c r="G100" t="inlineStr">
        <is>
          <t>YDRE</t>
        </is>
      </c>
      <c r="I100" t="n">
        <v>0.7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39237-2025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45889</v>
      </c>
      <c r="E101" s="1" t="n">
        <v>46326</v>
      </c>
      <c r="F101" t="inlineStr">
        <is>
          <t>ÖSTERGÖTLANDS LÄN</t>
        </is>
      </c>
      <c r="G101" t="inlineStr">
        <is>
          <t>YDRE</t>
        </is>
      </c>
      <c r="I101" t="n">
        <v>1.3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54942-2023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45236</v>
      </c>
      <c r="E102" s="1" t="n">
        <v>46326</v>
      </c>
      <c r="F102" t="inlineStr">
        <is>
          <t>ÖSTERGÖTLANDS LÄN</t>
        </is>
      </c>
      <c r="G102" t="inlineStr">
        <is>
          <t>YDRE</t>
        </is>
      </c>
      <c r="I102" t="n">
        <v>4.6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39788-2025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45891</v>
      </c>
      <c r="E103" s="1" t="n">
        <v>46326</v>
      </c>
      <c r="F103" t="inlineStr">
        <is>
          <t>ÖSTERGÖTLANDS LÄN</t>
        </is>
      </c>
      <c r="G103" t="inlineStr">
        <is>
          <t>YDRE</t>
        </is>
      </c>
      <c r="I103" t="n">
        <v>0.4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28959-2025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45821</v>
      </c>
      <c r="E104" s="1" t="n">
        <v>46326</v>
      </c>
      <c r="F104" t="inlineStr">
        <is>
          <t>ÖSTERGÖTLANDS LÄN</t>
        </is>
      </c>
      <c r="G104" t="inlineStr">
        <is>
          <t>YDRE</t>
        </is>
      </c>
      <c r="H104" t="inlineStr">
        <is>
          <t>Kyrkan</t>
        </is>
      </c>
      <c r="I104" t="n">
        <v>0.5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29127-2023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45105</v>
      </c>
      <c r="E105" s="1" t="n">
        <v>46326</v>
      </c>
      <c r="F105" t="inlineStr">
        <is>
          <t>ÖSTERGÖTLANDS LÄN</t>
        </is>
      </c>
      <c r="G105" t="inlineStr">
        <is>
          <t>YDRE</t>
        </is>
      </c>
      <c r="I105" t="n">
        <v>1.8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62815-2021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44504</v>
      </c>
      <c r="E106" s="1" t="n">
        <v>46326</v>
      </c>
      <c r="F106" t="inlineStr">
        <is>
          <t>ÖSTERGÖTLANDS LÄN</t>
        </is>
      </c>
      <c r="G106" t="inlineStr">
        <is>
          <t>YDRE</t>
        </is>
      </c>
      <c r="I106" t="n">
        <v>1.2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12569-2023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45000</v>
      </c>
      <c r="E107" s="1" t="n">
        <v>46326</v>
      </c>
      <c r="F107" t="inlineStr">
        <is>
          <t>ÖSTERGÖTLANDS LÄN</t>
        </is>
      </c>
      <c r="G107" t="inlineStr">
        <is>
          <t>YDRE</t>
        </is>
      </c>
      <c r="I107" t="n">
        <v>2.6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8616-2024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45355</v>
      </c>
      <c r="E108" s="1" t="n">
        <v>46326</v>
      </c>
      <c r="F108" t="inlineStr">
        <is>
          <t>ÖSTERGÖTLANDS LÄN</t>
        </is>
      </c>
      <c r="G108" t="inlineStr">
        <is>
          <t>YDRE</t>
        </is>
      </c>
      <c r="I108" t="n">
        <v>4.5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41069-2025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45898</v>
      </c>
      <c r="E109" s="1" t="n">
        <v>46326</v>
      </c>
      <c r="F109" t="inlineStr">
        <is>
          <t>ÖSTERGÖTLANDS LÄN</t>
        </is>
      </c>
      <c r="G109" t="inlineStr">
        <is>
          <t>YDRE</t>
        </is>
      </c>
      <c r="I109" t="n">
        <v>1.1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17309-2024</t>
        </is>
      </c>
      <c r="B110" t="inlineStr">
        <is>
          <t>avverkningsanmälan</t>
        </is>
      </c>
      <c r="C110" t="inlineStr">
        <is>
          <t>Avverkning för annat ändamål</t>
        </is>
      </c>
      <c r="D110" s="1" t="n">
        <v>45414</v>
      </c>
      <c r="E110" s="1" t="n">
        <v>46326</v>
      </c>
      <c r="F110" t="inlineStr">
        <is>
          <t>ÖSTERGÖTLANDS LÄN</t>
        </is>
      </c>
      <c r="G110" t="inlineStr">
        <is>
          <t>YDRE</t>
        </is>
      </c>
      <c r="I110" t="n">
        <v>0.6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2439-2026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46036</v>
      </c>
      <c r="E111" s="1" t="n">
        <v>46326</v>
      </c>
      <c r="F111" t="inlineStr">
        <is>
          <t>ÖSTERGÖTLANDS LÄN</t>
        </is>
      </c>
      <c r="G111" t="inlineStr">
        <is>
          <t>YDRE</t>
        </is>
      </c>
      <c r="I111" t="n">
        <v>0.9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40692-2023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45170</v>
      </c>
      <c r="E112" s="1" t="n">
        <v>46326</v>
      </c>
      <c r="F112" t="inlineStr">
        <is>
          <t>ÖSTERGÖTLANDS LÄN</t>
        </is>
      </c>
      <c r="G112" t="inlineStr">
        <is>
          <t>YDRE</t>
        </is>
      </c>
      <c r="I112" t="n">
        <v>0.6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40698-2023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45170</v>
      </c>
      <c r="E113" s="1" t="n">
        <v>46326</v>
      </c>
      <c r="F113" t="inlineStr">
        <is>
          <t>ÖSTERGÖTLANDS LÄN</t>
        </is>
      </c>
      <c r="G113" t="inlineStr">
        <is>
          <t>YDRE</t>
        </is>
      </c>
      <c r="I113" t="n">
        <v>0.9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30551-2025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45831</v>
      </c>
      <c r="E114" s="1" t="n">
        <v>46326</v>
      </c>
      <c r="F114" t="inlineStr">
        <is>
          <t>ÖSTERGÖTLANDS LÄN</t>
        </is>
      </c>
      <c r="G114" t="inlineStr">
        <is>
          <t>YDRE</t>
        </is>
      </c>
      <c r="I114" t="n">
        <v>0.7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4170-2026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46044</v>
      </c>
      <c r="E115" s="1" t="n">
        <v>46326</v>
      </c>
      <c r="F115" t="inlineStr">
        <is>
          <t>ÖSTERGÖTLANDS LÄN</t>
        </is>
      </c>
      <c r="G115" t="inlineStr">
        <is>
          <t>YDRE</t>
        </is>
      </c>
      <c r="H115" t="inlineStr">
        <is>
          <t>Övriga Aktiebolag</t>
        </is>
      </c>
      <c r="I115" t="n">
        <v>0.4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30531-2025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45831</v>
      </c>
      <c r="E116" s="1" t="n">
        <v>46326</v>
      </c>
      <c r="F116" t="inlineStr">
        <is>
          <t>ÖSTERGÖTLANDS LÄN</t>
        </is>
      </c>
      <c r="G116" t="inlineStr">
        <is>
          <t>YDRE</t>
        </is>
      </c>
      <c r="I116" t="n">
        <v>1.4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30559-2025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45831</v>
      </c>
      <c r="E117" s="1" t="n">
        <v>46326</v>
      </c>
      <c r="F117" t="inlineStr">
        <is>
          <t>ÖSTERGÖTLANDS LÄN</t>
        </is>
      </c>
      <c r="G117" t="inlineStr">
        <is>
          <t>YDRE</t>
        </is>
      </c>
      <c r="I117" t="n">
        <v>0.7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30548-2025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45831</v>
      </c>
      <c r="E118" s="1" t="n">
        <v>46326</v>
      </c>
      <c r="F118" t="inlineStr">
        <is>
          <t>ÖSTERGÖTLANDS LÄN</t>
        </is>
      </c>
      <c r="G118" t="inlineStr">
        <is>
          <t>YDRE</t>
        </is>
      </c>
      <c r="I118" t="n">
        <v>0.6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43100-2025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45909</v>
      </c>
      <c r="E119" s="1" t="n">
        <v>46326</v>
      </c>
      <c r="F119" t="inlineStr">
        <is>
          <t>ÖSTERGÖTLANDS LÄN</t>
        </is>
      </c>
      <c r="G119" t="inlineStr">
        <is>
          <t>YDRE</t>
        </is>
      </c>
      <c r="H119" t="inlineStr">
        <is>
          <t>Övriga Aktiebolag</t>
        </is>
      </c>
      <c r="I119" t="n">
        <v>12.4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43088-2025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45909</v>
      </c>
      <c r="E120" s="1" t="n">
        <v>46326</v>
      </c>
      <c r="F120" t="inlineStr">
        <is>
          <t>ÖSTERGÖTLANDS LÄN</t>
        </is>
      </c>
      <c r="G120" t="inlineStr">
        <is>
          <t>YDRE</t>
        </is>
      </c>
      <c r="H120" t="inlineStr">
        <is>
          <t>Övriga Aktiebolag</t>
        </is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62485-2021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44503</v>
      </c>
      <c r="E121" s="1" t="n">
        <v>46326</v>
      </c>
      <c r="F121" t="inlineStr">
        <is>
          <t>ÖSTERGÖTLANDS LÄN</t>
        </is>
      </c>
      <c r="G121" t="inlineStr">
        <is>
          <t>YDRE</t>
        </is>
      </c>
      <c r="H121" t="inlineStr">
        <is>
          <t>Sveaskog</t>
        </is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43232-2025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45910</v>
      </c>
      <c r="E122" s="1" t="n">
        <v>46326</v>
      </c>
      <c r="F122" t="inlineStr">
        <is>
          <t>ÖSTERGÖTLANDS LÄN</t>
        </is>
      </c>
      <c r="G122" t="inlineStr">
        <is>
          <t>YDRE</t>
        </is>
      </c>
      <c r="I122" t="n">
        <v>1.2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32635-2025</t>
        </is>
      </c>
      <c r="B123" t="inlineStr">
        <is>
          <t>avverkningsanmälan</t>
        </is>
      </c>
      <c r="C123" t="inlineStr">
        <is>
          <t>Avverkning för att bevara och utveckla /försöksver</t>
        </is>
      </c>
      <c r="D123" s="1" t="n">
        <v>45838</v>
      </c>
      <c r="E123" s="1" t="n">
        <v>46326</v>
      </c>
      <c r="F123" t="inlineStr">
        <is>
          <t>ÖSTERGÖTLANDS LÄN</t>
        </is>
      </c>
      <c r="G123" t="inlineStr">
        <is>
          <t>YDRE</t>
        </is>
      </c>
      <c r="H123" t="inlineStr">
        <is>
          <t>Övriga Aktiebolag</t>
        </is>
      </c>
      <c r="I123" t="n">
        <v>0.7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9160-2023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44980</v>
      </c>
      <c r="E124" s="1" t="n">
        <v>46326</v>
      </c>
      <c r="F124" t="inlineStr">
        <is>
          <t>ÖSTERGÖTLANDS LÄN</t>
        </is>
      </c>
      <c r="G124" t="inlineStr">
        <is>
          <t>YDRE</t>
        </is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44464-2025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45916</v>
      </c>
      <c r="E125" s="1" t="n">
        <v>46326</v>
      </c>
      <c r="F125" t="inlineStr">
        <is>
          <t>ÖSTERGÖTLANDS LÄN</t>
        </is>
      </c>
      <c r="G125" t="inlineStr">
        <is>
          <t>YDRE</t>
        </is>
      </c>
      <c r="H125" t="inlineStr">
        <is>
          <t>Sveaskog</t>
        </is>
      </c>
      <c r="I125" t="n">
        <v>4.1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44474-2025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45916</v>
      </c>
      <c r="E126" s="1" t="n">
        <v>46326</v>
      </c>
      <c r="F126" t="inlineStr">
        <is>
          <t>ÖSTERGÖTLANDS LÄN</t>
        </is>
      </c>
      <c r="G126" t="inlineStr">
        <is>
          <t>YDRE</t>
        </is>
      </c>
      <c r="H126" t="inlineStr">
        <is>
          <t>Sveaskog</t>
        </is>
      </c>
      <c r="I126" t="n">
        <v>1.2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44498-2025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45916</v>
      </c>
      <c r="E127" s="1" t="n">
        <v>46326</v>
      </c>
      <c r="F127" t="inlineStr">
        <is>
          <t>ÖSTERGÖTLANDS LÄN</t>
        </is>
      </c>
      <c r="G127" t="inlineStr">
        <is>
          <t>YDRE</t>
        </is>
      </c>
      <c r="I127" t="n">
        <v>0.5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44468-2025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45916</v>
      </c>
      <c r="E128" s="1" t="n">
        <v>46326</v>
      </c>
      <c r="F128" t="inlineStr">
        <is>
          <t>ÖSTERGÖTLANDS LÄN</t>
        </is>
      </c>
      <c r="G128" t="inlineStr">
        <is>
          <t>YDRE</t>
        </is>
      </c>
      <c r="H128" t="inlineStr">
        <is>
          <t>Sveaskog</t>
        </is>
      </c>
      <c r="I128" t="n">
        <v>2.9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22961-2025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45790</v>
      </c>
      <c r="E129" s="1" t="n">
        <v>46326</v>
      </c>
      <c r="F129" t="inlineStr">
        <is>
          <t>ÖSTERGÖTLANDS LÄN</t>
        </is>
      </c>
      <c r="G129" t="inlineStr">
        <is>
          <t>YDRE</t>
        </is>
      </c>
      <c r="I129" t="n">
        <v>1.5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26784-2025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45810</v>
      </c>
      <c r="E130" s="1" t="n">
        <v>46326</v>
      </c>
      <c r="F130" t="inlineStr">
        <is>
          <t>ÖSTERGÖTLANDS LÄN</t>
        </is>
      </c>
      <c r="G130" t="inlineStr">
        <is>
          <t>YDRE</t>
        </is>
      </c>
      <c r="I130" t="n">
        <v>1.6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4249-2026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46045</v>
      </c>
      <c r="E131" s="1" t="n">
        <v>46326</v>
      </c>
      <c r="F131" t="inlineStr">
        <is>
          <t>ÖSTERGÖTLANDS LÄN</t>
        </is>
      </c>
      <c r="G131" t="inlineStr">
        <is>
          <t>YDRE</t>
        </is>
      </c>
      <c r="H131" t="inlineStr">
        <is>
          <t>Sveaskog</t>
        </is>
      </c>
      <c r="I131" t="n">
        <v>6.6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4251-2026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46045</v>
      </c>
      <c r="E132" s="1" t="n">
        <v>46326</v>
      </c>
      <c r="F132" t="inlineStr">
        <is>
          <t>ÖSTERGÖTLANDS LÄN</t>
        </is>
      </c>
      <c r="G132" t="inlineStr">
        <is>
          <t>YDRE</t>
        </is>
      </c>
      <c r="H132" t="inlineStr">
        <is>
          <t>Sveaskog</t>
        </is>
      </c>
      <c r="I132" t="n">
        <v>3.6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42343-2022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44831</v>
      </c>
      <c r="E133" s="1" t="n">
        <v>46326</v>
      </c>
      <c r="F133" t="inlineStr">
        <is>
          <t>ÖSTERGÖTLANDS LÄN</t>
        </is>
      </c>
      <c r="G133" t="inlineStr">
        <is>
          <t>YDRE</t>
        </is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27737-2022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44743</v>
      </c>
      <c r="E134" s="1" t="n">
        <v>46326</v>
      </c>
      <c r="F134" t="inlineStr">
        <is>
          <t>ÖSTERGÖTLANDS LÄN</t>
        </is>
      </c>
      <c r="G134" t="inlineStr">
        <is>
          <t>YDRE</t>
        </is>
      </c>
      <c r="I134" t="n">
        <v>1.1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28991-2022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44749</v>
      </c>
      <c r="E135" s="1" t="n">
        <v>46326</v>
      </c>
      <c r="F135" t="inlineStr">
        <is>
          <t>ÖSTERGÖTLANDS LÄN</t>
        </is>
      </c>
      <c r="G135" t="inlineStr">
        <is>
          <t>YDRE</t>
        </is>
      </c>
      <c r="I135" t="n">
        <v>5.6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45752-2025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45922</v>
      </c>
      <c r="E136" s="1" t="n">
        <v>46326</v>
      </c>
      <c r="F136" t="inlineStr">
        <is>
          <t>ÖSTERGÖTLANDS LÄN</t>
        </is>
      </c>
      <c r="G136" t="inlineStr">
        <is>
          <t>YDRE</t>
        </is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20158-2024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45434</v>
      </c>
      <c r="E137" s="1" t="n">
        <v>46326</v>
      </c>
      <c r="F137" t="inlineStr">
        <is>
          <t>ÖSTERGÖTLANDS LÄN</t>
        </is>
      </c>
      <c r="G137" t="inlineStr">
        <is>
          <t>YDRE</t>
        </is>
      </c>
      <c r="I137" t="n">
        <v>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50977-2023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45218</v>
      </c>
      <c r="E138" s="1" t="n">
        <v>46326</v>
      </c>
      <c r="F138" t="inlineStr">
        <is>
          <t>ÖSTERGÖTLANDS LÄN</t>
        </is>
      </c>
      <c r="G138" t="inlineStr">
        <is>
          <t>YDRE</t>
        </is>
      </c>
      <c r="I138" t="n">
        <v>3.1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46086-2025</t>
        </is>
      </c>
      <c r="B139" t="inlineStr">
        <is>
          <t>avverkningsanmälan</t>
        </is>
      </c>
      <c r="C139" t="inlineStr">
        <is>
          <t>Avverkning för att bevara och utveckla /försöksver</t>
        </is>
      </c>
      <c r="D139" s="1" t="n">
        <v>45924</v>
      </c>
      <c r="E139" s="1" t="n">
        <v>46326</v>
      </c>
      <c r="F139" t="inlineStr">
        <is>
          <t>ÖSTERGÖTLANDS LÄN</t>
        </is>
      </c>
      <c r="G139" t="inlineStr">
        <is>
          <t>YDRE</t>
        </is>
      </c>
      <c r="H139" t="inlineStr">
        <is>
          <t>Övriga Aktiebolag</t>
        </is>
      </c>
      <c r="I139" t="n">
        <v>1.4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32016-2024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45510</v>
      </c>
      <c r="E140" s="1" t="n">
        <v>46326</v>
      </c>
      <c r="F140" t="inlineStr">
        <is>
          <t>ÖSTERGÖTLANDS LÄN</t>
        </is>
      </c>
      <c r="G140" t="inlineStr">
        <is>
          <t>YDRE</t>
        </is>
      </c>
      <c r="I140" t="n">
        <v>2.7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52074-2023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45216</v>
      </c>
      <c r="E141" s="1" t="n">
        <v>46326</v>
      </c>
      <c r="F141" t="inlineStr">
        <is>
          <t>ÖSTERGÖTLANDS LÄN</t>
        </is>
      </c>
      <c r="G141" t="inlineStr">
        <is>
          <t>YDRE</t>
        </is>
      </c>
      <c r="I141" t="n">
        <v>2.2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52076-2023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45216</v>
      </c>
      <c r="E142" s="1" t="n">
        <v>46326</v>
      </c>
      <c r="F142" t="inlineStr">
        <is>
          <t>ÖSTERGÖTLANDS LÄN</t>
        </is>
      </c>
      <c r="G142" t="inlineStr">
        <is>
          <t>YDRE</t>
        </is>
      </c>
      <c r="I142" t="n">
        <v>1.4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19397-2025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45769</v>
      </c>
      <c r="E143" s="1" t="n">
        <v>46326</v>
      </c>
      <c r="F143" t="inlineStr">
        <is>
          <t>ÖSTERGÖTLANDS LÄN</t>
        </is>
      </c>
      <c r="G143" t="inlineStr">
        <is>
          <t>YDRE</t>
        </is>
      </c>
      <c r="I143" t="n">
        <v>0.9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45447-2023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45194</v>
      </c>
      <c r="E144" s="1" t="n">
        <v>46326</v>
      </c>
      <c r="F144" t="inlineStr">
        <is>
          <t>ÖSTERGÖTLANDS LÄN</t>
        </is>
      </c>
      <c r="G144" t="inlineStr">
        <is>
          <t>YDRE</t>
        </is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1028-2025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45666</v>
      </c>
      <c r="E145" s="1" t="n">
        <v>46326</v>
      </c>
      <c r="F145" t="inlineStr">
        <is>
          <t>ÖSTERGÖTLANDS LÄN</t>
        </is>
      </c>
      <c r="G145" t="inlineStr">
        <is>
          <t>YDRE</t>
        </is>
      </c>
      <c r="I145" t="n">
        <v>0.9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47515-2025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45931</v>
      </c>
      <c r="E146" s="1" t="n">
        <v>46326</v>
      </c>
      <c r="F146" t="inlineStr">
        <is>
          <t>ÖSTERGÖTLANDS LÄN</t>
        </is>
      </c>
      <c r="G146" t="inlineStr">
        <is>
          <t>YDRE</t>
        </is>
      </c>
      <c r="I146" t="n">
        <v>1.2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47514-2025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45931</v>
      </c>
      <c r="E147" s="1" t="n">
        <v>46326</v>
      </c>
      <c r="F147" t="inlineStr">
        <is>
          <t>ÖSTERGÖTLANDS LÄN</t>
        </is>
      </c>
      <c r="G147" t="inlineStr">
        <is>
          <t>YDRE</t>
        </is>
      </c>
      <c r="I147" t="n">
        <v>1.3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32050-2023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45119</v>
      </c>
      <c r="E148" s="1" t="n">
        <v>46326</v>
      </c>
      <c r="F148" t="inlineStr">
        <is>
          <t>ÖSTERGÖTLANDS LÄN</t>
        </is>
      </c>
      <c r="G148" t="inlineStr">
        <is>
          <t>YDRE</t>
        </is>
      </c>
      <c r="H148" t="inlineStr">
        <is>
          <t>Sveaskog</t>
        </is>
      </c>
      <c r="I148" t="n">
        <v>0.6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6759-2023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44966</v>
      </c>
      <c r="E149" s="1" t="n">
        <v>46326</v>
      </c>
      <c r="F149" t="inlineStr">
        <is>
          <t>ÖSTERGÖTLANDS LÄN</t>
        </is>
      </c>
      <c r="G149" t="inlineStr">
        <is>
          <t>YDRE</t>
        </is>
      </c>
      <c r="I149" t="n">
        <v>1.3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48026-2025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45932</v>
      </c>
      <c r="E150" s="1" t="n">
        <v>46326</v>
      </c>
      <c r="F150" t="inlineStr">
        <is>
          <t>ÖSTERGÖTLANDS LÄN</t>
        </is>
      </c>
      <c r="G150" t="inlineStr">
        <is>
          <t>YDRE</t>
        </is>
      </c>
      <c r="I150" t="n">
        <v>0.5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49452-2025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45938</v>
      </c>
      <c r="E151" s="1" t="n">
        <v>46326</v>
      </c>
      <c r="F151" t="inlineStr">
        <is>
          <t>ÖSTERGÖTLANDS LÄN</t>
        </is>
      </c>
      <c r="G151" t="inlineStr">
        <is>
          <t>YDRE</t>
        </is>
      </c>
      <c r="H151" t="inlineStr">
        <is>
          <t>Övriga Aktiebolag</t>
        </is>
      </c>
      <c r="I151" t="n">
        <v>3.9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6293-2026</t>
        </is>
      </c>
      <c r="B152" t="inlineStr">
        <is>
          <t>avverkningsanmälan</t>
        </is>
      </c>
      <c r="C152" t="inlineStr">
        <is>
          <t>Avverkning för annat ändamål</t>
        </is>
      </c>
      <c r="D152" s="1" t="n">
        <v>46055</v>
      </c>
      <c r="E152" s="1" t="n">
        <v>46326</v>
      </c>
      <c r="F152" t="inlineStr">
        <is>
          <t>ÖSTERGÖTLANDS LÄN</t>
        </is>
      </c>
      <c r="G152" t="inlineStr">
        <is>
          <t>YDRE</t>
        </is>
      </c>
      <c r="I152" t="n">
        <v>0.7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49890-2025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45940</v>
      </c>
      <c r="E153" s="1" t="n">
        <v>46326</v>
      </c>
      <c r="F153" t="inlineStr">
        <is>
          <t>ÖSTERGÖTLANDS LÄN</t>
        </is>
      </c>
      <c r="G153" t="inlineStr">
        <is>
          <t>YDRE</t>
        </is>
      </c>
      <c r="H153" t="inlineStr">
        <is>
          <t>Kyrkan</t>
        </is>
      </c>
      <c r="I153" t="n">
        <v>1.6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1890-2023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44939</v>
      </c>
      <c r="E154" s="1" t="n">
        <v>46326</v>
      </c>
      <c r="F154" t="inlineStr">
        <is>
          <t>ÖSTERGÖTLANDS LÄN</t>
        </is>
      </c>
      <c r="G154" t="inlineStr">
        <is>
          <t>YDRE</t>
        </is>
      </c>
      <c r="I154" t="n">
        <v>2.9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49895-2025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45940</v>
      </c>
      <c r="E155" s="1" t="n">
        <v>46326</v>
      </c>
      <c r="F155" t="inlineStr">
        <is>
          <t>ÖSTERGÖTLANDS LÄN</t>
        </is>
      </c>
      <c r="G155" t="inlineStr">
        <is>
          <t>YDRE</t>
        </is>
      </c>
      <c r="H155" t="inlineStr">
        <is>
          <t>Kyrkan</t>
        </is>
      </c>
      <c r="I155" t="n">
        <v>2.7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11788-2023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44994</v>
      </c>
      <c r="E156" s="1" t="n">
        <v>46326</v>
      </c>
      <c r="F156" t="inlineStr">
        <is>
          <t>ÖSTERGÖTLANDS LÄN</t>
        </is>
      </c>
      <c r="G156" t="inlineStr">
        <is>
          <t>YDRE</t>
        </is>
      </c>
      <c r="I156" t="n">
        <v>0.9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7276-2026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46058</v>
      </c>
      <c r="E157" s="1" t="n">
        <v>46326</v>
      </c>
      <c r="F157" t="inlineStr">
        <is>
          <t>ÖSTERGÖTLANDS LÄN</t>
        </is>
      </c>
      <c r="G157" t="inlineStr">
        <is>
          <t>YDRE</t>
        </is>
      </c>
      <c r="I157" t="n">
        <v>1.8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9159-2023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44980</v>
      </c>
      <c r="E158" s="1" t="n">
        <v>46326</v>
      </c>
      <c r="F158" t="inlineStr">
        <is>
          <t>ÖSTERGÖTLANDS LÄN</t>
        </is>
      </c>
      <c r="G158" t="inlineStr">
        <is>
          <t>YDRE</t>
        </is>
      </c>
      <c r="I158" t="n">
        <v>6.7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26026-2023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45091</v>
      </c>
      <c r="E159" s="1" t="n">
        <v>46326</v>
      </c>
      <c r="F159" t="inlineStr">
        <is>
          <t>ÖSTERGÖTLANDS LÄN</t>
        </is>
      </c>
      <c r="G159" t="inlineStr">
        <is>
          <t>YDRE</t>
        </is>
      </c>
      <c r="H159" t="inlineStr">
        <is>
          <t>Sveaskog</t>
        </is>
      </c>
      <c r="I159" t="n">
        <v>1.5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7619-2026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46062</v>
      </c>
      <c r="E160" s="1" t="n">
        <v>46326</v>
      </c>
      <c r="F160" t="inlineStr">
        <is>
          <t>ÖSTERGÖTLANDS LÄN</t>
        </is>
      </c>
      <c r="G160" t="inlineStr">
        <is>
          <t>YDRE</t>
        </is>
      </c>
      <c r="H160" t="inlineStr">
        <is>
          <t>Övriga Aktiebolag</t>
        </is>
      </c>
      <c r="I160" t="n">
        <v>0.4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52389-2025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45954</v>
      </c>
      <c r="E161" s="1" t="n">
        <v>46326</v>
      </c>
      <c r="F161" t="inlineStr">
        <is>
          <t>ÖSTERGÖTLANDS LÄN</t>
        </is>
      </c>
      <c r="G161" t="inlineStr">
        <is>
          <t>YDRE</t>
        </is>
      </c>
      <c r="H161" t="inlineStr">
        <is>
          <t>Sveaskog</t>
        </is>
      </c>
      <c r="I161" t="n">
        <v>8.199999999999999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52397-2025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45954</v>
      </c>
      <c r="E162" s="1" t="n">
        <v>46326</v>
      </c>
      <c r="F162" t="inlineStr">
        <is>
          <t>ÖSTERGÖTLANDS LÄN</t>
        </is>
      </c>
      <c r="G162" t="inlineStr">
        <is>
          <t>YDRE</t>
        </is>
      </c>
      <c r="H162" t="inlineStr">
        <is>
          <t>Sveaskog</t>
        </is>
      </c>
      <c r="I162" t="n">
        <v>4.7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2079-2022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44576</v>
      </c>
      <c r="E163" s="1" t="n">
        <v>46326</v>
      </c>
      <c r="F163" t="inlineStr">
        <is>
          <t>ÖSTERGÖTLANDS LÄN</t>
        </is>
      </c>
      <c r="G163" t="inlineStr">
        <is>
          <t>YDRE</t>
        </is>
      </c>
      <c r="I163" t="n">
        <v>5.5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11566-2023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44994</v>
      </c>
      <c r="E164" s="1" t="n">
        <v>46326</v>
      </c>
      <c r="F164" t="inlineStr">
        <is>
          <t>ÖSTERGÖTLANDS LÄN</t>
        </is>
      </c>
      <c r="G164" t="inlineStr">
        <is>
          <t>YDRE</t>
        </is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11567-2023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44994</v>
      </c>
      <c r="E165" s="1" t="n">
        <v>46326</v>
      </c>
      <c r="F165" t="inlineStr">
        <is>
          <t>ÖSTERGÖTLANDS LÄN</t>
        </is>
      </c>
      <c r="G165" t="inlineStr">
        <is>
          <t>YDRE</t>
        </is>
      </c>
      <c r="I165" t="n">
        <v>1.1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11902-2022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44635</v>
      </c>
      <c r="E166" s="1" t="n">
        <v>46326</v>
      </c>
      <c r="F166" t="inlineStr">
        <is>
          <t>ÖSTERGÖTLANDS LÄN</t>
        </is>
      </c>
      <c r="G166" t="inlineStr">
        <is>
          <t>YDRE</t>
        </is>
      </c>
      <c r="I166" t="n">
        <v>1.6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8986-2026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46069</v>
      </c>
      <c r="E167" s="1" t="n">
        <v>46326</v>
      </c>
      <c r="F167" t="inlineStr">
        <is>
          <t>ÖSTERGÖTLANDS LÄN</t>
        </is>
      </c>
      <c r="G167" t="inlineStr">
        <is>
          <t>YDRE</t>
        </is>
      </c>
      <c r="H167" t="inlineStr">
        <is>
          <t>Övriga Aktiebolag</t>
        </is>
      </c>
      <c r="I167" t="n">
        <v>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9054-2026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46069</v>
      </c>
      <c r="E168" s="1" t="n">
        <v>46326</v>
      </c>
      <c r="F168" t="inlineStr">
        <is>
          <t>ÖSTERGÖTLANDS LÄN</t>
        </is>
      </c>
      <c r="G168" t="inlineStr">
        <is>
          <t>YDRE</t>
        </is>
      </c>
      <c r="I168" t="n">
        <v>1.4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45199-2024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45575</v>
      </c>
      <c r="E169" s="1" t="n">
        <v>46326</v>
      </c>
      <c r="F169" t="inlineStr">
        <is>
          <t>ÖSTERGÖTLANDS LÄN</t>
        </is>
      </c>
      <c r="G169" t="inlineStr">
        <is>
          <t>YDRE</t>
        </is>
      </c>
      <c r="I169" t="n">
        <v>0.9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33680-2022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44789</v>
      </c>
      <c r="E170" s="1" t="n">
        <v>46326</v>
      </c>
      <c r="F170" t="inlineStr">
        <is>
          <t>ÖSTERGÖTLANDS LÄN</t>
        </is>
      </c>
      <c r="G170" t="inlineStr">
        <is>
          <t>YDRE</t>
        </is>
      </c>
      <c r="H170" t="inlineStr">
        <is>
          <t>Sveaskog</t>
        </is>
      </c>
      <c r="I170" t="n">
        <v>0.6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9409-2026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46071</v>
      </c>
      <c r="E171" s="1" t="n">
        <v>46326</v>
      </c>
      <c r="F171" t="inlineStr">
        <is>
          <t>ÖSTERGÖTLANDS LÄN</t>
        </is>
      </c>
      <c r="G171" t="inlineStr">
        <is>
          <t>YDRE</t>
        </is>
      </c>
      <c r="H171" t="inlineStr">
        <is>
          <t>Sveaskog</t>
        </is>
      </c>
      <c r="I171" t="n">
        <v>1.3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54564-2025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45965</v>
      </c>
      <c r="E172" s="1" t="n">
        <v>46326</v>
      </c>
      <c r="F172" t="inlineStr">
        <is>
          <t>ÖSTERGÖTLANDS LÄN</t>
        </is>
      </c>
      <c r="G172" t="inlineStr">
        <is>
          <t>YDRE</t>
        </is>
      </c>
      <c r="H172" t="inlineStr">
        <is>
          <t>Sveaskog</t>
        </is>
      </c>
      <c r="I172" t="n">
        <v>0.7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54575-2025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45965</v>
      </c>
      <c r="E173" s="1" t="n">
        <v>46326</v>
      </c>
      <c r="F173" t="inlineStr">
        <is>
          <t>ÖSTERGÖTLANDS LÄN</t>
        </is>
      </c>
      <c r="G173" t="inlineStr">
        <is>
          <t>YDRE</t>
        </is>
      </c>
      <c r="H173" t="inlineStr">
        <is>
          <t>Sveaskog</t>
        </is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54544-2025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45965</v>
      </c>
      <c r="E174" s="1" t="n">
        <v>46326</v>
      </c>
      <c r="F174" t="inlineStr">
        <is>
          <t>ÖSTERGÖTLANDS LÄN</t>
        </is>
      </c>
      <c r="G174" t="inlineStr">
        <is>
          <t>YDRE</t>
        </is>
      </c>
      <c r="H174" t="inlineStr">
        <is>
          <t>Sveaskog</t>
        </is>
      </c>
      <c r="I174" t="n">
        <v>3.3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10424-2024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45365</v>
      </c>
      <c r="E175" s="1" t="n">
        <v>46326</v>
      </c>
      <c r="F175" t="inlineStr">
        <is>
          <t>ÖSTERGÖTLANDS LÄN</t>
        </is>
      </c>
      <c r="G175" t="inlineStr">
        <is>
          <t>YDRE</t>
        </is>
      </c>
      <c r="I175" t="n">
        <v>3.4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54555-2025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45965</v>
      </c>
      <c r="E176" s="1" t="n">
        <v>46326</v>
      </c>
      <c r="F176" t="inlineStr">
        <is>
          <t>ÖSTERGÖTLANDS LÄN</t>
        </is>
      </c>
      <c r="G176" t="inlineStr">
        <is>
          <t>YDRE</t>
        </is>
      </c>
      <c r="I176" t="n">
        <v>2.2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54569-2025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45965</v>
      </c>
      <c r="E177" s="1" t="n">
        <v>46326</v>
      </c>
      <c r="F177" t="inlineStr">
        <is>
          <t>ÖSTERGÖTLANDS LÄN</t>
        </is>
      </c>
      <c r="G177" t="inlineStr">
        <is>
          <t>YDRE</t>
        </is>
      </c>
      <c r="H177" t="inlineStr">
        <is>
          <t>Sveaskog</t>
        </is>
      </c>
      <c r="I177" t="n">
        <v>0.8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59812-2022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44908</v>
      </c>
      <c r="E178" s="1" t="n">
        <v>46326</v>
      </c>
      <c r="F178" t="inlineStr">
        <is>
          <t>ÖSTERGÖTLANDS LÄN</t>
        </is>
      </c>
      <c r="G178" t="inlineStr">
        <is>
          <t>YDRE</t>
        </is>
      </c>
      <c r="I178" t="n">
        <v>0.9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54529-2025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45965</v>
      </c>
      <c r="E179" s="1" t="n">
        <v>46326</v>
      </c>
      <c r="F179" t="inlineStr">
        <is>
          <t>ÖSTERGÖTLANDS LÄN</t>
        </is>
      </c>
      <c r="G179" t="inlineStr">
        <is>
          <t>YDRE</t>
        </is>
      </c>
      <c r="I179" t="n">
        <v>2.4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54513-2025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45965</v>
      </c>
      <c r="E180" s="1" t="n">
        <v>46326</v>
      </c>
      <c r="F180" t="inlineStr">
        <is>
          <t>ÖSTERGÖTLANDS LÄN</t>
        </is>
      </c>
      <c r="G180" t="inlineStr">
        <is>
          <t>YDRE</t>
        </is>
      </c>
      <c r="H180" t="inlineStr">
        <is>
          <t>Sveaskog</t>
        </is>
      </c>
      <c r="I180" t="n">
        <v>3.5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54516-2025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45965</v>
      </c>
      <c r="E181" s="1" t="n">
        <v>46326</v>
      </c>
      <c r="F181" t="inlineStr">
        <is>
          <t>ÖSTERGÖTLANDS LÄN</t>
        </is>
      </c>
      <c r="G181" t="inlineStr">
        <is>
          <t>YDRE</t>
        </is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54066-2025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45964</v>
      </c>
      <c r="E182" s="1" t="n">
        <v>46326</v>
      </c>
      <c r="F182" t="inlineStr">
        <is>
          <t>ÖSTERGÖTLANDS LÄN</t>
        </is>
      </c>
      <c r="G182" t="inlineStr">
        <is>
          <t>YDRE</t>
        </is>
      </c>
      <c r="H182" t="inlineStr">
        <is>
          <t>Sveaskog</t>
        </is>
      </c>
      <c r="I182" t="n">
        <v>1.6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54059-2025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45964</v>
      </c>
      <c r="E183" s="1" t="n">
        <v>46326</v>
      </c>
      <c r="F183" t="inlineStr">
        <is>
          <t>ÖSTERGÖTLANDS LÄN</t>
        </is>
      </c>
      <c r="G183" t="inlineStr">
        <is>
          <t>YDRE</t>
        </is>
      </c>
      <c r="H183" t="inlineStr">
        <is>
          <t>Sveaskog</t>
        </is>
      </c>
      <c r="I183" t="n">
        <v>4.4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54063-2025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45964</v>
      </c>
      <c r="E184" s="1" t="n">
        <v>46326</v>
      </c>
      <c r="F184" t="inlineStr">
        <is>
          <t>ÖSTERGÖTLANDS LÄN</t>
        </is>
      </c>
      <c r="G184" t="inlineStr">
        <is>
          <t>YDRE</t>
        </is>
      </c>
      <c r="H184" t="inlineStr">
        <is>
          <t>Sveaskog</t>
        </is>
      </c>
      <c r="I184" t="n">
        <v>4.5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36711-2023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45153</v>
      </c>
      <c r="E185" s="1" t="n">
        <v>46326</v>
      </c>
      <c r="F185" t="inlineStr">
        <is>
          <t>ÖSTERGÖTLANDS LÄN</t>
        </is>
      </c>
      <c r="G185" t="inlineStr">
        <is>
          <t>YDRE</t>
        </is>
      </c>
      <c r="I185" t="n">
        <v>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27543-2024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45474</v>
      </c>
      <c r="E186" s="1" t="n">
        <v>46326</v>
      </c>
      <c r="F186" t="inlineStr">
        <is>
          <t>ÖSTERGÖTLANDS LÄN</t>
        </is>
      </c>
      <c r="G186" t="inlineStr">
        <is>
          <t>YDRE</t>
        </is>
      </c>
      <c r="I186" t="n">
        <v>1.4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24529-2023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45077</v>
      </c>
      <c r="E187" s="1" t="n">
        <v>46326</v>
      </c>
      <c r="F187" t="inlineStr">
        <is>
          <t>ÖSTERGÖTLANDS LÄN</t>
        </is>
      </c>
      <c r="G187" t="inlineStr">
        <is>
          <t>YDRE</t>
        </is>
      </c>
      <c r="I187" t="n">
        <v>1.9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61690-2024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45647</v>
      </c>
      <c r="E188" s="1" t="n">
        <v>46326</v>
      </c>
      <c r="F188" t="inlineStr">
        <is>
          <t>ÖSTERGÖTLANDS LÄN</t>
        </is>
      </c>
      <c r="G188" t="inlineStr">
        <is>
          <t>YDRE</t>
        </is>
      </c>
      <c r="I188" t="n">
        <v>0.6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58413-2024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45634</v>
      </c>
      <c r="E189" s="1" t="n">
        <v>46326</v>
      </c>
      <c r="F189" t="inlineStr">
        <is>
          <t>ÖSTERGÖTLANDS LÄN</t>
        </is>
      </c>
      <c r="G189" t="inlineStr">
        <is>
          <t>YDRE</t>
        </is>
      </c>
      <c r="I189" t="n">
        <v>0.5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16205-2024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45406</v>
      </c>
      <c r="E190" s="1" t="n">
        <v>46326</v>
      </c>
      <c r="F190" t="inlineStr">
        <is>
          <t>ÖSTERGÖTLANDS LÄN</t>
        </is>
      </c>
      <c r="G190" t="inlineStr">
        <is>
          <t>YDRE</t>
        </is>
      </c>
      <c r="I190" t="n">
        <v>0.5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24693-2024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45460</v>
      </c>
      <c r="E191" s="1" t="n">
        <v>46326</v>
      </c>
      <c r="F191" t="inlineStr">
        <is>
          <t>ÖSTERGÖTLANDS LÄN</t>
        </is>
      </c>
      <c r="G191" t="inlineStr">
        <is>
          <t>YDRE</t>
        </is>
      </c>
      <c r="I191" t="n">
        <v>1.5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27159-2023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45096</v>
      </c>
      <c r="E192" s="1" t="n">
        <v>46326</v>
      </c>
      <c r="F192" t="inlineStr">
        <is>
          <t>ÖSTERGÖTLANDS LÄN</t>
        </is>
      </c>
      <c r="G192" t="inlineStr">
        <is>
          <t>YDRE</t>
        </is>
      </c>
      <c r="I192" t="n">
        <v>5.6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63242-2023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45273</v>
      </c>
      <c r="E193" s="1" t="n">
        <v>46326</v>
      </c>
      <c r="F193" t="inlineStr">
        <is>
          <t>ÖSTERGÖTLANDS LÄN</t>
        </is>
      </c>
      <c r="G193" t="inlineStr">
        <is>
          <t>YDRE</t>
        </is>
      </c>
      <c r="I193" t="n">
        <v>2.2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4271-2023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44953</v>
      </c>
      <c r="E194" s="1" t="n">
        <v>46326</v>
      </c>
      <c r="F194" t="inlineStr">
        <is>
          <t>ÖSTERGÖTLANDS LÄN</t>
        </is>
      </c>
      <c r="G194" t="inlineStr">
        <is>
          <t>YDRE</t>
        </is>
      </c>
      <c r="I194" t="n">
        <v>6.7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6328-2022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44600</v>
      </c>
      <c r="E195" s="1" t="n">
        <v>46326</v>
      </c>
      <c r="F195" t="inlineStr">
        <is>
          <t>ÖSTERGÖTLANDS LÄN</t>
        </is>
      </c>
      <c r="G195" t="inlineStr">
        <is>
          <t>YDRE</t>
        </is>
      </c>
      <c r="I195" t="n">
        <v>1.2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56900-2022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44894</v>
      </c>
      <c r="E196" s="1" t="n">
        <v>46326</v>
      </c>
      <c r="F196" t="inlineStr">
        <is>
          <t>ÖSTERGÖTLANDS LÄN</t>
        </is>
      </c>
      <c r="G196" t="inlineStr">
        <is>
          <t>YDRE</t>
        </is>
      </c>
      <c r="I196" t="n">
        <v>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35209-2023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45145</v>
      </c>
      <c r="E197" s="1" t="n">
        <v>46326</v>
      </c>
      <c r="F197" t="inlineStr">
        <is>
          <t>ÖSTERGÖTLANDS LÄN</t>
        </is>
      </c>
      <c r="G197" t="inlineStr">
        <is>
          <t>YDRE</t>
        </is>
      </c>
      <c r="I197" t="n">
        <v>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60135-2025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45994</v>
      </c>
      <c r="E198" s="1" t="n">
        <v>46326</v>
      </c>
      <c r="F198" t="inlineStr">
        <is>
          <t>ÖSTERGÖTLANDS LÄN</t>
        </is>
      </c>
      <c r="G198" t="inlineStr">
        <is>
          <t>YDRE</t>
        </is>
      </c>
      <c r="I198" t="n">
        <v>0.5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60138-2025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45994</v>
      </c>
      <c r="E199" s="1" t="n">
        <v>46326</v>
      </c>
      <c r="F199" t="inlineStr">
        <is>
          <t>ÖSTERGÖTLANDS LÄN</t>
        </is>
      </c>
      <c r="G199" t="inlineStr">
        <is>
          <t>YDRE</t>
        </is>
      </c>
      <c r="I199" t="n">
        <v>1.6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1033-2025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45666</v>
      </c>
      <c r="E200" s="1" t="n">
        <v>46326</v>
      </c>
      <c r="F200" t="inlineStr">
        <is>
          <t>ÖSTERGÖTLANDS LÄN</t>
        </is>
      </c>
      <c r="G200" t="inlineStr">
        <is>
          <t>YDRE</t>
        </is>
      </c>
      <c r="I200" t="n">
        <v>1.3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9155-2025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45714</v>
      </c>
      <c r="E201" s="1" t="n">
        <v>46326</v>
      </c>
      <c r="F201" t="inlineStr">
        <is>
          <t>ÖSTERGÖTLANDS LÄN</t>
        </is>
      </c>
      <c r="G201" t="inlineStr">
        <is>
          <t>YDRE</t>
        </is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645-2026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46029</v>
      </c>
      <c r="E202" s="1" t="n">
        <v>46326</v>
      </c>
      <c r="F202" t="inlineStr">
        <is>
          <t>ÖSTERGÖTLANDS LÄN</t>
        </is>
      </c>
      <c r="G202" t="inlineStr">
        <is>
          <t>YDRE</t>
        </is>
      </c>
      <c r="I202" t="n">
        <v>1.8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20048-2023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45054</v>
      </c>
      <c r="E203" s="1" t="n">
        <v>46326</v>
      </c>
      <c r="F203" t="inlineStr">
        <is>
          <t>ÖSTERGÖTLANDS LÄN</t>
        </is>
      </c>
      <c r="G203" t="inlineStr">
        <is>
          <t>YDRE</t>
        </is>
      </c>
      <c r="I203" t="n">
        <v>5.3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62448-2025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46007</v>
      </c>
      <c r="E204" s="1" t="n">
        <v>46326</v>
      </c>
      <c r="F204" t="inlineStr">
        <is>
          <t>ÖSTERGÖTLANDS LÄN</t>
        </is>
      </c>
      <c r="G204" t="inlineStr">
        <is>
          <t>YDRE</t>
        </is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62244-2025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46006</v>
      </c>
      <c r="E205" s="1" t="n">
        <v>46326</v>
      </c>
      <c r="F205" t="inlineStr">
        <is>
          <t>ÖSTERGÖTLANDS LÄN</t>
        </is>
      </c>
      <c r="G205" t="inlineStr">
        <is>
          <t>YDRE</t>
        </is>
      </c>
      <c r="I205" t="n">
        <v>0.7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61942-2021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44502</v>
      </c>
      <c r="E206" s="1" t="n">
        <v>46326</v>
      </c>
      <c r="F206" t="inlineStr">
        <is>
          <t>ÖSTERGÖTLANDS LÄN</t>
        </is>
      </c>
      <c r="G206" t="inlineStr">
        <is>
          <t>YDRE</t>
        </is>
      </c>
      <c r="I206" t="n">
        <v>0.9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6408-2023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44965</v>
      </c>
      <c r="E207" s="1" t="n">
        <v>46326</v>
      </c>
      <c r="F207" t="inlineStr">
        <is>
          <t>ÖSTERGÖTLANDS LÄN</t>
        </is>
      </c>
      <c r="G207" t="inlineStr">
        <is>
          <t>YDRE</t>
        </is>
      </c>
      <c r="I207" t="n">
        <v>1.9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62446-2025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46007</v>
      </c>
      <c r="E208" s="1" t="n">
        <v>46326</v>
      </c>
      <c r="F208" t="inlineStr">
        <is>
          <t>ÖSTERGÖTLANDS LÄN</t>
        </is>
      </c>
      <c r="G208" t="inlineStr">
        <is>
          <t>YDRE</t>
        </is>
      </c>
      <c r="I208" t="n">
        <v>0.9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62441-2025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46007</v>
      </c>
      <c r="E209" s="1" t="n">
        <v>46326</v>
      </c>
      <c r="F209" t="inlineStr">
        <is>
          <t>ÖSTERGÖTLANDS LÄN</t>
        </is>
      </c>
      <c r="G209" t="inlineStr">
        <is>
          <t>YDRE</t>
        </is>
      </c>
      <c r="I209" t="n">
        <v>3.9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62453-2025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46007</v>
      </c>
      <c r="E210" s="1" t="n">
        <v>46326</v>
      </c>
      <c r="F210" t="inlineStr">
        <is>
          <t>ÖSTERGÖTLANDS LÄN</t>
        </is>
      </c>
      <c r="G210" t="inlineStr">
        <is>
          <t>YDRE</t>
        </is>
      </c>
      <c r="I210" t="n">
        <v>1.8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62245-2025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46006</v>
      </c>
      <c r="E211" s="1" t="n">
        <v>46326</v>
      </c>
      <c r="F211" t="inlineStr">
        <is>
          <t>ÖSTERGÖTLANDS LÄN</t>
        </is>
      </c>
      <c r="G211" t="inlineStr">
        <is>
          <t>YDRE</t>
        </is>
      </c>
      <c r="I211" t="n">
        <v>1.6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14143-2026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46099</v>
      </c>
      <c r="E212" s="1" t="n">
        <v>46326</v>
      </c>
      <c r="F212" t="inlineStr">
        <is>
          <t>ÖSTERGÖTLANDS LÄN</t>
        </is>
      </c>
      <c r="G212" t="inlineStr">
        <is>
          <t>YDRE</t>
        </is>
      </c>
      <c r="I212" t="n">
        <v>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63536-2025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46013</v>
      </c>
      <c r="E213" s="1" t="n">
        <v>46326</v>
      </c>
      <c r="F213" t="inlineStr">
        <is>
          <t>ÖSTERGÖTLANDS LÄN</t>
        </is>
      </c>
      <c r="G213" t="inlineStr">
        <is>
          <t>YDRE</t>
        </is>
      </c>
      <c r="I213" t="n">
        <v>0.8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2347-2024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45310</v>
      </c>
      <c r="E214" s="1" t="n">
        <v>46326</v>
      </c>
      <c r="F214" t="inlineStr">
        <is>
          <t>ÖSTERGÖTLANDS LÄN</t>
        </is>
      </c>
      <c r="G214" t="inlineStr">
        <is>
          <t>YDRE</t>
        </is>
      </c>
      <c r="I214" t="n">
        <v>0.9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63538-2025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46013</v>
      </c>
      <c r="E215" s="1" t="n">
        <v>46326</v>
      </c>
      <c r="F215" t="inlineStr">
        <is>
          <t>ÖSTERGÖTLANDS LÄN</t>
        </is>
      </c>
      <c r="G215" t="inlineStr">
        <is>
          <t>YDRE</t>
        </is>
      </c>
      <c r="I215" t="n">
        <v>2.3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19261-2024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45428</v>
      </c>
      <c r="E216" s="1" t="n">
        <v>46326</v>
      </c>
      <c r="F216" t="inlineStr">
        <is>
          <t>ÖSTERGÖTLANDS LÄN</t>
        </is>
      </c>
      <c r="G216" t="inlineStr">
        <is>
          <t>YDRE</t>
        </is>
      </c>
      <c r="I216" t="n">
        <v>2.8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63544-2025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46013</v>
      </c>
      <c r="E217" s="1" t="n">
        <v>46326</v>
      </c>
      <c r="F217" t="inlineStr">
        <is>
          <t>ÖSTERGÖTLANDS LÄN</t>
        </is>
      </c>
      <c r="G217" t="inlineStr">
        <is>
          <t>YDRE</t>
        </is>
      </c>
      <c r="I217" t="n">
        <v>3.7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13866-2025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45737</v>
      </c>
      <c r="E218" s="1" t="n">
        <v>46326</v>
      </c>
      <c r="F218" t="inlineStr">
        <is>
          <t>ÖSTERGÖTLANDS LÄN</t>
        </is>
      </c>
      <c r="G218" t="inlineStr">
        <is>
          <t>YDRE</t>
        </is>
      </c>
      <c r="I218" t="n">
        <v>3.1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63264-2025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46010</v>
      </c>
      <c r="E219" s="1" t="n">
        <v>46326</v>
      </c>
      <c r="F219" t="inlineStr">
        <is>
          <t>ÖSTERGÖTLANDS LÄN</t>
        </is>
      </c>
      <c r="G219" t="inlineStr">
        <is>
          <t>YDRE</t>
        </is>
      </c>
      <c r="I219" t="n">
        <v>1.9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14600-2026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46101</v>
      </c>
      <c r="E220" s="1" t="n">
        <v>46326</v>
      </c>
      <c r="F220" t="inlineStr">
        <is>
          <t>ÖSTERGÖTLANDS LÄN</t>
        </is>
      </c>
      <c r="G220" t="inlineStr">
        <is>
          <t>YDRE</t>
        </is>
      </c>
      <c r="I220" t="n">
        <v>9.9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63998-2025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46021</v>
      </c>
      <c r="E221" s="1" t="n">
        <v>46326</v>
      </c>
      <c r="F221" t="inlineStr">
        <is>
          <t>ÖSTERGÖTLANDS LÄN</t>
        </is>
      </c>
      <c r="G221" t="inlineStr">
        <is>
          <t>YDRE</t>
        </is>
      </c>
      <c r="I221" t="n">
        <v>0.5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14604-2026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46101</v>
      </c>
      <c r="E222" s="1" t="n">
        <v>46326</v>
      </c>
      <c r="F222" t="inlineStr">
        <is>
          <t>ÖSTERGÖTLANDS LÄN</t>
        </is>
      </c>
      <c r="G222" t="inlineStr">
        <is>
          <t>YDRE</t>
        </is>
      </c>
      <c r="I222" t="n">
        <v>1.8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15638-2026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46106</v>
      </c>
      <c r="E223" s="1" t="n">
        <v>46326</v>
      </c>
      <c r="F223" t="inlineStr">
        <is>
          <t>ÖSTERGÖTLANDS LÄN</t>
        </is>
      </c>
      <c r="G223" t="inlineStr">
        <is>
          <t>YDRE</t>
        </is>
      </c>
      <c r="I223" t="n">
        <v>2.7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45449-2023</t>
        </is>
      </c>
      <c r="B224" t="inlineStr">
        <is>
          <t>avverkningsanmälan</t>
        </is>
      </c>
      <c r="C224" t="inlineStr">
        <is>
          <t>Avverkning för annat ändamål</t>
        </is>
      </c>
      <c r="D224" s="1" t="n">
        <v>45194</v>
      </c>
      <c r="E224" s="1" t="n">
        <v>46326</v>
      </c>
      <c r="F224" t="inlineStr">
        <is>
          <t>ÖSTERGÖTLANDS LÄN</t>
        </is>
      </c>
      <c r="G224" t="inlineStr">
        <is>
          <t>YDRE</t>
        </is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47338-2024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45587</v>
      </c>
      <c r="E225" s="1" t="n">
        <v>46326</v>
      </c>
      <c r="F225" t="inlineStr">
        <is>
          <t>ÖSTERGÖTLANDS LÄN</t>
        </is>
      </c>
      <c r="G225" t="inlineStr">
        <is>
          <t>YDRE</t>
        </is>
      </c>
      <c r="H225" t="inlineStr">
        <is>
          <t>Kyrkan</t>
        </is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45456-2023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45194</v>
      </c>
      <c r="E226" s="1" t="n">
        <v>46326</v>
      </c>
      <c r="F226" t="inlineStr">
        <is>
          <t>ÖSTERGÖTLANDS LÄN</t>
        </is>
      </c>
      <c r="G226" t="inlineStr">
        <is>
          <t>YDRE</t>
        </is>
      </c>
      <c r="I226" t="n">
        <v>1.1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61589-2022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44916</v>
      </c>
      <c r="E227" s="1" t="n">
        <v>46326</v>
      </c>
      <c r="F227" t="inlineStr">
        <is>
          <t>ÖSTERGÖTLANDS LÄN</t>
        </is>
      </c>
      <c r="G227" t="inlineStr">
        <is>
          <t>YDRE</t>
        </is>
      </c>
      <c r="I227" t="n">
        <v>1.1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1-2022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44562</v>
      </c>
      <c r="E228" s="1" t="n">
        <v>46326</v>
      </c>
      <c r="F228" t="inlineStr">
        <is>
          <t>ÖSTERGÖTLANDS LÄN</t>
        </is>
      </c>
      <c r="G228" t="inlineStr">
        <is>
          <t>YDRE</t>
        </is>
      </c>
      <c r="I228" t="n">
        <v>0.8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62859-2023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45272</v>
      </c>
      <c r="E229" s="1" t="n">
        <v>46326</v>
      </c>
      <c r="F229" t="inlineStr">
        <is>
          <t>ÖSTERGÖTLANDS LÄN</t>
        </is>
      </c>
      <c r="G229" t="inlineStr">
        <is>
          <t>YDRE</t>
        </is>
      </c>
      <c r="H229" t="inlineStr">
        <is>
          <t>Övriga Aktiebolag</t>
        </is>
      </c>
      <c r="I229" t="n">
        <v>5.6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17184-2026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46116</v>
      </c>
      <c r="E230" s="1" t="n">
        <v>46326</v>
      </c>
      <c r="F230" t="inlineStr">
        <is>
          <t>ÖSTERGÖTLANDS LÄN</t>
        </is>
      </c>
      <c r="G230" t="inlineStr">
        <is>
          <t>YDRE</t>
        </is>
      </c>
      <c r="I230" t="n">
        <v>1.7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17277-2024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45414</v>
      </c>
      <c r="E231" s="1" t="n">
        <v>46326</v>
      </c>
      <c r="F231" t="inlineStr">
        <is>
          <t>ÖSTERGÖTLANDS LÄN</t>
        </is>
      </c>
      <c r="G231" t="inlineStr">
        <is>
          <t>YDRE</t>
        </is>
      </c>
      <c r="I231" t="n">
        <v>1.4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17385-2026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46119</v>
      </c>
      <c r="E232" s="1" t="n">
        <v>46326</v>
      </c>
      <c r="F232" t="inlineStr">
        <is>
          <t>ÖSTERGÖTLANDS LÄN</t>
        </is>
      </c>
      <c r="G232" t="inlineStr">
        <is>
          <t>YDRE</t>
        </is>
      </c>
      <c r="I232" t="n">
        <v>3.2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17384-2026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46119</v>
      </c>
      <c r="E233" s="1" t="n">
        <v>46326</v>
      </c>
      <c r="F233" t="inlineStr">
        <is>
          <t>ÖSTERGÖTLANDS LÄN</t>
        </is>
      </c>
      <c r="G233" t="inlineStr">
        <is>
          <t>YDRE</t>
        </is>
      </c>
      <c r="I233" t="n">
        <v>5.7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70448-2021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44536</v>
      </c>
      <c r="E234" s="1" t="n">
        <v>46326</v>
      </c>
      <c r="F234" t="inlineStr">
        <is>
          <t>ÖSTERGÖTLANDS LÄN</t>
        </is>
      </c>
      <c r="G234" t="inlineStr">
        <is>
          <t>YDRE</t>
        </is>
      </c>
      <c r="I234" t="n">
        <v>0.7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17705-2026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46121</v>
      </c>
      <c r="E235" s="1" t="n">
        <v>46326</v>
      </c>
      <c r="F235" t="inlineStr">
        <is>
          <t>ÖSTERGÖTLANDS LÄN</t>
        </is>
      </c>
      <c r="G235" t="inlineStr">
        <is>
          <t>YDRE</t>
        </is>
      </c>
      <c r="I235" t="n">
        <v>1.8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7047-2025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45701</v>
      </c>
      <c r="E236" s="1" t="n">
        <v>46326</v>
      </c>
      <c r="F236" t="inlineStr">
        <is>
          <t>ÖSTERGÖTLANDS LÄN</t>
        </is>
      </c>
      <c r="G236" t="inlineStr">
        <is>
          <t>YDRE</t>
        </is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18181-2026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46125</v>
      </c>
      <c r="E237" s="1" t="n">
        <v>46326</v>
      </c>
      <c r="F237" t="inlineStr">
        <is>
          <t>ÖSTERGÖTLANDS LÄN</t>
        </is>
      </c>
      <c r="G237" t="inlineStr">
        <is>
          <t>YDRE</t>
        </is>
      </c>
      <c r="I237" t="n">
        <v>0.4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18151-2026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46125</v>
      </c>
      <c r="E238" s="1" t="n">
        <v>46326</v>
      </c>
      <c r="F238" t="inlineStr">
        <is>
          <t>ÖSTERGÖTLANDS LÄN</t>
        </is>
      </c>
      <c r="G238" t="inlineStr">
        <is>
          <t>YDRE</t>
        </is>
      </c>
      <c r="I238" t="n">
        <v>0.7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18416-2026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46126</v>
      </c>
      <c r="E239" s="1" t="n">
        <v>46326</v>
      </c>
      <c r="F239" t="inlineStr">
        <is>
          <t>ÖSTERGÖTLANDS LÄN</t>
        </is>
      </c>
      <c r="G239" t="inlineStr">
        <is>
          <t>YDRE</t>
        </is>
      </c>
      <c r="I239" t="n">
        <v>0.5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54510-2025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45965</v>
      </c>
      <c r="E240" s="1" t="n">
        <v>46326</v>
      </c>
      <c r="F240" t="inlineStr">
        <is>
          <t>ÖSTERGÖTLANDS LÄN</t>
        </is>
      </c>
      <c r="G240" t="inlineStr">
        <is>
          <t>YDRE</t>
        </is>
      </c>
      <c r="I240" t="n">
        <v>7.2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25844-2023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45090</v>
      </c>
      <c r="E241" s="1" t="n">
        <v>46326</v>
      </c>
      <c r="F241" t="inlineStr">
        <is>
          <t>ÖSTERGÖTLANDS LÄN</t>
        </is>
      </c>
      <c r="G241" t="inlineStr">
        <is>
          <t>YDRE</t>
        </is>
      </c>
      <c r="H241" t="inlineStr">
        <is>
          <t>Sveaskog</t>
        </is>
      </c>
      <c r="I241" t="n">
        <v>1.3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59811-2022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44908</v>
      </c>
      <c r="E242" s="1" t="n">
        <v>46326</v>
      </c>
      <c r="F242" t="inlineStr">
        <is>
          <t>ÖSTERGÖTLANDS LÄN</t>
        </is>
      </c>
      <c r="G242" t="inlineStr">
        <is>
          <t>YDRE</t>
        </is>
      </c>
      <c r="I242" t="n">
        <v>1.9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59816-2022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44908</v>
      </c>
      <c r="E243" s="1" t="n">
        <v>46326</v>
      </c>
      <c r="F243" t="inlineStr">
        <is>
          <t>ÖSTERGÖTLANDS LÄN</t>
        </is>
      </c>
      <c r="G243" t="inlineStr">
        <is>
          <t>YDRE</t>
        </is>
      </c>
      <c r="I243" t="n">
        <v>2.1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10699-2022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44624</v>
      </c>
      <c r="E244" s="1" t="n">
        <v>46326</v>
      </c>
      <c r="F244" t="inlineStr">
        <is>
          <t>ÖSTERGÖTLANDS LÄN</t>
        </is>
      </c>
      <c r="G244" t="inlineStr">
        <is>
          <t>YDRE</t>
        </is>
      </c>
      <c r="I244" t="n">
        <v>2.4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30535-2025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45831</v>
      </c>
      <c r="E245" s="1" t="n">
        <v>46326</v>
      </c>
      <c r="F245" t="inlineStr">
        <is>
          <t>ÖSTERGÖTLANDS LÄN</t>
        </is>
      </c>
      <c r="G245" t="inlineStr">
        <is>
          <t>YDRE</t>
        </is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44505-2025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45916</v>
      </c>
      <c r="E246" s="1" t="n">
        <v>46326</v>
      </c>
      <c r="F246" t="inlineStr">
        <is>
          <t>ÖSTERGÖTLANDS LÄN</t>
        </is>
      </c>
      <c r="G246" t="inlineStr">
        <is>
          <t>YDRE</t>
        </is>
      </c>
      <c r="I246" t="n">
        <v>1.1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30766-2025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45831</v>
      </c>
      <c r="E247" s="1" t="n">
        <v>46326</v>
      </c>
      <c r="F247" t="inlineStr">
        <is>
          <t>ÖSTERGÖTLANDS LÄN</t>
        </is>
      </c>
      <c r="G247" t="inlineStr">
        <is>
          <t>YDRE</t>
        </is>
      </c>
      <c r="I247" t="n">
        <v>1.1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44555-2025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45917</v>
      </c>
      <c r="E248" s="1" t="n">
        <v>46326</v>
      </c>
      <c r="F248" t="inlineStr">
        <is>
          <t>ÖSTERGÖTLANDS LÄN</t>
        </is>
      </c>
      <c r="G248" t="inlineStr">
        <is>
          <t>YDRE</t>
        </is>
      </c>
      <c r="I248" t="n">
        <v>1.5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54047-2024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45616</v>
      </c>
      <c r="E249" s="1" t="n">
        <v>46326</v>
      </c>
      <c r="F249" t="inlineStr">
        <is>
          <t>ÖSTERGÖTLANDS LÄN</t>
        </is>
      </c>
      <c r="G249" t="inlineStr">
        <is>
          <t>YDRE</t>
        </is>
      </c>
      <c r="I249" t="n">
        <v>4.8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1222-2024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45302</v>
      </c>
      <c r="E250" s="1" t="n">
        <v>46326</v>
      </c>
      <c r="F250" t="inlineStr">
        <is>
          <t>ÖSTERGÖTLANDS LÄN</t>
        </is>
      </c>
      <c r="G250" t="inlineStr">
        <is>
          <t>YDRE</t>
        </is>
      </c>
      <c r="I250" t="n">
        <v>0.6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11790-2023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44994</v>
      </c>
      <c r="E251" s="1" t="n">
        <v>46326</v>
      </c>
      <c r="F251" t="inlineStr">
        <is>
          <t>ÖSTERGÖTLANDS LÄN</t>
        </is>
      </c>
      <c r="G251" t="inlineStr">
        <is>
          <t>YDRE</t>
        </is>
      </c>
      <c r="I251" t="n">
        <v>0.9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43335-2025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45910</v>
      </c>
      <c r="E252" s="1" t="n">
        <v>46326</v>
      </c>
      <c r="F252" t="inlineStr">
        <is>
          <t>ÖSTERGÖTLANDS LÄN</t>
        </is>
      </c>
      <c r="G252" t="inlineStr">
        <is>
          <t>YDRE</t>
        </is>
      </c>
      <c r="I252" t="n">
        <v>3.4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11185-2024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45371</v>
      </c>
      <c r="E253" s="1" t="n">
        <v>46326</v>
      </c>
      <c r="F253" t="inlineStr">
        <is>
          <t>ÖSTERGÖTLANDS LÄN</t>
        </is>
      </c>
      <c r="G253" t="inlineStr">
        <is>
          <t>YDRE</t>
        </is>
      </c>
      <c r="I253" t="n">
        <v>1.3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54549-2025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45965</v>
      </c>
      <c r="E254" s="1" t="n">
        <v>46326</v>
      </c>
      <c r="F254" t="inlineStr">
        <is>
          <t>ÖSTERGÖTLANDS LÄN</t>
        </is>
      </c>
      <c r="G254" t="inlineStr">
        <is>
          <t>YDRE</t>
        </is>
      </c>
      <c r="I254" t="n">
        <v>2.4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36676-2025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45871</v>
      </c>
      <c r="E255" s="1" t="n">
        <v>46326</v>
      </c>
      <c r="F255" t="inlineStr">
        <is>
          <t>ÖSTERGÖTLANDS LÄN</t>
        </is>
      </c>
      <c r="G255" t="inlineStr">
        <is>
          <t>YDRE</t>
        </is>
      </c>
      <c r="I255" t="n">
        <v>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30544-2025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45831</v>
      </c>
      <c r="E256" s="1" t="n">
        <v>46326</v>
      </c>
      <c r="F256" t="inlineStr">
        <is>
          <t>ÖSTERGÖTLANDS LÄN</t>
        </is>
      </c>
      <c r="G256" t="inlineStr">
        <is>
          <t>YDRE</t>
        </is>
      </c>
      <c r="I256" t="n">
        <v>2.9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23760-2025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45793</v>
      </c>
      <c r="E257" s="1" t="n">
        <v>46326</v>
      </c>
      <c r="F257" t="inlineStr">
        <is>
          <t>ÖSTERGÖTLANDS LÄN</t>
        </is>
      </c>
      <c r="G257" t="inlineStr">
        <is>
          <t>YDRE</t>
        </is>
      </c>
      <c r="I257" t="n">
        <v>1.2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57590-2023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45246</v>
      </c>
      <c r="E258" s="1" t="n">
        <v>46326</v>
      </c>
      <c r="F258" t="inlineStr">
        <is>
          <t>ÖSTERGÖTLANDS LÄN</t>
        </is>
      </c>
      <c r="G258" t="inlineStr">
        <is>
          <t>YDRE</t>
        </is>
      </c>
      <c r="H258" t="inlineStr">
        <is>
          <t>Sveaskog</t>
        </is>
      </c>
      <c r="I258" t="n">
        <v>2.6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33589-2025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45841</v>
      </c>
      <c r="E259" s="1" t="n">
        <v>46326</v>
      </c>
      <c r="F259" t="inlineStr">
        <is>
          <t>ÖSTERGÖTLANDS LÄN</t>
        </is>
      </c>
      <c r="G259" t="inlineStr">
        <is>
          <t>YDRE</t>
        </is>
      </c>
      <c r="I259" t="n">
        <v>1.4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36616-2024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45537</v>
      </c>
      <c r="E260" s="1" t="n">
        <v>46326</v>
      </c>
      <c r="F260" t="inlineStr">
        <is>
          <t>ÖSTERGÖTLANDS LÄN</t>
        </is>
      </c>
      <c r="G260" t="inlineStr">
        <is>
          <t>YDRE</t>
        </is>
      </c>
      <c r="I260" t="n">
        <v>0.9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7064-2025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45701</v>
      </c>
      <c r="E261" s="1" t="n">
        <v>46326</v>
      </c>
      <c r="F261" t="inlineStr">
        <is>
          <t>ÖSTERGÖTLANDS LÄN</t>
        </is>
      </c>
      <c r="G261" t="inlineStr">
        <is>
          <t>YDRE</t>
        </is>
      </c>
      <c r="I261" t="n">
        <v>2.6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51153-2022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44868</v>
      </c>
      <c r="E262" s="1" t="n">
        <v>46326</v>
      </c>
      <c r="F262" t="inlineStr">
        <is>
          <t>ÖSTERGÖTLANDS LÄN</t>
        </is>
      </c>
      <c r="G262" t="inlineStr">
        <is>
          <t>YDRE</t>
        </is>
      </c>
      <c r="H262" t="inlineStr">
        <is>
          <t>Övriga Aktiebolag</t>
        </is>
      </c>
      <c r="I262" t="n">
        <v>5.6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30126-2023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45110</v>
      </c>
      <c r="E263" s="1" t="n">
        <v>46326</v>
      </c>
      <c r="F263" t="inlineStr">
        <is>
          <t>ÖSTERGÖTLANDS LÄN</t>
        </is>
      </c>
      <c r="G263" t="inlineStr">
        <is>
          <t>YDRE</t>
        </is>
      </c>
      <c r="I263" t="n">
        <v>2.6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46689-2024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45583</v>
      </c>
      <c r="E264" s="1" t="n">
        <v>46326</v>
      </c>
      <c r="F264" t="inlineStr">
        <is>
          <t>ÖSTERGÖTLANDS LÄN</t>
        </is>
      </c>
      <c r="G264" t="inlineStr">
        <is>
          <t>YDRE</t>
        </is>
      </c>
      <c r="I264" t="n">
        <v>1.9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28239-2023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45099</v>
      </c>
      <c r="E265" s="1" t="n">
        <v>46326</v>
      </c>
      <c r="F265" t="inlineStr">
        <is>
          <t>ÖSTERGÖTLANDS LÄN</t>
        </is>
      </c>
      <c r="G265" t="inlineStr">
        <is>
          <t>YDRE</t>
        </is>
      </c>
      <c r="I265" t="n">
        <v>7.6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49441-2024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45595</v>
      </c>
      <c r="E266" s="1" t="n">
        <v>46326</v>
      </c>
      <c r="F266" t="inlineStr">
        <is>
          <t>ÖSTERGÖTLANDS LÄN</t>
        </is>
      </c>
      <c r="G266" t="inlineStr">
        <is>
          <t>YDRE</t>
        </is>
      </c>
      <c r="I266" t="n">
        <v>1.2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21067-2026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46146</v>
      </c>
      <c r="E267" s="1" t="n">
        <v>46326</v>
      </c>
      <c r="F267" t="inlineStr">
        <is>
          <t>ÖSTERGÖTLANDS LÄN</t>
        </is>
      </c>
      <c r="G267" t="inlineStr">
        <is>
          <t>YDRE</t>
        </is>
      </c>
      <c r="I267" t="n">
        <v>1.1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21063-2026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46146</v>
      </c>
      <c r="E268" s="1" t="n">
        <v>46326</v>
      </c>
      <c r="F268" t="inlineStr">
        <is>
          <t>ÖSTERGÖTLANDS LÄN</t>
        </is>
      </c>
      <c r="G268" t="inlineStr">
        <is>
          <t>YDRE</t>
        </is>
      </c>
      <c r="I268" t="n">
        <v>2.2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21069-2026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46146</v>
      </c>
      <c r="E269" s="1" t="n">
        <v>46326</v>
      </c>
      <c r="F269" t="inlineStr">
        <is>
          <t>ÖSTERGÖTLANDS LÄN</t>
        </is>
      </c>
      <c r="G269" t="inlineStr">
        <is>
          <t>YDRE</t>
        </is>
      </c>
      <c r="I269" t="n">
        <v>0.7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21070-2026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46146</v>
      </c>
      <c r="E270" s="1" t="n">
        <v>46326</v>
      </c>
      <c r="F270" t="inlineStr">
        <is>
          <t>ÖSTERGÖTLANDS LÄN</t>
        </is>
      </c>
      <c r="G270" t="inlineStr">
        <is>
          <t>YDRE</t>
        </is>
      </c>
      <c r="I270" t="n">
        <v>0.6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21117-2026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46146</v>
      </c>
      <c r="E271" s="1" t="n">
        <v>46326</v>
      </c>
      <c r="F271" t="inlineStr">
        <is>
          <t>ÖSTERGÖTLANDS LÄN</t>
        </is>
      </c>
      <c r="G271" t="inlineStr">
        <is>
          <t>YDRE</t>
        </is>
      </c>
      <c r="I271" t="n">
        <v>2.2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21064-2026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46146</v>
      </c>
      <c r="E272" s="1" t="n">
        <v>46326</v>
      </c>
      <c r="F272" t="inlineStr">
        <is>
          <t>ÖSTERGÖTLANDS LÄN</t>
        </is>
      </c>
      <c r="G272" t="inlineStr">
        <is>
          <t>YDRE</t>
        </is>
      </c>
      <c r="I272" t="n">
        <v>1.3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6756-2023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44966</v>
      </c>
      <c r="E273" s="1" t="n">
        <v>46326</v>
      </c>
      <c r="F273" t="inlineStr">
        <is>
          <t>ÖSTERGÖTLANDS LÄN</t>
        </is>
      </c>
      <c r="G273" t="inlineStr">
        <is>
          <t>YDRE</t>
        </is>
      </c>
      <c r="I273" t="n">
        <v>1.3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1176-2022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44572</v>
      </c>
      <c r="E274" s="1" t="n">
        <v>46326</v>
      </c>
      <c r="F274" t="inlineStr">
        <is>
          <t>ÖSTERGÖTLANDS LÄN</t>
        </is>
      </c>
      <c r="G274" t="inlineStr">
        <is>
          <t>YDRE</t>
        </is>
      </c>
      <c r="I274" t="n">
        <v>1.1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22175-2026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46153</v>
      </c>
      <c r="E275" s="1" t="n">
        <v>46326</v>
      </c>
      <c r="F275" t="inlineStr">
        <is>
          <t>ÖSTERGÖTLANDS LÄN</t>
        </is>
      </c>
      <c r="G275" t="inlineStr">
        <is>
          <t>YDRE</t>
        </is>
      </c>
      <c r="H275" t="inlineStr">
        <is>
          <t>Sveaskog</t>
        </is>
      </c>
      <c r="I275" t="n">
        <v>1.2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22312-2026</t>
        </is>
      </c>
      <c r="B276" t="inlineStr">
        <is>
          <t>avverkningsanmälan</t>
        </is>
      </c>
      <c r="C276" t="inlineStr">
        <is>
          <t>Avverkning för att bevara och utveckla /försöksver</t>
        </is>
      </c>
      <c r="D276" s="1" t="n">
        <v>46154</v>
      </c>
      <c r="E276" s="1" t="n">
        <v>46326</v>
      </c>
      <c r="F276" t="inlineStr">
        <is>
          <t>ÖSTERGÖTLANDS LÄN</t>
        </is>
      </c>
      <c r="G276" t="inlineStr">
        <is>
          <t>YDRE</t>
        </is>
      </c>
      <c r="H276" t="inlineStr">
        <is>
          <t>Övriga Aktiebolag</t>
        </is>
      </c>
      <c r="I276" t="n">
        <v>0.8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61636-2021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44501</v>
      </c>
      <c r="E277" s="1" t="n">
        <v>46326</v>
      </c>
      <c r="F277" t="inlineStr">
        <is>
          <t>ÖSTERGÖTLANDS LÄN</t>
        </is>
      </c>
      <c r="G277" t="inlineStr">
        <is>
          <t>YDRE</t>
        </is>
      </c>
      <c r="I277" t="n">
        <v>1.5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7051-2025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45701</v>
      </c>
      <c r="E278" s="1" t="n">
        <v>46326</v>
      </c>
      <c r="F278" t="inlineStr">
        <is>
          <t>ÖSTERGÖTLANDS LÄN</t>
        </is>
      </c>
      <c r="G278" t="inlineStr">
        <is>
          <t>YDRE</t>
        </is>
      </c>
      <c r="I278" t="n">
        <v>0.4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5840-2024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45335</v>
      </c>
      <c r="E279" s="1" t="n">
        <v>46326</v>
      </c>
      <c r="F279" t="inlineStr">
        <is>
          <t>ÖSTERGÖTLANDS LÄN</t>
        </is>
      </c>
      <c r="G279" t="inlineStr">
        <is>
          <t>YDRE</t>
        </is>
      </c>
      <c r="I279" t="n">
        <v>0.2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45198-2024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45575</v>
      </c>
      <c r="E280" s="1" t="n">
        <v>46326</v>
      </c>
      <c r="F280" t="inlineStr">
        <is>
          <t>ÖSTERGÖTLANDS LÄN</t>
        </is>
      </c>
      <c r="G280" t="inlineStr">
        <is>
          <t>YDRE</t>
        </is>
      </c>
      <c r="I280" t="n">
        <v>2.8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53534-2022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44874</v>
      </c>
      <c r="E281" s="1" t="n">
        <v>46326</v>
      </c>
      <c r="F281" t="inlineStr">
        <is>
          <t>ÖSTERGÖTLANDS LÄN</t>
        </is>
      </c>
      <c r="G281" t="inlineStr">
        <is>
          <t>YDRE</t>
        </is>
      </c>
      <c r="I281" t="n">
        <v>2.6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21982-2022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44711</v>
      </c>
      <c r="E282" s="1" t="n">
        <v>46326</v>
      </c>
      <c r="F282" t="inlineStr">
        <is>
          <t>ÖSTERGÖTLANDS LÄN</t>
        </is>
      </c>
      <c r="G282" t="inlineStr">
        <is>
          <t>YDRE</t>
        </is>
      </c>
      <c r="H282" t="inlineStr">
        <is>
          <t>Övriga Aktiebolag</t>
        </is>
      </c>
      <c r="I282" t="n">
        <v>3.2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2745-2026</t>
        </is>
      </c>
      <c r="B283" t="inlineStr">
        <is>
          <t>avverkningsanmälan</t>
        </is>
      </c>
      <c r="C283" t="inlineStr">
        <is>
          <t>Avverkning för att bevara och utveckla /försöksver</t>
        </is>
      </c>
      <c r="D283" s="1" t="n">
        <v>46038</v>
      </c>
      <c r="E283" s="1" t="n">
        <v>46326</v>
      </c>
      <c r="F283" t="inlineStr">
        <is>
          <t>ÖSTERGÖTLANDS LÄN</t>
        </is>
      </c>
      <c r="G283" t="inlineStr">
        <is>
          <t>YDRE</t>
        </is>
      </c>
      <c r="H283" t="inlineStr">
        <is>
          <t>Övriga Aktiebolag</t>
        </is>
      </c>
      <c r="I283" t="n">
        <v>2.4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54602-2025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45965</v>
      </c>
      <c r="E284" s="1" t="n">
        <v>46326</v>
      </c>
      <c r="F284" t="inlineStr">
        <is>
          <t>ÖSTERGÖTLANDS LÄN</t>
        </is>
      </c>
      <c r="G284" t="inlineStr">
        <is>
          <t>YDRE</t>
        </is>
      </c>
      <c r="H284" t="inlineStr">
        <is>
          <t>Sveaskog</t>
        </is>
      </c>
      <c r="I284" t="n">
        <v>2.2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24780-2026</t>
        </is>
      </c>
      <c r="B285" t="inlineStr">
        <is>
          <t>avverkningsanmälan</t>
        </is>
      </c>
      <c r="C285" t="inlineStr">
        <is>
          <t>Avverkning för att bevara och utveckla /försöksver</t>
        </is>
      </c>
      <c r="D285" s="1" t="n">
        <v>46171</v>
      </c>
      <c r="E285" s="1" t="n">
        <v>46326</v>
      </c>
      <c r="F285" t="inlineStr">
        <is>
          <t>ÖSTERGÖTLANDS LÄN</t>
        </is>
      </c>
      <c r="G285" t="inlineStr">
        <is>
          <t>YDRE</t>
        </is>
      </c>
      <c r="H285" t="inlineStr">
        <is>
          <t>Övriga Aktiebolag</t>
        </is>
      </c>
      <c r="I285" t="n">
        <v>3.6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61753-2024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45649</v>
      </c>
      <c r="E286" s="1" t="n">
        <v>46326</v>
      </c>
      <c r="F286" t="inlineStr">
        <is>
          <t>ÖSTERGÖTLANDS LÄN</t>
        </is>
      </c>
      <c r="G286" t="inlineStr">
        <is>
          <t>YDRE</t>
        </is>
      </c>
      <c r="I286" t="n">
        <v>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24637-2024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45460</v>
      </c>
      <c r="E287" s="1" t="n">
        <v>46326</v>
      </c>
      <c r="F287" t="inlineStr">
        <is>
          <t>ÖSTERGÖTLANDS LÄN</t>
        </is>
      </c>
      <c r="G287" t="inlineStr">
        <is>
          <t>YDRE</t>
        </is>
      </c>
      <c r="I287" t="n">
        <v>2.4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45875-2024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45580</v>
      </c>
      <c r="E288" s="1" t="n">
        <v>46326</v>
      </c>
      <c r="F288" t="inlineStr">
        <is>
          <t>ÖSTERGÖTLANDS LÄN</t>
        </is>
      </c>
      <c r="G288" t="inlineStr">
        <is>
          <t>YDRE</t>
        </is>
      </c>
      <c r="I288" t="n">
        <v>1.5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40676-2023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45170</v>
      </c>
      <c r="E289" s="1" t="n">
        <v>46326</v>
      </c>
      <c r="F289" t="inlineStr">
        <is>
          <t>ÖSTERGÖTLANDS LÄN</t>
        </is>
      </c>
      <c r="G289" t="inlineStr">
        <is>
          <t>YDRE</t>
        </is>
      </c>
      <c r="I289" t="n">
        <v>1.5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8073-2025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45707</v>
      </c>
      <c r="E290" s="1" t="n">
        <v>46326</v>
      </c>
      <c r="F290" t="inlineStr">
        <is>
          <t>ÖSTERGÖTLANDS LÄN</t>
        </is>
      </c>
      <c r="G290" t="inlineStr">
        <is>
          <t>YDRE</t>
        </is>
      </c>
      <c r="I290" t="n">
        <v>3.5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561-2025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45664</v>
      </c>
      <c r="E291" s="1" t="n">
        <v>46326</v>
      </c>
      <c r="F291" t="inlineStr">
        <is>
          <t>ÖSTERGÖTLANDS LÄN</t>
        </is>
      </c>
      <c r="G291" t="inlineStr">
        <is>
          <t>YDRE</t>
        </is>
      </c>
      <c r="I291" t="n">
        <v>8.6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25473-2026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46177</v>
      </c>
      <c r="E292" s="1" t="n">
        <v>46326</v>
      </c>
      <c r="F292" t="inlineStr">
        <is>
          <t>ÖSTERGÖTLANDS LÄN</t>
        </is>
      </c>
      <c r="G292" t="inlineStr">
        <is>
          <t>YDRE</t>
        </is>
      </c>
      <c r="H292" t="inlineStr">
        <is>
          <t>Sveaskog</t>
        </is>
      </c>
      <c r="I292" t="n">
        <v>2.6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20540-2024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45436</v>
      </c>
      <c r="E293" s="1" t="n">
        <v>46326</v>
      </c>
      <c r="F293" t="inlineStr">
        <is>
          <t>ÖSTERGÖTLANDS LÄN</t>
        </is>
      </c>
      <c r="G293" t="inlineStr">
        <is>
          <t>YDRE</t>
        </is>
      </c>
      <c r="I293" t="n">
        <v>0.9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26603-2026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46183</v>
      </c>
      <c r="E294" s="1" t="n">
        <v>46326</v>
      </c>
      <c r="F294" t="inlineStr">
        <is>
          <t>ÖSTERGÖTLANDS LÄN</t>
        </is>
      </c>
      <c r="G294" t="inlineStr">
        <is>
          <t>YDRE</t>
        </is>
      </c>
      <c r="H294" t="inlineStr">
        <is>
          <t>Sveaskog</t>
        </is>
      </c>
      <c r="I294" t="n">
        <v>1.4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68983-2021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44530</v>
      </c>
      <c r="E295" s="1" t="n">
        <v>46326</v>
      </c>
      <c r="F295" t="inlineStr">
        <is>
          <t>ÖSTERGÖTLANDS LÄN</t>
        </is>
      </c>
      <c r="G295" t="inlineStr">
        <is>
          <t>YDRE</t>
        </is>
      </c>
      <c r="I295" t="n">
        <v>2.7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61257-2023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45261</v>
      </c>
      <c r="E296" s="1" t="n">
        <v>46326</v>
      </c>
      <c r="F296" t="inlineStr">
        <is>
          <t>ÖSTERGÖTLANDS LÄN</t>
        </is>
      </c>
      <c r="G296" t="inlineStr">
        <is>
          <t>YDRE</t>
        </is>
      </c>
      <c r="I296" t="n">
        <v>1.1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61752-2024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45649</v>
      </c>
      <c r="E297" s="1" t="n">
        <v>46326</v>
      </c>
      <c r="F297" t="inlineStr">
        <is>
          <t>ÖSTERGÖTLANDS LÄN</t>
        </is>
      </c>
      <c r="G297" t="inlineStr">
        <is>
          <t>YDRE</t>
        </is>
      </c>
      <c r="I297" t="n">
        <v>1.2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14953-2024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45398</v>
      </c>
      <c r="E298" s="1" t="n">
        <v>46326</v>
      </c>
      <c r="F298" t="inlineStr">
        <is>
          <t>ÖSTERGÖTLANDS LÄN</t>
        </is>
      </c>
      <c r="G298" t="inlineStr">
        <is>
          <t>YDRE</t>
        </is>
      </c>
      <c r="I298" t="n">
        <v>4.9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10402-2023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44987</v>
      </c>
      <c r="E299" s="1" t="n">
        <v>46326</v>
      </c>
      <c r="F299" t="inlineStr">
        <is>
          <t>ÖSTERGÖTLANDS LÄN</t>
        </is>
      </c>
      <c r="G299" t="inlineStr">
        <is>
          <t>YDRE</t>
        </is>
      </c>
      <c r="I299" t="n">
        <v>10.2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27700-2026</t>
        </is>
      </c>
      <c r="B300" t="inlineStr">
        <is>
          <t>avverkningsanmälan</t>
        </is>
      </c>
      <c r="C300" t="inlineStr">
        <is>
          <t>Avverkning för annat ändamål</t>
        </is>
      </c>
      <c r="D300" s="1" t="n">
        <v>46190</v>
      </c>
      <c r="E300" s="1" t="n">
        <v>46326</v>
      </c>
      <c r="F300" t="inlineStr">
        <is>
          <t>ÖSTERGÖTLANDS LÄN</t>
        </is>
      </c>
      <c r="G300" t="inlineStr">
        <is>
          <t>YDRE</t>
        </is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18432-2025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45762</v>
      </c>
      <c r="E301" s="1" t="n">
        <v>46326</v>
      </c>
      <c r="F301" t="inlineStr">
        <is>
          <t>ÖSTERGÖTLANDS LÄN</t>
        </is>
      </c>
      <c r="G301" t="inlineStr">
        <is>
          <t>YDRE</t>
        </is>
      </c>
      <c r="I301" t="n">
        <v>2.8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17861-2025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45758</v>
      </c>
      <c r="E302" s="1" t="n">
        <v>46326</v>
      </c>
      <c r="F302" t="inlineStr">
        <is>
          <t>ÖSTERGÖTLANDS LÄN</t>
        </is>
      </c>
      <c r="G302" t="inlineStr">
        <is>
          <t>YDRE</t>
        </is>
      </c>
      <c r="I302" t="n">
        <v>2.2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28915-2023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45104</v>
      </c>
      <c r="E303" s="1" t="n">
        <v>46326</v>
      </c>
      <c r="F303" t="inlineStr">
        <is>
          <t>ÖSTERGÖTLANDS LÄN</t>
        </is>
      </c>
      <c r="G303" t="inlineStr">
        <is>
          <t>YDRE</t>
        </is>
      </c>
      <c r="I303" t="n">
        <v>1.6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27874-2026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46191</v>
      </c>
      <c r="E304" s="1" t="n">
        <v>46326</v>
      </c>
      <c r="F304" t="inlineStr">
        <is>
          <t>ÖSTERGÖTLANDS LÄN</t>
        </is>
      </c>
      <c r="G304" t="inlineStr">
        <is>
          <t>YDRE</t>
        </is>
      </c>
      <c r="I304" t="n">
        <v>1.7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50328-2024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45600</v>
      </c>
      <c r="E305" s="1" t="n">
        <v>46326</v>
      </c>
      <c r="F305" t="inlineStr">
        <is>
          <t>ÖSTERGÖTLANDS LÄN</t>
        </is>
      </c>
      <c r="G305" t="inlineStr">
        <is>
          <t>YDRE</t>
        </is>
      </c>
      <c r="H305" t="inlineStr">
        <is>
          <t>Kyrkan</t>
        </is>
      </c>
      <c r="I305" t="n">
        <v>0.6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59589-2024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45638</v>
      </c>
      <c r="E306" s="1" t="n">
        <v>46326</v>
      </c>
      <c r="F306" t="inlineStr">
        <is>
          <t>ÖSTERGÖTLANDS LÄN</t>
        </is>
      </c>
      <c r="G306" t="inlineStr">
        <is>
          <t>YDRE</t>
        </is>
      </c>
      <c r="I306" t="n">
        <v>0.7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17301-2024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45414</v>
      </c>
      <c r="E307" s="1" t="n">
        <v>46326</v>
      </c>
      <c r="F307" t="inlineStr">
        <is>
          <t>ÖSTERGÖTLANDS LÄN</t>
        </is>
      </c>
      <c r="G307" t="inlineStr">
        <is>
          <t>YDRE</t>
        </is>
      </c>
      <c r="I307" t="n">
        <v>0.5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5665-2024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45334</v>
      </c>
      <c r="E308" s="1" t="n">
        <v>46326</v>
      </c>
      <c r="F308" t="inlineStr">
        <is>
          <t>ÖSTERGÖTLANDS LÄN</t>
        </is>
      </c>
      <c r="G308" t="inlineStr">
        <is>
          <t>YDRE</t>
        </is>
      </c>
      <c r="I308" t="n">
        <v>4.4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38928-2022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44816</v>
      </c>
      <c r="E309" s="1" t="n">
        <v>46326</v>
      </c>
      <c r="F309" t="inlineStr">
        <is>
          <t>ÖSTERGÖTLANDS LÄN</t>
        </is>
      </c>
      <c r="G309" t="inlineStr">
        <is>
          <t>YDRE</t>
        </is>
      </c>
      <c r="I309" t="n">
        <v>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15112-2023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45016</v>
      </c>
      <c r="E310" s="1" t="n">
        <v>46326</v>
      </c>
      <c r="F310" t="inlineStr">
        <is>
          <t>ÖSTERGÖTLANDS LÄN</t>
        </is>
      </c>
      <c r="G310" t="inlineStr">
        <is>
          <t>YDRE</t>
        </is>
      </c>
      <c r="H310" t="inlineStr">
        <is>
          <t>Övriga Aktiebolag</t>
        </is>
      </c>
      <c r="I310" t="n">
        <v>0.5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29201-2026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46202</v>
      </c>
      <c r="E311" s="1" t="n">
        <v>46326</v>
      </c>
      <c r="F311" t="inlineStr">
        <is>
          <t>ÖSTERGÖTLANDS LÄN</t>
        </is>
      </c>
      <c r="G311" t="inlineStr">
        <is>
          <t>YDRE</t>
        </is>
      </c>
      <c r="I311" t="n">
        <v>0.6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29304-2026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46202</v>
      </c>
      <c r="E312" s="1" t="n">
        <v>46326</v>
      </c>
      <c r="F312" t="inlineStr">
        <is>
          <t>ÖSTERGÖTLANDS LÄN</t>
        </is>
      </c>
      <c r="G312" t="inlineStr">
        <is>
          <t>YDRE</t>
        </is>
      </c>
      <c r="I312" t="n">
        <v>2.5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14645-2022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44655</v>
      </c>
      <c r="E313" s="1" t="n">
        <v>46326</v>
      </c>
      <c r="F313" t="inlineStr">
        <is>
          <t>ÖSTERGÖTLANDS LÄN</t>
        </is>
      </c>
      <c r="G313" t="inlineStr">
        <is>
          <t>YDRE</t>
        </is>
      </c>
      <c r="I313" t="n">
        <v>1.1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29148-2026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46202</v>
      </c>
      <c r="E314" s="1" t="n">
        <v>46326</v>
      </c>
      <c r="F314" t="inlineStr">
        <is>
          <t>ÖSTERGÖTLANDS LÄN</t>
        </is>
      </c>
      <c r="G314" t="inlineStr">
        <is>
          <t>YDRE</t>
        </is>
      </c>
      <c r="I314" t="n">
        <v>1.3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29284-2026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46202</v>
      </c>
      <c r="E315" s="1" t="n">
        <v>46326</v>
      </c>
      <c r="F315" t="inlineStr">
        <is>
          <t>ÖSTERGÖTLANDS LÄN</t>
        </is>
      </c>
      <c r="G315" t="inlineStr">
        <is>
          <t>YDRE</t>
        </is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29280-2026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46202</v>
      </c>
      <c r="E316" s="1" t="n">
        <v>46326</v>
      </c>
      <c r="F316" t="inlineStr">
        <is>
          <t>ÖSTERGÖTLANDS LÄN</t>
        </is>
      </c>
      <c r="G316" t="inlineStr">
        <is>
          <t>YDRE</t>
        </is>
      </c>
      <c r="I316" t="n">
        <v>0.9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7619-2024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45348</v>
      </c>
      <c r="E317" s="1" t="n">
        <v>46326</v>
      </c>
      <c r="F317" t="inlineStr">
        <is>
          <t>ÖSTERGÖTLANDS LÄN</t>
        </is>
      </c>
      <c r="G317" t="inlineStr">
        <is>
          <t>YDRE</t>
        </is>
      </c>
      <c r="I317" t="n">
        <v>0.4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17181-2025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45755</v>
      </c>
      <c r="E318" s="1" t="n">
        <v>46326</v>
      </c>
      <c r="F318" t="inlineStr">
        <is>
          <t>ÖSTERGÖTLANDS LÄN</t>
        </is>
      </c>
      <c r="G318" t="inlineStr">
        <is>
          <t>YDRE</t>
        </is>
      </c>
      <c r="I318" t="n">
        <v>1.1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24983-2023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45085</v>
      </c>
      <c r="E319" s="1" t="n">
        <v>46326</v>
      </c>
      <c r="F319" t="inlineStr">
        <is>
          <t>ÖSTERGÖTLANDS LÄN</t>
        </is>
      </c>
      <c r="G319" t="inlineStr">
        <is>
          <t>YDRE</t>
        </is>
      </c>
      <c r="I319" t="n">
        <v>0.8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17291-2024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45414</v>
      </c>
      <c r="E320" s="1" t="n">
        <v>46326</v>
      </c>
      <c r="F320" t="inlineStr">
        <is>
          <t>ÖSTERGÖTLANDS LÄN</t>
        </is>
      </c>
      <c r="G320" t="inlineStr">
        <is>
          <t>YDRE</t>
        </is>
      </c>
      <c r="I320" t="n">
        <v>1.8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9162-2023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44980</v>
      </c>
      <c r="E321" s="1" t="n">
        <v>46326</v>
      </c>
      <c r="F321" t="inlineStr">
        <is>
          <t>ÖSTERGÖTLANDS LÄN</t>
        </is>
      </c>
      <c r="G321" t="inlineStr">
        <is>
          <t>YDRE</t>
        </is>
      </c>
      <c r="I321" t="n">
        <v>6.7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59805-2022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44908</v>
      </c>
      <c r="E322" s="1" t="n">
        <v>46326</v>
      </c>
      <c r="F322" t="inlineStr">
        <is>
          <t>ÖSTERGÖTLANDS LÄN</t>
        </is>
      </c>
      <c r="G322" t="inlineStr">
        <is>
          <t>YDRE</t>
        </is>
      </c>
      <c r="I322" t="n">
        <v>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58414-2024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45634</v>
      </c>
      <c r="E323" s="1" t="n">
        <v>46326</v>
      </c>
      <c r="F323" t="inlineStr">
        <is>
          <t>ÖSTERGÖTLANDS LÄN</t>
        </is>
      </c>
      <c r="G323" t="inlineStr">
        <is>
          <t>YDRE</t>
        </is>
      </c>
      <c r="I323" t="n">
        <v>0.9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50979-2023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45218</v>
      </c>
      <c r="E324" s="1" t="n">
        <v>46326</v>
      </c>
      <c r="F324" t="inlineStr">
        <is>
          <t>ÖSTERGÖTLANDS LÄN</t>
        </is>
      </c>
      <c r="G324" t="inlineStr">
        <is>
          <t>YDRE</t>
        </is>
      </c>
      <c r="I324" t="n">
        <v>1.1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17296-2024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45414</v>
      </c>
      <c r="E325" s="1" t="n">
        <v>46326</v>
      </c>
      <c r="F325" t="inlineStr">
        <is>
          <t>ÖSTERGÖTLANDS LÄN</t>
        </is>
      </c>
      <c r="G325" t="inlineStr">
        <is>
          <t>YDRE</t>
        </is>
      </c>
      <c r="I325" t="n">
        <v>2.5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14184-2022</t>
        </is>
      </c>
      <c r="B326" t="inlineStr">
        <is>
          <t>avverkningsanmälan</t>
        </is>
      </c>
      <c r="C326" t="inlineStr">
        <is>
          <t>Avverkning för annat ändamål</t>
        </is>
      </c>
      <c r="D326" s="1" t="n">
        <v>44651</v>
      </c>
      <c r="E326" s="1" t="n">
        <v>46326</v>
      </c>
      <c r="F326" t="inlineStr">
        <is>
          <t>ÖSTERGÖTLANDS LÄN</t>
        </is>
      </c>
      <c r="G326" t="inlineStr">
        <is>
          <t>YDRE</t>
        </is>
      </c>
      <c r="I326" t="n">
        <v>0.5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45395-2022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44844</v>
      </c>
      <c r="E327" s="1" t="n">
        <v>46326</v>
      </c>
      <c r="F327" t="inlineStr">
        <is>
          <t>ÖSTERGÖTLANDS LÄN</t>
        </is>
      </c>
      <c r="G327" t="inlineStr">
        <is>
          <t>YDRE</t>
        </is>
      </c>
      <c r="I327" t="n">
        <v>1.1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60244-2023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45257</v>
      </c>
      <c r="E328" s="1" t="n">
        <v>46326</v>
      </c>
      <c r="F328" t="inlineStr">
        <is>
          <t>ÖSTERGÖTLANDS LÄN</t>
        </is>
      </c>
      <c r="G328" t="inlineStr">
        <is>
          <t>YDRE</t>
        </is>
      </c>
      <c r="I328" t="n">
        <v>17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6207-2025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45698</v>
      </c>
      <c r="E329" s="1" t="n">
        <v>46326</v>
      </c>
      <c r="F329" t="inlineStr">
        <is>
          <t>ÖSTERGÖTLANDS LÄN</t>
        </is>
      </c>
      <c r="G329" t="inlineStr">
        <is>
          <t>YDRE</t>
        </is>
      </c>
      <c r="I329" t="n">
        <v>5.7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37568-2023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45159</v>
      </c>
      <c r="E330" s="1" t="n">
        <v>46326</v>
      </c>
      <c r="F330" t="inlineStr">
        <is>
          <t>ÖSTERGÖTLANDS LÄN</t>
        </is>
      </c>
      <c r="G330" t="inlineStr">
        <is>
          <t>YDRE</t>
        </is>
      </c>
      <c r="I330" t="n">
        <v>2.7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30557-2025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45831</v>
      </c>
      <c r="E331" s="1" t="n">
        <v>46326</v>
      </c>
      <c r="F331" t="inlineStr">
        <is>
          <t>ÖSTERGÖTLANDS LÄN</t>
        </is>
      </c>
      <c r="G331" t="inlineStr">
        <is>
          <t>YDRE</t>
        </is>
      </c>
      <c r="I331" t="n">
        <v>4.6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40988-2024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45558</v>
      </c>
      <c r="E332" s="1" t="n">
        <v>46326</v>
      </c>
      <c r="F332" t="inlineStr">
        <is>
          <t>ÖSTERGÖTLANDS LÄN</t>
        </is>
      </c>
      <c r="G332" t="inlineStr">
        <is>
          <t>YDRE</t>
        </is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20050-2023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45054</v>
      </c>
      <c r="E333" s="1" t="n">
        <v>46326</v>
      </c>
      <c r="F333" t="inlineStr">
        <is>
          <t>ÖSTERGÖTLANDS LÄN</t>
        </is>
      </c>
      <c r="G333" t="inlineStr">
        <is>
          <t>YDRE</t>
        </is>
      </c>
      <c r="I333" t="n">
        <v>4.2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11785-2023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44994</v>
      </c>
      <c r="E334" s="1" t="n">
        <v>46326</v>
      </c>
      <c r="F334" t="inlineStr">
        <is>
          <t>ÖSTERGÖTLANDS LÄN</t>
        </is>
      </c>
      <c r="G334" t="inlineStr">
        <is>
          <t>YDRE</t>
        </is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63248-2023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45273</v>
      </c>
      <c r="E335" s="1" t="n">
        <v>46326</v>
      </c>
      <c r="F335" t="inlineStr">
        <is>
          <t>ÖSTERGÖTLANDS LÄN</t>
        </is>
      </c>
      <c r="G335" t="inlineStr">
        <is>
          <t>YDRE</t>
        </is>
      </c>
      <c r="I335" t="n">
        <v>5.4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5287-2025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45692</v>
      </c>
      <c r="E336" s="1" t="n">
        <v>46326</v>
      </c>
      <c r="F336" t="inlineStr">
        <is>
          <t>ÖSTERGÖTLANDS LÄN</t>
        </is>
      </c>
      <c r="G336" t="inlineStr">
        <is>
          <t>YDRE</t>
        </is>
      </c>
      <c r="I336" t="n">
        <v>0.7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16289-2022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44670</v>
      </c>
      <c r="E337" s="1" t="n">
        <v>46326</v>
      </c>
      <c r="F337" t="inlineStr">
        <is>
          <t>ÖSTERGÖTLANDS LÄN</t>
        </is>
      </c>
      <c r="G337" t="inlineStr">
        <is>
          <t>YDRE</t>
        </is>
      </c>
      <c r="I337" t="n">
        <v>3.2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4277-2023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44953</v>
      </c>
      <c r="E338" s="1" t="n">
        <v>46326</v>
      </c>
      <c r="F338" t="inlineStr">
        <is>
          <t>ÖSTERGÖTLANDS LÄN</t>
        </is>
      </c>
      <c r="G338" t="inlineStr">
        <is>
          <t>YDRE</t>
        </is>
      </c>
      <c r="I338" t="n">
        <v>1.8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14101-2022</t>
        </is>
      </c>
      <c r="B339" t="inlineStr">
        <is>
          <t>avverkningsanmälan</t>
        </is>
      </c>
      <c r="C339" t="inlineStr">
        <is>
          <t>Avverkning för annat ändamål</t>
        </is>
      </c>
      <c r="D339" s="1" t="n">
        <v>44651</v>
      </c>
      <c r="E339" s="1" t="n">
        <v>46326</v>
      </c>
      <c r="F339" t="inlineStr">
        <is>
          <t>ÖSTERGÖTLANDS LÄN</t>
        </is>
      </c>
      <c r="G339" t="inlineStr">
        <is>
          <t>YDRE</t>
        </is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1862-2025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45671</v>
      </c>
      <c r="E340" s="1" t="n">
        <v>46326</v>
      </c>
      <c r="F340" t="inlineStr">
        <is>
          <t>ÖSTERGÖTLANDS LÄN</t>
        </is>
      </c>
      <c r="G340" t="inlineStr">
        <is>
          <t>YDRE</t>
        </is>
      </c>
      <c r="I340" t="n">
        <v>0.6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37567-2023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45159</v>
      </c>
      <c r="E341" s="1" t="n">
        <v>46326</v>
      </c>
      <c r="F341" t="inlineStr">
        <is>
          <t>ÖSTERGÖTLANDS LÄN</t>
        </is>
      </c>
      <c r="G341" t="inlineStr">
        <is>
          <t>YDRE</t>
        </is>
      </c>
      <c r="I341" t="n">
        <v>2.2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32685-2026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46240</v>
      </c>
      <c r="E342" s="1" t="n">
        <v>46326</v>
      </c>
      <c r="F342" t="inlineStr">
        <is>
          <t>ÖSTERGÖTLANDS LÄN</t>
        </is>
      </c>
      <c r="G342" t="inlineStr">
        <is>
          <t>YDRE</t>
        </is>
      </c>
      <c r="I342" t="n">
        <v>1.9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32676-2026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46240</v>
      </c>
      <c r="E343" s="1" t="n">
        <v>46326</v>
      </c>
      <c r="F343" t="inlineStr">
        <is>
          <t>ÖSTERGÖTLANDS LÄN</t>
        </is>
      </c>
      <c r="G343" t="inlineStr">
        <is>
          <t>YDRE</t>
        </is>
      </c>
      <c r="I343" t="n">
        <v>0.9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38763-2026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46286</v>
      </c>
      <c r="E344" s="1" t="n">
        <v>46326</v>
      </c>
      <c r="F344" t="inlineStr">
        <is>
          <t>ÖSTERGÖTLANDS LÄN</t>
        </is>
      </c>
      <c r="G344" t="inlineStr">
        <is>
          <t>YDRE</t>
        </is>
      </c>
      <c r="H344" t="inlineStr">
        <is>
          <t>Sveaskog</t>
        </is>
      </c>
      <c r="I344" t="n">
        <v>0.9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27164-2023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45096</v>
      </c>
      <c r="E345" s="1" t="n">
        <v>46326</v>
      </c>
      <c r="F345" t="inlineStr">
        <is>
          <t>ÖSTERGÖTLANDS LÄN</t>
        </is>
      </c>
      <c r="G345" t="inlineStr">
        <is>
          <t>YDRE</t>
        </is>
      </c>
      <c r="I345" t="n">
        <v>4.1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2670-2025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45677</v>
      </c>
      <c r="E346" s="1" t="n">
        <v>46326</v>
      </c>
      <c r="F346" t="inlineStr">
        <is>
          <t>ÖSTERGÖTLANDS LÄN</t>
        </is>
      </c>
      <c r="G346" t="inlineStr">
        <is>
          <t>YDRE</t>
        </is>
      </c>
      <c r="I346" t="n">
        <v>1.1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38758-2026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46286</v>
      </c>
      <c r="E347" s="1" t="n">
        <v>46326</v>
      </c>
      <c r="F347" t="inlineStr">
        <is>
          <t>ÖSTERGÖTLANDS LÄN</t>
        </is>
      </c>
      <c r="G347" t="inlineStr">
        <is>
          <t>YDRE</t>
        </is>
      </c>
      <c r="H347" t="inlineStr">
        <is>
          <t>Sveaskog</t>
        </is>
      </c>
      <c r="I347" t="n">
        <v>2.5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13529-2025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45736</v>
      </c>
      <c r="E348" s="1" t="n">
        <v>46326</v>
      </c>
      <c r="F348" t="inlineStr">
        <is>
          <t>ÖSTERGÖTLANDS LÄN</t>
        </is>
      </c>
      <c r="G348" t="inlineStr">
        <is>
          <t>YDRE</t>
        </is>
      </c>
      <c r="H348" t="inlineStr">
        <is>
          <t>Övriga Aktiebolag</t>
        </is>
      </c>
      <c r="I348" t="n">
        <v>3.6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16050-2025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45748</v>
      </c>
      <c r="E349" s="1" t="n">
        <v>46326</v>
      </c>
      <c r="F349" t="inlineStr">
        <is>
          <t>ÖSTERGÖTLANDS LÄN</t>
        </is>
      </c>
      <c r="G349" t="inlineStr">
        <is>
          <t>YDRE</t>
        </is>
      </c>
      <c r="I349" t="n">
        <v>1.2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61205-2023</t>
        </is>
      </c>
      <c r="B350" t="inlineStr">
        <is>
          <t>avverkningsanmälan</t>
        </is>
      </c>
      <c r="C350" t="inlineStr">
        <is>
          <t>Avverkning för annat ändamål</t>
        </is>
      </c>
      <c r="D350" s="1" t="n">
        <v>45264</v>
      </c>
      <c r="E350" s="1" t="n">
        <v>46326</v>
      </c>
      <c r="F350" t="inlineStr">
        <is>
          <t>ÖSTERGÖTLANDS LÄN</t>
        </is>
      </c>
      <c r="G350" t="inlineStr">
        <is>
          <t>YDRE</t>
        </is>
      </c>
      <c r="I350" t="n">
        <v>0.6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30554-2024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45492</v>
      </c>
      <c r="E351" s="1" t="n">
        <v>46326</v>
      </c>
      <c r="F351" t="inlineStr">
        <is>
          <t>ÖSTERGÖTLANDS LÄN</t>
        </is>
      </c>
      <c r="G351" t="inlineStr">
        <is>
          <t>YDRE</t>
        </is>
      </c>
      <c r="I351" t="n">
        <v>2.6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26101-2024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45468</v>
      </c>
      <c r="E352" s="1" t="n">
        <v>46326</v>
      </c>
      <c r="F352" t="inlineStr">
        <is>
          <t>ÖSTERGÖTLANDS LÄN</t>
        </is>
      </c>
      <c r="G352" t="inlineStr">
        <is>
          <t>YDRE</t>
        </is>
      </c>
      <c r="I352" t="n">
        <v>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39742-2026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46290</v>
      </c>
      <c r="E353" s="1" t="n">
        <v>46326</v>
      </c>
      <c r="F353" t="inlineStr">
        <is>
          <t>ÖSTERGÖTLANDS LÄN</t>
        </is>
      </c>
      <c r="G353" t="inlineStr">
        <is>
          <t>YDRE</t>
        </is>
      </c>
      <c r="I353" t="n">
        <v>3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30759-2025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45831</v>
      </c>
      <c r="E354" s="1" t="n">
        <v>46326</v>
      </c>
      <c r="F354" t="inlineStr">
        <is>
          <t>ÖSTERGÖTLANDS LÄN</t>
        </is>
      </c>
      <c r="G354" t="inlineStr">
        <is>
          <t>YDRE</t>
        </is>
      </c>
      <c r="I354" t="n">
        <v>4.1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38045-2024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45544</v>
      </c>
      <c r="E355" s="1" t="n">
        <v>46326</v>
      </c>
      <c r="F355" t="inlineStr">
        <is>
          <t>ÖSTERGÖTLANDS LÄN</t>
        </is>
      </c>
      <c r="G355" t="inlineStr">
        <is>
          <t>YDRE</t>
        </is>
      </c>
      <c r="I355" t="n">
        <v>2.2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9180-2025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45714</v>
      </c>
      <c r="E356" s="1" t="n">
        <v>46326</v>
      </c>
      <c r="F356" t="inlineStr">
        <is>
          <t>ÖSTERGÖTLANDS LÄN</t>
        </is>
      </c>
      <c r="G356" t="inlineStr">
        <is>
          <t>YDRE</t>
        </is>
      </c>
      <c r="I356" t="n">
        <v>0.9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1007-2025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45666</v>
      </c>
      <c r="E357" s="1" t="n">
        <v>46326</v>
      </c>
      <c r="F357" t="inlineStr">
        <is>
          <t>ÖSTERGÖTLANDS LÄN</t>
        </is>
      </c>
      <c r="G357" t="inlineStr">
        <is>
          <t>YDRE</t>
        </is>
      </c>
      <c r="I357" t="n">
        <v>1.1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39734-2026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46290</v>
      </c>
      <c r="E358" s="1" t="n">
        <v>46326</v>
      </c>
      <c r="F358" t="inlineStr">
        <is>
          <t>ÖSTERGÖTLANDS LÄN</t>
        </is>
      </c>
      <c r="G358" t="inlineStr">
        <is>
          <t>YDRE</t>
        </is>
      </c>
      <c r="I358" t="n">
        <v>3.5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9997-2025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45719</v>
      </c>
      <c r="E359" s="1" t="n">
        <v>46326</v>
      </c>
      <c r="F359" t="inlineStr">
        <is>
          <t>ÖSTERGÖTLANDS LÄN</t>
        </is>
      </c>
      <c r="G359" t="inlineStr">
        <is>
          <t>YDRE</t>
        </is>
      </c>
      <c r="H359" t="inlineStr">
        <is>
          <t>Övriga Aktiebolag</t>
        </is>
      </c>
      <c r="I359" t="n">
        <v>18.2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27905-2024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45475</v>
      </c>
      <c r="E360" s="1" t="n">
        <v>46326</v>
      </c>
      <c r="F360" t="inlineStr">
        <is>
          <t>ÖSTERGÖTLANDS LÄN</t>
        </is>
      </c>
      <c r="G360" t="inlineStr">
        <is>
          <t>YDRE</t>
        </is>
      </c>
      <c r="I360" t="n">
        <v>1.8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10414-2024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45365</v>
      </c>
      <c r="E361" s="1" t="n">
        <v>46326</v>
      </c>
      <c r="F361" t="inlineStr">
        <is>
          <t>ÖSTERGÖTLANDS LÄN</t>
        </is>
      </c>
      <c r="G361" t="inlineStr">
        <is>
          <t>YDRE</t>
        </is>
      </c>
      <c r="I361" t="n">
        <v>3.3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24137-2025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45796</v>
      </c>
      <c r="E362" s="1" t="n">
        <v>46326</v>
      </c>
      <c r="F362" t="inlineStr">
        <is>
          <t>ÖSTERGÖTLANDS LÄN</t>
        </is>
      </c>
      <c r="G362" t="inlineStr">
        <is>
          <t>YDRE</t>
        </is>
      </c>
      <c r="I362" t="n">
        <v>3.5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24140-2025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45796</v>
      </c>
      <c r="E363" s="1" t="n">
        <v>46326</v>
      </c>
      <c r="F363" t="inlineStr">
        <is>
          <t>ÖSTERGÖTLANDS LÄN</t>
        </is>
      </c>
      <c r="G363" t="inlineStr">
        <is>
          <t>YDRE</t>
        </is>
      </c>
      <c r="I363" t="n">
        <v>2.8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11493-2025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45726</v>
      </c>
      <c r="E364" s="1" t="n">
        <v>46326</v>
      </c>
      <c r="F364" t="inlineStr">
        <is>
          <t>ÖSTERGÖTLANDS LÄN</t>
        </is>
      </c>
      <c r="G364" t="inlineStr">
        <is>
          <t>YDRE</t>
        </is>
      </c>
      <c r="I364" t="n">
        <v>1.7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34791-2026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46258</v>
      </c>
      <c r="E365" s="1" t="n">
        <v>46326</v>
      </c>
      <c r="F365" t="inlineStr">
        <is>
          <t>ÖSTERGÖTLANDS LÄN</t>
        </is>
      </c>
      <c r="G365" t="inlineStr">
        <is>
          <t>YDRE</t>
        </is>
      </c>
      <c r="I365" t="n">
        <v>2.2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13689-2026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46097</v>
      </c>
      <c r="E366" s="1" t="n">
        <v>46326</v>
      </c>
      <c r="F366" t="inlineStr">
        <is>
          <t>ÖSTERGÖTLANDS LÄN</t>
        </is>
      </c>
      <c r="G366" t="inlineStr">
        <is>
          <t>YDRE</t>
        </is>
      </c>
      <c r="I366" t="n">
        <v>1.5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60131-2025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45994</v>
      </c>
      <c r="E367" s="1" t="n">
        <v>46326</v>
      </c>
      <c r="F367" t="inlineStr">
        <is>
          <t>ÖSTERGÖTLANDS LÄN</t>
        </is>
      </c>
      <c r="G367" t="inlineStr">
        <is>
          <t>YDRE</t>
        </is>
      </c>
      <c r="I367" t="n">
        <v>1.7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41881-2026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46303</v>
      </c>
      <c r="E368" s="1" t="n">
        <v>46326</v>
      </c>
      <c r="F368" t="inlineStr">
        <is>
          <t>ÖSTERGÖTLANDS LÄN</t>
        </is>
      </c>
      <c r="G368" t="inlineStr">
        <is>
          <t>YDRE</t>
        </is>
      </c>
      <c r="I368" t="n">
        <v>0.8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41882-2026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46303</v>
      </c>
      <c r="E369" s="1" t="n">
        <v>46326</v>
      </c>
      <c r="F369" t="inlineStr">
        <is>
          <t>ÖSTERGÖTLANDS LÄN</t>
        </is>
      </c>
      <c r="G369" t="inlineStr">
        <is>
          <t>YDRE</t>
        </is>
      </c>
      <c r="I369" t="n">
        <v>1.5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30752-2025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45831</v>
      </c>
      <c r="E370" s="1" t="n">
        <v>46326</v>
      </c>
      <c r="F370" t="inlineStr">
        <is>
          <t>ÖSTERGÖTLANDS LÄN</t>
        </is>
      </c>
      <c r="G370" t="inlineStr">
        <is>
          <t>YDRE</t>
        </is>
      </c>
      <c r="I370" t="n">
        <v>1.6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42156-2026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46304</v>
      </c>
      <c r="E371" s="1" t="n">
        <v>46326</v>
      </c>
      <c r="F371" t="inlineStr">
        <is>
          <t>ÖSTERGÖTLANDS LÄN</t>
        </is>
      </c>
      <c r="G371" t="inlineStr">
        <is>
          <t>YDRE</t>
        </is>
      </c>
      <c r="I371" t="n">
        <v>2.2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42144-2026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46304</v>
      </c>
      <c r="E372" s="1" t="n">
        <v>46326</v>
      </c>
      <c r="F372" t="inlineStr">
        <is>
          <t>ÖSTERGÖTLANDS LÄN</t>
        </is>
      </c>
      <c r="G372" t="inlineStr">
        <is>
          <t>YDRE</t>
        </is>
      </c>
      <c r="I372" t="n">
        <v>3.5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42504-2026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46308</v>
      </c>
      <c r="E373" s="1" t="n">
        <v>46326</v>
      </c>
      <c r="F373" t="inlineStr">
        <is>
          <t>ÖSTERGÖTLANDS LÄN</t>
        </is>
      </c>
      <c r="G373" t="inlineStr">
        <is>
          <t>YDRE</t>
        </is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42893-2026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46310</v>
      </c>
      <c r="E374" s="1" t="n">
        <v>46326</v>
      </c>
      <c r="F374" t="inlineStr">
        <is>
          <t>ÖSTERGÖTLANDS LÄN</t>
        </is>
      </c>
      <c r="G374" t="inlineStr">
        <is>
          <t>YDRE</t>
        </is>
      </c>
      <c r="I374" t="n">
        <v>3.2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36610-2026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46269</v>
      </c>
      <c r="E375" s="1" t="n">
        <v>46326</v>
      </c>
      <c r="F375" t="inlineStr">
        <is>
          <t>ÖSTERGÖTLANDS LÄN</t>
        </is>
      </c>
      <c r="G375" t="inlineStr">
        <is>
          <t>YDRE</t>
        </is>
      </c>
      <c r="I375" t="n">
        <v>1.4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36606-2026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46269</v>
      </c>
      <c r="E376" s="1" t="n">
        <v>46326</v>
      </c>
      <c r="F376" t="inlineStr">
        <is>
          <t>ÖSTERGÖTLANDS LÄN</t>
        </is>
      </c>
      <c r="G376" t="inlineStr">
        <is>
          <t>YDRE</t>
        </is>
      </c>
      <c r="I376" t="n">
        <v>0.7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36931-2026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46273</v>
      </c>
      <c r="E377" s="1" t="n">
        <v>46326</v>
      </c>
      <c r="F377" t="inlineStr">
        <is>
          <t>ÖSTERGÖTLANDS LÄN</t>
        </is>
      </c>
      <c r="G377" t="inlineStr">
        <is>
          <t>YDRE</t>
        </is>
      </c>
      <c r="I377" t="n">
        <v>1.2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37066-2026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46273</v>
      </c>
      <c r="E378" s="1" t="n">
        <v>46326</v>
      </c>
      <c r="F378" t="inlineStr">
        <is>
          <t>ÖSTERGÖTLANDS LÄN</t>
        </is>
      </c>
      <c r="G378" t="inlineStr">
        <is>
          <t>YDRE</t>
        </is>
      </c>
      <c r="I378" t="n">
        <v>15.6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37071-2026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46273</v>
      </c>
      <c r="E379" s="1" t="n">
        <v>46326</v>
      </c>
      <c r="F379" t="inlineStr">
        <is>
          <t>ÖSTERGÖTLANDS LÄN</t>
        </is>
      </c>
      <c r="G379" t="inlineStr">
        <is>
          <t>YDRE</t>
        </is>
      </c>
      <c r="I379" t="n">
        <v>6.6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43986-2026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46317</v>
      </c>
      <c r="E380" s="1" t="n">
        <v>46326</v>
      </c>
      <c r="F380" t="inlineStr">
        <is>
          <t>ÖSTERGÖTLANDS LÄN</t>
        </is>
      </c>
      <c r="G380" t="inlineStr">
        <is>
          <t>YDRE</t>
        </is>
      </c>
      <c r="H380" t="inlineStr">
        <is>
          <t>Sveaskog</t>
        </is>
      </c>
      <c r="I380" t="n">
        <v>8.699999999999999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44097-2026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46314</v>
      </c>
      <c r="E381" s="1" t="n">
        <v>46326</v>
      </c>
      <c r="F381" t="inlineStr">
        <is>
          <t>ÖSTERGÖTLANDS LÄN</t>
        </is>
      </c>
      <c r="G381" t="inlineStr">
        <is>
          <t>YDRE</t>
        </is>
      </c>
      <c r="I381" t="n">
        <v>1.7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37342-2026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46275</v>
      </c>
      <c r="E382" s="1" t="n">
        <v>46326</v>
      </c>
      <c r="F382" t="inlineStr">
        <is>
          <t>ÖSTERGÖTLANDS LÄN</t>
        </is>
      </c>
      <c r="G382" t="inlineStr">
        <is>
          <t>YDRE</t>
        </is>
      </c>
      <c r="I382" t="n">
        <v>1.4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38059-2026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46280</v>
      </c>
      <c r="E383" s="1" t="n">
        <v>46326</v>
      </c>
      <c r="F383" t="inlineStr">
        <is>
          <t>ÖSTERGÖTLANDS LÄN</t>
        </is>
      </c>
      <c r="G383" t="inlineStr">
        <is>
          <t>YDRE</t>
        </is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44302-2026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46319</v>
      </c>
      <c r="E384" s="1" t="n">
        <v>46326</v>
      </c>
      <c r="F384" t="inlineStr">
        <is>
          <t>ÖSTERGÖTLANDS LÄN</t>
        </is>
      </c>
      <c r="G384" t="inlineStr">
        <is>
          <t>YDRE</t>
        </is>
      </c>
      <c r="I384" t="n">
        <v>0.9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44552-2026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46321</v>
      </c>
      <c r="E385" s="1" t="n">
        <v>46326</v>
      </c>
      <c r="F385" t="inlineStr">
        <is>
          <t>ÖSTERGÖTLANDS LÄN</t>
        </is>
      </c>
      <c r="G385" t="inlineStr">
        <is>
          <t>YDRE</t>
        </is>
      </c>
      <c r="I385" t="n">
        <v>1.1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44651-2026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46322</v>
      </c>
      <c r="E386" s="1" t="n">
        <v>46326</v>
      </c>
      <c r="F386" t="inlineStr">
        <is>
          <t>ÖSTERGÖTLANDS LÄN</t>
        </is>
      </c>
      <c r="G386" t="inlineStr">
        <is>
          <t>YDRE</t>
        </is>
      </c>
      <c r="I386" t="n">
        <v>7.8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38473-2026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46282</v>
      </c>
      <c r="E387" s="1" t="n">
        <v>46326</v>
      </c>
      <c r="F387" t="inlineStr">
        <is>
          <t>ÖSTERGÖTLANDS LÄN</t>
        </is>
      </c>
      <c r="G387" t="inlineStr">
        <is>
          <t>YDRE</t>
        </is>
      </c>
      <c r="I387" t="n">
        <v>2.1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38603-2026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46283</v>
      </c>
      <c r="E388" s="1" t="n">
        <v>46326</v>
      </c>
      <c r="F388" t="inlineStr">
        <is>
          <t>ÖSTERGÖTLANDS LÄN</t>
        </is>
      </c>
      <c r="G388" t="inlineStr">
        <is>
          <t>YDRE</t>
        </is>
      </c>
      <c r="H388" t="inlineStr">
        <is>
          <t>Sveaskog</t>
        </is>
      </c>
      <c r="I388" t="n">
        <v>1.2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38605-2026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46283</v>
      </c>
      <c r="E389" s="1" t="n">
        <v>46326</v>
      </c>
      <c r="F389" t="inlineStr">
        <is>
          <t>ÖSTERGÖTLANDS LÄN</t>
        </is>
      </c>
      <c r="G389" t="inlineStr">
        <is>
          <t>YDRE</t>
        </is>
      </c>
      <c r="H389" t="inlineStr">
        <is>
          <t>Sveaskog</t>
        </is>
      </c>
      <c r="I389" t="n">
        <v>1.8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38606-2026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46283</v>
      </c>
      <c r="E390" s="1" t="n">
        <v>46326</v>
      </c>
      <c r="F390" t="inlineStr">
        <is>
          <t>ÖSTERGÖTLANDS LÄN</t>
        </is>
      </c>
      <c r="G390" t="inlineStr">
        <is>
          <t>YDRE</t>
        </is>
      </c>
      <c r="H390" t="inlineStr">
        <is>
          <t>Sveaskog</t>
        </is>
      </c>
      <c r="I390" t="n">
        <v>6.1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38476-2026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46282</v>
      </c>
      <c r="E391" s="1" t="n">
        <v>46326</v>
      </c>
      <c r="F391" t="inlineStr">
        <is>
          <t>ÖSTERGÖTLANDS LÄN</t>
        </is>
      </c>
      <c r="G391" t="inlineStr">
        <is>
          <t>YDRE</t>
        </is>
      </c>
      <c r="I391" t="n">
        <v>1.7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38480-2026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46282</v>
      </c>
      <c r="E392" s="1" t="n">
        <v>46326</v>
      </c>
      <c r="F392" t="inlineStr">
        <is>
          <t>ÖSTERGÖTLANDS LÄN</t>
        </is>
      </c>
      <c r="G392" t="inlineStr">
        <is>
          <t>YDRE</t>
        </is>
      </c>
      <c r="I392" t="n">
        <v>2.9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38466-2026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46282</v>
      </c>
      <c r="E393" s="1" t="n">
        <v>46326</v>
      </c>
      <c r="F393" t="inlineStr">
        <is>
          <t>ÖSTERGÖTLANDS LÄN</t>
        </is>
      </c>
      <c r="G393" t="inlineStr">
        <is>
          <t>YDRE</t>
        </is>
      </c>
      <c r="I393" t="n">
        <v>1.5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38611-2026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46283</v>
      </c>
      <c r="E394" s="1" t="n">
        <v>46326</v>
      </c>
      <c r="F394" t="inlineStr">
        <is>
          <t>ÖSTERGÖTLANDS LÄN</t>
        </is>
      </c>
      <c r="G394" t="inlineStr">
        <is>
          <t>YDRE</t>
        </is>
      </c>
      <c r="H394" t="inlineStr">
        <is>
          <t>Sveaskog</t>
        </is>
      </c>
      <c r="I394" t="n">
        <v>0.9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38613-2026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46283</v>
      </c>
      <c r="E395" s="1" t="n">
        <v>46326</v>
      </c>
      <c r="F395" t="inlineStr">
        <is>
          <t>ÖSTERGÖTLANDS LÄN</t>
        </is>
      </c>
      <c r="G395" t="inlineStr">
        <is>
          <t>YDRE</t>
        </is>
      </c>
      <c r="H395" t="inlineStr">
        <is>
          <t>Sveaskog</t>
        </is>
      </c>
      <c r="I395" t="n">
        <v>1.1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38478-2026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46282</v>
      </c>
      <c r="E396" s="1" t="n">
        <v>46326</v>
      </c>
      <c r="F396" t="inlineStr">
        <is>
          <t>ÖSTERGÖTLANDS LÄN</t>
        </is>
      </c>
      <c r="G396" t="inlineStr">
        <is>
          <t>YDRE</t>
        </is>
      </c>
      <c r="I396" t="n">
        <v>0.8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38464-2026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46282</v>
      </c>
      <c r="E397" s="1" t="n">
        <v>46326</v>
      </c>
      <c r="F397" t="inlineStr">
        <is>
          <t>ÖSTERGÖTLANDS LÄN</t>
        </is>
      </c>
      <c r="G397" t="inlineStr">
        <is>
          <t>YDRE</t>
        </is>
      </c>
      <c r="I397" t="n">
        <v>2.6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S 416-2022</t>
        </is>
      </c>
      <c r="B398" t="inlineStr">
        <is>
          <t>samrådsanmälan</t>
        </is>
      </c>
      <c r="C398" t="inlineStr">
        <is>
          <t>Annan skogsbruksåtgärd</t>
        </is>
      </c>
      <c r="D398" s="1" t="n">
        <v>44585</v>
      </c>
      <c r="E398" s="1" t="n">
        <v>46326</v>
      </c>
      <c r="F398" t="inlineStr">
        <is>
          <t>ÖSTERGÖTLANDS LÄN</t>
        </is>
      </c>
      <c r="G398" t="inlineStr">
        <is>
          <t>YDRE</t>
        </is>
      </c>
      <c r="I398" t="n">
        <v>0.3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S 2053-2025</t>
        </is>
      </c>
      <c r="B399" t="inlineStr">
        <is>
          <t>samrådsanmälan</t>
        </is>
      </c>
      <c r="C399" t="inlineStr">
        <is>
          <t>Annan skogsbruksåtgärd</t>
        </is>
      </c>
      <c r="D399" s="1" t="n">
        <v>45839</v>
      </c>
      <c r="E399" s="1" t="n">
        <v>46326</v>
      </c>
      <c r="F399" t="inlineStr">
        <is>
          <t>ÖSTERGÖTLANDS LÄN</t>
        </is>
      </c>
      <c r="G399" t="inlineStr">
        <is>
          <t>YDRE</t>
        </is>
      </c>
      <c r="H399" t="inlineStr">
        <is>
          <t>Sveaskog</t>
        </is>
      </c>
      <c r="I399" t="n">
        <v>0.9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S 2604-2025</t>
        </is>
      </c>
      <c r="B400" t="inlineStr">
        <is>
          <t>samrådsanmälan</t>
        </is>
      </c>
      <c r="C400" t="inlineStr">
        <is>
          <t>Annan skogsbruksåtgärd</t>
        </is>
      </c>
      <c r="D400" s="1" t="n">
        <v>45916</v>
      </c>
      <c r="E400" s="1" t="n">
        <v>46326</v>
      </c>
      <c r="F400" t="inlineStr">
        <is>
          <t>ÖSTERGÖTLANDS LÄN</t>
        </is>
      </c>
      <c r="G400" t="inlineStr">
        <is>
          <t>YDRE</t>
        </is>
      </c>
      <c r="H400" t="inlineStr">
        <is>
          <t>Sveaskog</t>
        </is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S 3063-2025</t>
        </is>
      </c>
      <c r="B401" t="inlineStr">
        <is>
          <t>samrådsanmälan</t>
        </is>
      </c>
      <c r="C401" t="inlineStr">
        <is>
          <t>Annan skogsbruksåtgärd</t>
        </is>
      </c>
      <c r="D401" s="1" t="n">
        <v>45964</v>
      </c>
      <c r="E401" s="1" t="n">
        <v>46326</v>
      </c>
      <c r="F401" t="inlineStr">
        <is>
          <t>ÖSTERGÖTLANDS LÄN</t>
        </is>
      </c>
      <c r="G401" t="inlineStr">
        <is>
          <t>YDRE</t>
        </is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S 384-2026</t>
        </is>
      </c>
      <c r="B402" t="inlineStr">
        <is>
          <t>samrådsanmälan</t>
        </is>
      </c>
      <c r="C402" t="inlineStr">
        <is>
          <t>Annan skogsbruksåtgärd</t>
        </is>
      </c>
      <c r="D402" s="1" t="n">
        <v>46066</v>
      </c>
      <c r="E402" s="1" t="n">
        <v>46326</v>
      </c>
      <c r="F402" t="inlineStr">
        <is>
          <t>ÖSTERGÖTLANDS LÄN</t>
        </is>
      </c>
      <c r="G402" t="inlineStr">
        <is>
          <t>YDRE</t>
        </is>
      </c>
      <c r="I402" t="n">
        <v>1.9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>
      <c r="A403" t="inlineStr">
        <is>
          <t>S 2485-2026</t>
        </is>
      </c>
      <c r="B403" t="inlineStr">
        <is>
          <t>samrådsanmälan</t>
        </is>
      </c>
      <c r="C403" t="inlineStr">
        <is>
          <t>Annan skogsbruksåtgärd</t>
        </is>
      </c>
      <c r="D403" s="1" t="n">
        <v>46287</v>
      </c>
      <c r="E403" s="1" t="n">
        <v>46326</v>
      </c>
      <c r="F403" t="inlineStr">
        <is>
          <t>ÖSTERGÖTLANDS LÄN</t>
        </is>
      </c>
      <c r="G403" t="inlineStr">
        <is>
          <t>YDRE</t>
        </is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2026-10-31T03:28:03Z</dcterms:created>
  <dcterms:modified xmlns:dcterms="http://purl.org/dc/terms/" xmlns:xsi="http://www.w3.org/2001/XMLSchema-instance" xsi:type="dcterms:W3CDTF">2026-10-31T03:28:04Z</dcterms:modified>
</cp:coreProperties>
</file>