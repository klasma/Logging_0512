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46288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46288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46288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46288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46288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46288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46288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46288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46288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46288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46288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46288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46288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46288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46288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46288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46288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46288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46288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46288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46288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46288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46288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11716-2025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46288</v>
      </c>
      <c r="F28" t="inlineStr">
        <is>
          <t>ÖSTERGÖTLANDS LÄN</t>
        </is>
      </c>
      <c r="G28" t="inlineStr">
        <is>
          <t>YDRE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Kryddspindling</t>
        </is>
      </c>
      <c r="W28">
        <f>HYPERLINK("https://klasma.github.io/Logging_0512/artfynd/A 11716-2025 artfynd.xlsx", "A 11716-2025")</f>
        <v/>
      </c>
      <c r="X28">
        <f>HYPERLINK("https://klasma.github.io/Logging_0512/kartor/A 11716-2025 karta.png", "A 11716-2025")</f>
        <v/>
      </c>
      <c r="Y28">
        <f>HYPERLINK("https://klasma.github.io/Logging_0512/kartor_geotiff/A 11716-2025 georefererad karta.tif", "A 11716-2025")</f>
        <v/>
      </c>
      <c r="AA28">
        <f>HYPERLINK("https://klasma.github.io/Logging_0512/klagomål/A 11716-2025 FSC-klagomål.docx", "A 11716-2025")</f>
        <v/>
      </c>
      <c r="AB28">
        <f>HYPERLINK("https://klasma.github.io/Logging_0512/klagomålsmail/A 11716-2025 FSC-klagomål mail.docx", "A 11716-2025")</f>
        <v/>
      </c>
      <c r="AC28">
        <f>HYPERLINK("https://klasma.github.io/Logging_0512/tillsyn/A 11716-2025 tillsynsbegäran.docx", "A 11716-2025")</f>
        <v/>
      </c>
      <c r="AD28">
        <f>HYPERLINK("https://klasma.github.io/Logging_0512/tillsynsmail/A 11716-2025 tillsynsbegäran mail.docx", "A 11716-2025")</f>
        <v/>
      </c>
    </row>
    <row r="29" ht="15" customHeight="1">
      <c r="A29" t="inlineStr">
        <is>
          <t>A 45765-2025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46288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Sommarfibbla</t>
        </is>
      </c>
      <c r="W29">
        <f>HYPERLINK("https://klasma.github.io/Logging_0512/artfynd/A 45765-2025 artfynd.xlsx", "A 45765-2025")</f>
        <v/>
      </c>
      <c r="X29">
        <f>HYPERLINK("https://klasma.github.io/Logging_0512/kartor/A 45765-2025 karta.png", "A 45765-2025")</f>
        <v/>
      </c>
      <c r="Y29">
        <f>HYPERLINK("https://klasma.github.io/Logging_0512/kartor_geotiff/A 45765-2025 georefererad karta.tif", "A 45765-2025")</f>
        <v/>
      </c>
      <c r="AA29">
        <f>HYPERLINK("https://klasma.github.io/Logging_0512/klagomål/A 45765-2025 FSC-klagomål.docx", "A 45765-2025")</f>
        <v/>
      </c>
      <c r="AB29">
        <f>HYPERLINK("https://klasma.github.io/Logging_0512/klagomålsmail/A 45765-2025 FSC-klagomål mail.docx", "A 45765-2025")</f>
        <v/>
      </c>
      <c r="AC29">
        <f>HYPERLINK("https://klasma.github.io/Logging_0512/tillsyn/A 45765-2025 tillsynsbegäran.docx", "A 45765-2025")</f>
        <v/>
      </c>
      <c r="AD29">
        <f>HYPERLINK("https://klasma.github.io/Logging_0512/tillsynsmail/A 45765-2025 tillsynsbegäran mail.docx", "A 45765-2025")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46288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46288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46288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53049-2024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45611</v>
      </c>
      <c r="E33" s="1" t="n">
        <v>46288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2.8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Mosippa</t>
        </is>
      </c>
      <c r="W33">
        <f>HYPERLINK("https://klasma.github.io/Logging_0512/artfynd/A 53049-2024 artfynd.xlsx", "A 53049-2024")</f>
        <v/>
      </c>
      <c r="X33">
        <f>HYPERLINK("https://klasma.github.io/Logging_0512/kartor/A 53049-2024 karta.png", "A 53049-2024")</f>
        <v/>
      </c>
      <c r="Y33">
        <f>HYPERLINK("https://klasma.github.io/Logging_0512/kartor_geotiff/A 53049-2024 georefererad karta.tif", "A 53049-2024")</f>
        <v/>
      </c>
      <c r="AA33">
        <f>HYPERLINK("https://klasma.github.io/Logging_0512/klagomål/A 53049-2024 FSC-klagomål.docx", "A 53049-2024")</f>
        <v/>
      </c>
      <c r="AB33">
        <f>HYPERLINK("https://klasma.github.io/Logging_0512/klagomålsmail/A 53049-2024 FSC-klagomål mail.docx", "A 53049-2024")</f>
        <v/>
      </c>
      <c r="AC33">
        <f>HYPERLINK("https://klasma.github.io/Logging_0512/tillsyn/A 53049-2024 tillsynsbegäran.docx", "A 53049-2024")</f>
        <v/>
      </c>
      <c r="AD33">
        <f>HYPERLINK("https://klasma.github.io/Logging_0512/tillsynsmail/A 53049-2024 tillsynsbegäran mail.docx", "A 53049-2024")</f>
        <v/>
      </c>
    </row>
    <row r="34" ht="15" customHeight="1">
      <c r="A34" t="inlineStr">
        <is>
          <t>A 11273-2024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45371</v>
      </c>
      <c r="E34" s="1" t="n">
        <v>46288</v>
      </c>
      <c r="F34" t="inlineStr">
        <is>
          <t>ÖSTERGÖTLANDS LÄN</t>
        </is>
      </c>
      <c r="G34" t="inlineStr">
        <is>
          <t>YDRE</t>
        </is>
      </c>
      <c r="I34" t="n">
        <v>3.6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Lungrot</t>
        </is>
      </c>
      <c r="W34">
        <f>HYPERLINK("https://klasma.github.io/Logging_0512/artfynd/A 11273-2024 artfynd.xlsx", "A 11273-2024")</f>
        <v/>
      </c>
      <c r="X34">
        <f>HYPERLINK("https://klasma.github.io/Logging_0512/kartor/A 11273-2024 karta.png", "A 11273-2024")</f>
        <v/>
      </c>
      <c r="Y34">
        <f>HYPERLINK("https://klasma.github.io/Logging_0512/kartor_geotiff/A 11273-2024 georefererad karta.tif", "A 11273-2024")</f>
        <v/>
      </c>
      <c r="AA34">
        <f>HYPERLINK("https://klasma.github.io/Logging_0512/klagomål/A 11273-2024 FSC-klagomål.docx", "A 11273-2024")</f>
        <v/>
      </c>
      <c r="AB34">
        <f>HYPERLINK("https://klasma.github.io/Logging_0512/klagomålsmail/A 11273-2024 FSC-klagomål mail.docx", "A 11273-2024")</f>
        <v/>
      </c>
      <c r="AC34">
        <f>HYPERLINK("https://klasma.github.io/Logging_0512/tillsyn/A 11273-2024 tillsynsbegäran.docx", "A 11273-2024")</f>
        <v/>
      </c>
      <c r="AD34">
        <f>HYPERLINK("https://klasma.github.io/Logging_0512/tillsynsmail/A 11273-2024 tillsynsbegäran mail.docx", "A 11273-2024")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46288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54075-2025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46288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54075-2025 artfynd.xlsx", "A 54075-2025")</f>
        <v/>
      </c>
      <c r="X36">
        <f>HYPERLINK("https://klasma.github.io/Logging_0512/kartor/A 54075-2025 karta.png", "A 54075-2025")</f>
        <v/>
      </c>
      <c r="Y36">
        <f>HYPERLINK("https://klasma.github.io/Logging_0512/kartor_geotiff/A 54075-2025 georefererad karta.tif", "A 54075-2025")</f>
        <v/>
      </c>
      <c r="AA36">
        <f>HYPERLINK("https://klasma.github.io/Logging_0512/klagomål/A 54075-2025 FSC-klagomål.docx", "A 54075-2025")</f>
        <v/>
      </c>
      <c r="AB36">
        <f>HYPERLINK("https://klasma.github.io/Logging_0512/klagomålsmail/A 54075-2025 FSC-klagomål mail.docx", "A 54075-2025")</f>
        <v/>
      </c>
      <c r="AC36">
        <f>HYPERLINK("https://klasma.github.io/Logging_0512/tillsyn/A 54075-2025 tillsynsbegäran.docx", "A 54075-2025")</f>
        <v/>
      </c>
      <c r="AD36">
        <f>HYPERLINK("https://klasma.github.io/Logging_0512/tillsynsmail/A 54075-2025 tillsynsbegäran mail.docx", "A 54075-2025")</f>
        <v/>
      </c>
    </row>
    <row r="37" ht="15" customHeight="1">
      <c r="A37" t="inlineStr">
        <is>
          <t>A 41907-2024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46288</v>
      </c>
      <c r="F37" t="inlineStr">
        <is>
          <t>ÖSTERGÖTLANDS LÄN</t>
        </is>
      </c>
      <c r="G37" t="inlineStr">
        <is>
          <t>YDRE</t>
        </is>
      </c>
      <c r="I37" t="n">
        <v>1.2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HYPERLINK("https://klasma.github.io/Logging_0512/artfynd/A 41907-2024 artfynd.xlsx", "A 41907-2024")</f>
        <v/>
      </c>
      <c r="X37">
        <f>HYPERLINK("https://klasma.github.io/Logging_0512/kartor/A 41907-2024 karta.png", "A 41907-2024")</f>
        <v/>
      </c>
      <c r="Y37">
        <f>HYPERLINK("https://klasma.github.io/Logging_0512/kartor_geotiff/A 41907-2024 georefererad karta.tif", "A 41907-2024")</f>
        <v/>
      </c>
      <c r="AA37">
        <f>HYPERLINK("https://klasma.github.io/Logging_0512/klagomål/A 41907-2024 FSC-klagomål.docx", "A 41907-2024")</f>
        <v/>
      </c>
      <c r="AB37">
        <f>HYPERLINK("https://klasma.github.io/Logging_0512/klagomålsmail/A 41907-2024 FSC-klagomål mail.docx", "A 41907-2024")</f>
        <v/>
      </c>
      <c r="AC37">
        <f>HYPERLINK("https://klasma.github.io/Logging_0512/tillsyn/A 41907-2024 tillsynsbegäran.docx", "A 41907-2024")</f>
        <v/>
      </c>
      <c r="AD37">
        <f>HYPERLINK("https://klasma.github.io/Logging_0512/tillsynsmail/A 41907-2024 tillsynsbegäran mail.docx", "A 41907-2024")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46288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46288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46288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46288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46288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46288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A 45354-2023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46288</v>
      </c>
      <c r="F44" t="inlineStr">
        <is>
          <t>ÖSTERGÖTLANDS LÄN</t>
        </is>
      </c>
      <c r="G44" t="inlineStr">
        <is>
          <t>YDRE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HYPERLINK("https://klasma.github.io/Logging_0512/artfynd/A 45354-2023 artfynd.xlsx", "A 45354-2023")</f>
        <v/>
      </c>
      <c r="X44">
        <f>HYPERLINK("https://klasma.github.io/Logging_0512/kartor/A 45354-2023 karta.png", "A 45354-2023")</f>
        <v/>
      </c>
      <c r="Y44">
        <f>HYPERLINK("https://klasma.github.io/Logging_0512/kartor_geotiff/A 45354-2023 georefererad karta.tif", "A 45354-2023")</f>
        <v/>
      </c>
      <c r="AA44">
        <f>HYPERLINK("https://klasma.github.io/Logging_0512/klagomål/A 45354-2023 FSC-klagomål.docx", "A 45354-2023")</f>
        <v/>
      </c>
      <c r="AB44">
        <f>HYPERLINK("https://klasma.github.io/Logging_0512/klagomålsmail/A 45354-2023 FSC-klagomål mail.docx", "A 45354-2023")</f>
        <v/>
      </c>
      <c r="AC44">
        <f>HYPERLINK("https://klasma.github.io/Logging_0512/tillsyn/A 45354-2023 tillsynsbegäran.docx", "A 45354-2023")</f>
        <v/>
      </c>
      <c r="AD44">
        <f>HYPERLINK("https://klasma.github.io/Logging_0512/tillsynsmail/A 45354-2023 tillsynsbegäran mail.docx", "A 45354-2023")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46288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46288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46288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46288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46288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46288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46288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46288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46288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46288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46288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46288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46288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46288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46288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46288</v>
      </c>
      <c r="F60" t="inlineStr">
        <is>
          <t>ÖSTERGÖTLANDS LÄN</t>
        </is>
      </c>
      <c r="G60" t="inlineStr">
        <is>
          <t>YDRE</t>
        </is>
      </c>
      <c r="H60" t="inlineStr">
        <is>
          <t>Kyrkan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46288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46288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46288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46288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46288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46288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46288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46288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46288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46288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46288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46288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46288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46288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46288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46288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46288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46288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46288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55844-2021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44476</v>
      </c>
      <c r="E80" s="1" t="n">
        <v>46288</v>
      </c>
      <c r="F80" t="inlineStr">
        <is>
          <t>ÖSTERGÖTLANDS LÄN</t>
        </is>
      </c>
      <c r="G80" t="inlineStr">
        <is>
          <t>YDRE</t>
        </is>
      </c>
      <c r="H80" t="inlineStr">
        <is>
          <t>Sveaskog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30049-2023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46288</v>
      </c>
      <c r="F81" t="inlineStr">
        <is>
          <t>ÖSTERGÖTLANDS LÄN</t>
        </is>
      </c>
      <c r="G81" t="inlineStr">
        <is>
          <t>YDRE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45664</v>
      </c>
      <c r="E82" s="1" t="n">
        <v>46288</v>
      </c>
      <c r="F82" t="inlineStr">
        <is>
          <t>ÖSTERGÖTLANDS LÄN</t>
        </is>
      </c>
      <c r="G82" t="inlineStr">
        <is>
          <t>YDRE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46288</v>
      </c>
      <c r="F83" t="inlineStr">
        <is>
          <t>ÖSTERGÖTLANDS LÄN</t>
        </is>
      </c>
      <c r="G83" t="inlineStr">
        <is>
          <t>YDRE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46288</v>
      </c>
      <c r="F84" t="inlineStr">
        <is>
          <t>ÖSTERGÖTLANDS LÄN</t>
        </is>
      </c>
      <c r="G84" t="inlineStr">
        <is>
          <t>YDRE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71524-2021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46288</v>
      </c>
      <c r="F85" t="inlineStr">
        <is>
          <t>ÖSTERGÖTLANDS LÄN</t>
        </is>
      </c>
      <c r="G85" t="inlineStr">
        <is>
          <t>YDRE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46288</v>
      </c>
      <c r="F86" t="inlineStr">
        <is>
          <t>ÖSTERGÖTLANDS LÄN</t>
        </is>
      </c>
      <c r="G86" t="inlineStr">
        <is>
          <t>YDRE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46288</v>
      </c>
      <c r="F87" t="inlineStr">
        <is>
          <t>ÖSTERGÖTLANDS LÄN</t>
        </is>
      </c>
      <c r="G87" t="inlineStr">
        <is>
          <t>YDRE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46288</v>
      </c>
      <c r="F88" t="inlineStr">
        <is>
          <t>ÖSTERGÖTLANDS LÄN</t>
        </is>
      </c>
      <c r="G88" t="inlineStr">
        <is>
          <t>YDRE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46288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46288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45665</v>
      </c>
      <c r="E91" s="1" t="n">
        <v>46288</v>
      </c>
      <c r="F91" t="inlineStr">
        <is>
          <t>ÖSTERGÖTLANDS LÄN</t>
        </is>
      </c>
      <c r="G91" t="inlineStr">
        <is>
          <t>YDRE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46288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46288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46288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46288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45666</v>
      </c>
      <c r="E96" s="1" t="n">
        <v>46288</v>
      </c>
      <c r="F96" t="inlineStr">
        <is>
          <t>ÖSTERGÖTLANDS LÄN</t>
        </is>
      </c>
      <c r="G96" t="inlineStr">
        <is>
          <t>YDRE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46288</v>
      </c>
      <c r="F97" t="inlineStr">
        <is>
          <t>ÖSTERGÖTLANDS LÄN</t>
        </is>
      </c>
      <c r="G97" t="inlineStr">
        <is>
          <t>YDRE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44796</v>
      </c>
      <c r="E98" s="1" t="n">
        <v>46288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46288</v>
      </c>
      <c r="F99" t="inlineStr">
        <is>
          <t>ÖSTERGÖTLANDS LÄN</t>
        </is>
      </c>
      <c r="G99" t="inlineStr">
        <is>
          <t>YDRE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44592</v>
      </c>
      <c r="E100" s="1" t="n">
        <v>46288</v>
      </c>
      <c r="F100" t="inlineStr">
        <is>
          <t>ÖSTERGÖTLANDS LÄN</t>
        </is>
      </c>
      <c r="G100" t="inlineStr">
        <is>
          <t>YDRE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46288</v>
      </c>
      <c r="F101" t="inlineStr">
        <is>
          <t>ÖSTERGÖTLANDS LÄN</t>
        </is>
      </c>
      <c r="G101" t="inlineStr">
        <is>
          <t>YDRE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45701</v>
      </c>
      <c r="E102" s="1" t="n">
        <v>46288</v>
      </c>
      <c r="F102" t="inlineStr">
        <is>
          <t>ÖSTERGÖTLANDS LÄN</t>
        </is>
      </c>
      <c r="G102" t="inlineStr">
        <is>
          <t>YDRE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46288</v>
      </c>
      <c r="F103" t="inlineStr">
        <is>
          <t>ÖSTERGÖTLANDS LÄN</t>
        </is>
      </c>
      <c r="G103" t="inlineStr">
        <is>
          <t>YDRE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46288</v>
      </c>
      <c r="F104" t="inlineStr">
        <is>
          <t>ÖSTERGÖTLANDS LÄN</t>
        </is>
      </c>
      <c r="G104" t="inlineStr">
        <is>
          <t>YDRE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46288</v>
      </c>
      <c r="F105" t="inlineStr">
        <is>
          <t>ÖSTERGÖTLANDS LÄN</t>
        </is>
      </c>
      <c r="G105" t="inlineStr">
        <is>
          <t>YDRE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45475</v>
      </c>
      <c r="E106" s="1" t="n">
        <v>46288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63830-2023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46288</v>
      </c>
      <c r="F107" t="inlineStr">
        <is>
          <t>ÖSTERGÖTLANDS LÄN</t>
        </is>
      </c>
      <c r="G107" t="inlineStr">
        <is>
          <t>YDRE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45236</v>
      </c>
      <c r="E108" s="1" t="n">
        <v>46288</v>
      </c>
      <c r="F108" t="inlineStr">
        <is>
          <t>ÖSTERGÖTLANDS LÄN</t>
        </is>
      </c>
      <c r="G108" t="inlineStr">
        <is>
          <t>YDRE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46288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45105</v>
      </c>
      <c r="E110" s="1" t="n">
        <v>46288</v>
      </c>
      <c r="F110" t="inlineStr">
        <is>
          <t>ÖSTERGÖTLANDS LÄN</t>
        </is>
      </c>
      <c r="G110" t="inlineStr">
        <is>
          <t>YDRE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46288</v>
      </c>
      <c r="F111" t="inlineStr">
        <is>
          <t>ÖSTERGÖTLANDS LÄN</t>
        </is>
      </c>
      <c r="G111" t="inlineStr">
        <is>
          <t>YDRE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62815-2021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44504</v>
      </c>
      <c r="E112" s="1" t="n">
        <v>46288</v>
      </c>
      <c r="F112" t="inlineStr">
        <is>
          <t>ÖSTERGÖTLANDS LÄN</t>
        </is>
      </c>
      <c r="G112" t="inlineStr">
        <is>
          <t>YDRE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45355</v>
      </c>
      <c r="E113" s="1" t="n">
        <v>46288</v>
      </c>
      <c r="F113" t="inlineStr">
        <is>
          <t>ÖSTERGÖTLANDS LÄN</t>
        </is>
      </c>
      <c r="G113" t="inlineStr">
        <is>
          <t>YDRE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17309-2024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45414</v>
      </c>
      <c r="E114" s="1" t="n">
        <v>46288</v>
      </c>
      <c r="F114" t="inlineStr">
        <is>
          <t>ÖSTERGÖTLANDS LÄN</t>
        </is>
      </c>
      <c r="G114" t="inlineStr">
        <is>
          <t>YDRE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46288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46288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46288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46288</v>
      </c>
      <c r="F118" t="inlineStr">
        <is>
          <t>ÖSTERGÖTLANDS LÄN</t>
        </is>
      </c>
      <c r="G118" t="inlineStr">
        <is>
          <t>YDRE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46288</v>
      </c>
      <c r="F119" t="inlineStr">
        <is>
          <t>ÖSTERGÖTLANDS LÄN</t>
        </is>
      </c>
      <c r="G119" t="inlineStr">
        <is>
          <t>YDRE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46288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46288</v>
      </c>
      <c r="F121" t="inlineStr">
        <is>
          <t>ÖSTERGÖTLANDS LÄN</t>
        </is>
      </c>
      <c r="G121" t="inlineStr">
        <is>
          <t>YDRE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20158-2024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46288</v>
      </c>
      <c r="F122" t="inlineStr">
        <is>
          <t>ÖSTERGÖTLANDS LÄN</t>
        </is>
      </c>
      <c r="G122" t="inlineStr">
        <is>
          <t>YDRE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46288</v>
      </c>
      <c r="F123" t="inlineStr">
        <is>
          <t>ÖSTERGÖTLANDS LÄN</t>
        </is>
      </c>
      <c r="G123" t="inlineStr">
        <is>
          <t>YDRE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46288</v>
      </c>
      <c r="F124" t="inlineStr">
        <is>
          <t>ÖSTERGÖTLANDS LÄN</t>
        </is>
      </c>
      <c r="G124" t="inlineStr">
        <is>
          <t>YDRE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46288</v>
      </c>
      <c r="F125" t="inlineStr">
        <is>
          <t>ÖSTERGÖTLANDS LÄN</t>
        </is>
      </c>
      <c r="G125" t="inlineStr">
        <is>
          <t>YDRE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45447-2023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45194</v>
      </c>
      <c r="E126" s="1" t="n">
        <v>46288</v>
      </c>
      <c r="F126" t="inlineStr">
        <is>
          <t>ÖSTERGÖTLANDS LÄN</t>
        </is>
      </c>
      <c r="G126" t="inlineStr">
        <is>
          <t>YDRE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46288</v>
      </c>
      <c r="F127" t="inlineStr">
        <is>
          <t>ÖSTERGÖTLANDS LÄN</t>
        </is>
      </c>
      <c r="G127" t="inlineStr">
        <is>
          <t>YDRE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46288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46288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44966</v>
      </c>
      <c r="E130" s="1" t="n">
        <v>46288</v>
      </c>
      <c r="F130" t="inlineStr">
        <is>
          <t>ÖSTERGÖTLANDS LÄN</t>
        </is>
      </c>
      <c r="G130" t="inlineStr">
        <is>
          <t>YDRE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46288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46288</v>
      </c>
      <c r="F132" t="inlineStr">
        <is>
          <t>ÖSTERGÖTLANDS LÄN</t>
        </is>
      </c>
      <c r="G132" t="inlineStr">
        <is>
          <t>YDRE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46288</v>
      </c>
      <c r="F133" t="inlineStr">
        <is>
          <t>ÖSTERGÖTLANDS LÄN</t>
        </is>
      </c>
      <c r="G133" t="inlineStr">
        <is>
          <t>YDRE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46288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46288</v>
      </c>
      <c r="F135" t="inlineStr">
        <is>
          <t>ÖSTERGÖTLANDS LÄN</t>
        </is>
      </c>
      <c r="G135" t="inlineStr">
        <is>
          <t>YDRE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46288</v>
      </c>
      <c r="F136" t="inlineStr">
        <is>
          <t>ÖSTERGÖTLANDS LÄN</t>
        </is>
      </c>
      <c r="G136" t="inlineStr">
        <is>
          <t>YDRE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45917</v>
      </c>
      <c r="E137" s="1" t="n">
        <v>46288</v>
      </c>
      <c r="F137" t="inlineStr">
        <is>
          <t>ÖSTERGÖTLANDS LÄN</t>
        </is>
      </c>
      <c r="G137" t="inlineStr">
        <is>
          <t>YDRE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44939</v>
      </c>
      <c r="E138" s="1" t="n">
        <v>46288</v>
      </c>
      <c r="F138" t="inlineStr">
        <is>
          <t>ÖSTERGÖTLANDS LÄN</t>
        </is>
      </c>
      <c r="G138" t="inlineStr">
        <is>
          <t>YDRE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45616</v>
      </c>
      <c r="E139" s="1" t="n">
        <v>46288</v>
      </c>
      <c r="F139" t="inlineStr">
        <is>
          <t>ÖSTERGÖTLANDS LÄN</t>
        </is>
      </c>
      <c r="G139" t="inlineStr">
        <is>
          <t>YDRE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45898</v>
      </c>
      <c r="E140" s="1" t="n">
        <v>46288</v>
      </c>
      <c r="F140" t="inlineStr">
        <is>
          <t>ÖSTERGÖTLANDS LÄN</t>
        </is>
      </c>
      <c r="G140" t="inlineStr">
        <is>
          <t>YDRE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46288</v>
      </c>
      <c r="F141" t="inlineStr">
        <is>
          <t>ÖSTERGÖTLANDS LÄN</t>
        </is>
      </c>
      <c r="G141" t="inlineStr">
        <is>
          <t>YDRE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46288</v>
      </c>
      <c r="F142" t="inlineStr">
        <is>
          <t>ÖSTERGÖTLANDS LÄN</t>
        </is>
      </c>
      <c r="G142" t="inlineStr">
        <is>
          <t>YDRE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46288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12.4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46288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46288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46288</v>
      </c>
      <c r="F146" t="inlineStr">
        <is>
          <t>ÖSTERGÖTLANDS LÄN</t>
        </is>
      </c>
      <c r="G146" t="inlineStr">
        <is>
          <t>YDRE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45871</v>
      </c>
      <c r="E147" s="1" t="n">
        <v>46288</v>
      </c>
      <c r="F147" t="inlineStr">
        <is>
          <t>ÖSTERGÖTLANDS LÄN</t>
        </is>
      </c>
      <c r="G147" t="inlineStr">
        <is>
          <t>YDRE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45910</v>
      </c>
      <c r="E148" s="1" t="n">
        <v>46288</v>
      </c>
      <c r="F148" t="inlineStr">
        <is>
          <t>ÖSTERGÖTLANDS LÄN</t>
        </is>
      </c>
      <c r="G148" t="inlineStr">
        <is>
          <t>YDRE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46288</v>
      </c>
      <c r="F149" t="inlineStr">
        <is>
          <t>ÖSTERGÖTLANDS LÄN</t>
        </is>
      </c>
      <c r="G149" t="inlineStr">
        <is>
          <t>YDRE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45793</v>
      </c>
      <c r="E150" s="1" t="n">
        <v>46288</v>
      </c>
      <c r="F150" t="inlineStr">
        <is>
          <t>ÖSTERGÖTLANDS LÄN</t>
        </is>
      </c>
      <c r="G150" t="inlineStr">
        <is>
          <t>YDRE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46288</v>
      </c>
      <c r="F151" t="inlineStr">
        <is>
          <t>ÖSTERGÖTLANDS LÄN</t>
        </is>
      </c>
      <c r="G151" t="inlineStr">
        <is>
          <t>YDRE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46288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33589-2025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45841</v>
      </c>
      <c r="E153" s="1" t="n">
        <v>46288</v>
      </c>
      <c r="F153" t="inlineStr">
        <is>
          <t>ÖSTERGÖTLANDS LÄN</t>
        </is>
      </c>
      <c r="G153" t="inlineStr">
        <is>
          <t>YDRE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46288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46288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46288</v>
      </c>
      <c r="F156" t="inlineStr">
        <is>
          <t>ÖSTERGÖTLANDS LÄN</t>
        </is>
      </c>
      <c r="G156" t="inlineStr">
        <is>
          <t>YDRE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46288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45091</v>
      </c>
      <c r="E158" s="1" t="n">
        <v>46288</v>
      </c>
      <c r="F158" t="inlineStr">
        <is>
          <t>ÖSTERGÖTLANDS LÄN</t>
        </is>
      </c>
      <c r="G158" t="inlineStr">
        <is>
          <t>YDRE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44480</v>
      </c>
      <c r="E159" s="1" t="n">
        <v>46288</v>
      </c>
      <c r="F159" t="inlineStr">
        <is>
          <t>ÖSTERGÖTLANDS LÄN</t>
        </is>
      </c>
      <c r="G159" t="inlineStr">
        <is>
          <t>YDRE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46288</v>
      </c>
      <c r="F160" t="inlineStr">
        <is>
          <t>ÖSTERGÖTLANDS LÄN</t>
        </is>
      </c>
      <c r="G160" t="inlineStr">
        <is>
          <t>YDRE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46288</v>
      </c>
      <c r="F161" t="inlineStr">
        <is>
          <t>ÖSTERGÖTLANDS LÄN</t>
        </is>
      </c>
      <c r="G161" t="inlineStr">
        <is>
          <t>YDRE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46288</v>
      </c>
      <c r="F162" t="inlineStr">
        <is>
          <t>ÖSTERGÖTLANDS LÄN</t>
        </is>
      </c>
      <c r="G162" t="inlineStr">
        <is>
          <t>YDRE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46288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44635</v>
      </c>
      <c r="E164" s="1" t="n">
        <v>46288</v>
      </c>
      <c r="F164" t="inlineStr">
        <is>
          <t>ÖSTERGÖTLANDS LÄN</t>
        </is>
      </c>
      <c r="G164" t="inlineStr">
        <is>
          <t>YDRE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46288</v>
      </c>
      <c r="F165" t="inlineStr">
        <is>
          <t>ÖSTERGÖTLANDS LÄN</t>
        </is>
      </c>
      <c r="G165" t="inlineStr">
        <is>
          <t>YDRE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46086-2025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45924</v>
      </c>
      <c r="E166" s="1" t="n">
        <v>46288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46288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33680-2022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46288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46288</v>
      </c>
      <c r="F169" t="inlineStr">
        <is>
          <t>ÖSTERGÖTLANDS LÄN</t>
        </is>
      </c>
      <c r="G169" t="inlineStr">
        <is>
          <t>YDRE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46288</v>
      </c>
      <c r="F170" t="inlineStr">
        <is>
          <t>ÖSTERGÖTLANDS LÄN</t>
        </is>
      </c>
      <c r="G170" t="inlineStr">
        <is>
          <t>YDRE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10424-2024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46288</v>
      </c>
      <c r="F171" t="inlineStr">
        <is>
          <t>ÖSTERGÖTLANDS LÄN</t>
        </is>
      </c>
      <c r="G171" t="inlineStr">
        <is>
          <t>YDRE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46288</v>
      </c>
      <c r="F172" t="inlineStr">
        <is>
          <t>ÖSTERGÖTLANDS LÄN</t>
        </is>
      </c>
      <c r="G172" t="inlineStr">
        <is>
          <t>YDRE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59812-2022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44908</v>
      </c>
      <c r="E173" s="1" t="n">
        <v>46288</v>
      </c>
      <c r="F173" t="inlineStr">
        <is>
          <t>ÖSTERGÖTLANDS LÄN</t>
        </is>
      </c>
      <c r="G173" t="inlineStr">
        <is>
          <t>YDRE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46288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46288</v>
      </c>
      <c r="F175" t="inlineStr">
        <is>
          <t>ÖSTERGÖTLANDS LÄN</t>
        </is>
      </c>
      <c r="G175" t="inlineStr">
        <is>
          <t>YDRE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45474</v>
      </c>
      <c r="E176" s="1" t="n">
        <v>46288</v>
      </c>
      <c r="F176" t="inlineStr">
        <is>
          <t>ÖSTERGÖTLANDS LÄN</t>
        </is>
      </c>
      <c r="G176" t="inlineStr">
        <is>
          <t>YDRE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45077</v>
      </c>
      <c r="E177" s="1" t="n">
        <v>46288</v>
      </c>
      <c r="F177" t="inlineStr">
        <is>
          <t>ÖSTERGÖTLANDS LÄN</t>
        </is>
      </c>
      <c r="G177" t="inlineStr">
        <is>
          <t>YDRE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46288</v>
      </c>
      <c r="F178" t="inlineStr">
        <is>
          <t>ÖSTERGÖTLANDS LÄN</t>
        </is>
      </c>
      <c r="G178" t="inlineStr">
        <is>
          <t>YDRE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46146</v>
      </c>
      <c r="E179" s="1" t="n">
        <v>46288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21069-2026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46146</v>
      </c>
      <c r="E180" s="1" t="n">
        <v>46288</v>
      </c>
      <c r="F180" t="inlineStr">
        <is>
          <t>ÖSTERGÖTLANDS LÄN</t>
        </is>
      </c>
      <c r="G180" t="inlineStr">
        <is>
          <t>YDRE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46146</v>
      </c>
      <c r="E181" s="1" t="n">
        <v>46288</v>
      </c>
      <c r="F181" t="inlineStr">
        <is>
          <t>ÖSTERGÖTLANDS LÄN</t>
        </is>
      </c>
      <c r="G181" t="inlineStr">
        <is>
          <t>YDRE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46288</v>
      </c>
      <c r="F182" t="inlineStr">
        <is>
          <t>ÖSTERGÖTLANDS LÄN</t>
        </is>
      </c>
      <c r="G182" t="inlineStr">
        <is>
          <t>YDRE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46146</v>
      </c>
      <c r="E183" s="1" t="n">
        <v>46288</v>
      </c>
      <c r="F183" t="inlineStr">
        <is>
          <t>ÖSTERGÖTLANDS LÄN</t>
        </is>
      </c>
      <c r="G183" t="inlineStr">
        <is>
          <t>YDRE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46288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46288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22312-2026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46154</v>
      </c>
      <c r="E186" s="1" t="n">
        <v>46288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46288</v>
      </c>
      <c r="F187" t="inlineStr">
        <is>
          <t>ÖSTERGÖTLANDS LÄN</t>
        </is>
      </c>
      <c r="G187" t="inlineStr">
        <is>
          <t>YDRE</t>
        </is>
      </c>
      <c r="H187" t="inlineStr">
        <is>
          <t>Kyrkan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45940</v>
      </c>
      <c r="E188" s="1" t="n">
        <v>46288</v>
      </c>
      <c r="F188" t="inlineStr">
        <is>
          <t>ÖSTERGÖTLANDS LÄN</t>
        </is>
      </c>
      <c r="G188" t="inlineStr">
        <is>
          <t>YDRE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45647</v>
      </c>
      <c r="E189" s="1" t="n">
        <v>46288</v>
      </c>
      <c r="F189" t="inlineStr">
        <is>
          <t>ÖSTERGÖTLANDS LÄN</t>
        </is>
      </c>
      <c r="G189" t="inlineStr">
        <is>
          <t>YDRE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45634</v>
      </c>
      <c r="E190" s="1" t="n">
        <v>46288</v>
      </c>
      <c r="F190" t="inlineStr">
        <is>
          <t>ÖSTERGÖTLANDS LÄN</t>
        </is>
      </c>
      <c r="G190" t="inlineStr">
        <is>
          <t>YDRE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46288</v>
      </c>
      <c r="F191" t="inlineStr">
        <is>
          <t>ÖSTERGÖTLANDS LÄN</t>
        </is>
      </c>
      <c r="G191" t="inlineStr">
        <is>
          <t>YDRE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46288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46288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46288</v>
      </c>
      <c r="F194" t="inlineStr">
        <is>
          <t>ÖSTERGÖTLANDS LÄN</t>
        </is>
      </c>
      <c r="G194" t="inlineStr">
        <is>
          <t>YDRE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46288</v>
      </c>
      <c r="F195" t="inlineStr">
        <is>
          <t>ÖSTERGÖTLANDS LÄN</t>
        </is>
      </c>
      <c r="G195" t="inlineStr">
        <is>
          <t>YDRE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46288</v>
      </c>
      <c r="F196" t="inlineStr">
        <is>
          <t>ÖSTERGÖTLANDS LÄN</t>
        </is>
      </c>
      <c r="G196" t="inlineStr">
        <is>
          <t>YDRE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44953</v>
      </c>
      <c r="E197" s="1" t="n">
        <v>46288</v>
      </c>
      <c r="F197" t="inlineStr">
        <is>
          <t>ÖSTERGÖTLANDS LÄN</t>
        </is>
      </c>
      <c r="G197" t="inlineStr">
        <is>
          <t>YDRE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46288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46288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46288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46288</v>
      </c>
      <c r="F201" t="inlineStr">
        <is>
          <t>ÖSTERGÖTLANDS LÄN</t>
        </is>
      </c>
      <c r="G201" t="inlineStr">
        <is>
          <t>YDRE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46288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46288</v>
      </c>
      <c r="F203" t="inlineStr">
        <is>
          <t>ÖSTERGÖTLANDS LÄN</t>
        </is>
      </c>
      <c r="G203" t="inlineStr">
        <is>
          <t>YDRE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46288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46288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54066-2025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45964</v>
      </c>
      <c r="E206" s="1" t="n">
        <v>46288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6328-2022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44600</v>
      </c>
      <c r="E207" s="1" t="n">
        <v>46288</v>
      </c>
      <c r="F207" t="inlineStr">
        <is>
          <t>ÖSTERGÖTLANDS LÄN</t>
        </is>
      </c>
      <c r="G207" t="inlineStr">
        <is>
          <t>YDRE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46288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54063-2025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46288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44894</v>
      </c>
      <c r="E210" s="1" t="n">
        <v>46288</v>
      </c>
      <c r="F210" t="inlineStr">
        <is>
          <t>ÖSTERGÖTLANDS LÄN</t>
        </is>
      </c>
      <c r="G210" t="inlineStr">
        <is>
          <t>YDRE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56323-2021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46288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  <c r="Z211">
        <f>HYPERLINK("https://klasma.github.io/Logging_0512/knärot/A 56323-2021 karta knärot.png", "A 56323-2021")</f>
        <v/>
      </c>
      <c r="AA211">
        <f>HYPERLINK("https://klasma.github.io/Logging_0512/klagomål/A 56323-2021 FSC-klagomål.docx", "A 56323-2021")</f>
        <v/>
      </c>
      <c r="AB211">
        <f>HYPERLINK("https://klasma.github.io/Logging_0512/klagomålsmail/A 56323-2021 FSC-klagomål mail.docx", "A 56323-2021")</f>
        <v/>
      </c>
      <c r="AC211">
        <f>HYPERLINK("https://klasma.github.io/Logging_0512/tillsyn/A 56323-2021 tillsynsbegäran.docx", "A 56323-2021")</f>
        <v/>
      </c>
      <c r="AD211">
        <f>HYPERLINK("https://klasma.github.io/Logging_0512/tillsynsmail/A 56323-2021 tillsynsbegäran mail.docx", "A 56323-2021")</f>
        <v/>
      </c>
    </row>
    <row r="212" ht="15" customHeight="1">
      <c r="A212" t="inlineStr">
        <is>
          <t>A 35209-2023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46288</v>
      </c>
      <c r="F212" t="inlineStr">
        <is>
          <t>ÖSTERGÖTLANDS LÄN</t>
        </is>
      </c>
      <c r="G212" t="inlineStr">
        <is>
          <t>YDRE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45666</v>
      </c>
      <c r="E213" s="1" t="n">
        <v>46288</v>
      </c>
      <c r="F213" t="inlineStr">
        <is>
          <t>ÖSTERGÖTLANDS LÄN</t>
        </is>
      </c>
      <c r="G213" t="inlineStr">
        <is>
          <t>YDRE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45714</v>
      </c>
      <c r="E214" s="1" t="n">
        <v>46288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2745-2026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46038</v>
      </c>
      <c r="E215" s="1" t="n">
        <v>46288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46288</v>
      </c>
      <c r="F216" t="inlineStr">
        <is>
          <t>ÖSTERGÖTLANDS LÄN</t>
        </is>
      </c>
      <c r="G216" t="inlineStr">
        <is>
          <t>YDRE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61942-2021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46288</v>
      </c>
      <c r="F217" t="inlineStr">
        <is>
          <t>ÖSTERGÖTLANDS LÄN</t>
        </is>
      </c>
      <c r="G217" t="inlineStr">
        <is>
          <t>YDRE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46288</v>
      </c>
      <c r="F218" t="inlineStr">
        <is>
          <t>ÖSTERGÖTLANDS LÄN</t>
        </is>
      </c>
      <c r="G218" t="inlineStr">
        <is>
          <t>YDRE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46288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24780-2026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46171</v>
      </c>
      <c r="E220" s="1" t="n">
        <v>46288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46288</v>
      </c>
      <c r="F221" t="inlineStr">
        <is>
          <t>ÖSTERGÖTLANDS LÄN</t>
        </is>
      </c>
      <c r="G221" t="inlineStr">
        <is>
          <t>YDRE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46288</v>
      </c>
      <c r="F222" t="inlineStr">
        <is>
          <t>ÖSTERGÖTLANDS LÄN</t>
        </is>
      </c>
      <c r="G222" t="inlineStr">
        <is>
          <t>YDRE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46288</v>
      </c>
      <c r="F223" t="inlineStr">
        <is>
          <t>ÖSTERGÖTLANDS LÄN</t>
        </is>
      </c>
      <c r="G223" t="inlineStr">
        <is>
          <t>YDRE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46288</v>
      </c>
      <c r="F224" t="inlineStr">
        <is>
          <t>ÖSTERGÖTLANDS LÄN</t>
        </is>
      </c>
      <c r="G224" t="inlineStr">
        <is>
          <t>YDRE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46288</v>
      </c>
      <c r="F225" t="inlineStr">
        <is>
          <t>ÖSTERGÖTLANDS LÄN</t>
        </is>
      </c>
      <c r="G225" t="inlineStr">
        <is>
          <t>YDRE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46288</v>
      </c>
      <c r="F226" t="inlineStr">
        <is>
          <t>ÖSTERGÖTLANDS LÄN</t>
        </is>
      </c>
      <c r="G226" t="inlineStr">
        <is>
          <t>YDRE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46288</v>
      </c>
      <c r="F227" t="inlineStr">
        <is>
          <t>ÖSTERGÖTLANDS LÄN</t>
        </is>
      </c>
      <c r="G227" t="inlineStr">
        <is>
          <t>YDRE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46001</v>
      </c>
      <c r="E228" s="1" t="n">
        <v>46288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45449-2023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45194</v>
      </c>
      <c r="E229" s="1" t="n">
        <v>46288</v>
      </c>
      <c r="F229" t="inlineStr">
        <is>
          <t>ÖSTERGÖTLANDS LÄN</t>
        </is>
      </c>
      <c r="G229" t="inlineStr">
        <is>
          <t>YDRE</t>
        </is>
      </c>
      <c r="I229" t="n">
        <v>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46288</v>
      </c>
      <c r="F230" t="inlineStr">
        <is>
          <t>ÖSTERGÖTLANDS LÄN</t>
        </is>
      </c>
      <c r="G230" t="inlineStr">
        <is>
          <t>YDRE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46288</v>
      </c>
      <c r="F231" t="inlineStr">
        <is>
          <t>ÖSTERGÖTLANDS LÄN</t>
        </is>
      </c>
      <c r="G231" t="inlineStr">
        <is>
          <t>YDRE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45587</v>
      </c>
      <c r="E232" s="1" t="n">
        <v>46288</v>
      </c>
      <c r="F232" t="inlineStr">
        <is>
          <t>ÖSTERGÖTLANDS LÄN</t>
        </is>
      </c>
      <c r="G232" t="inlineStr">
        <is>
          <t>YDRE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46288</v>
      </c>
      <c r="F233" t="inlineStr">
        <is>
          <t>ÖSTERGÖTLANDS LÄN</t>
        </is>
      </c>
      <c r="G233" t="inlineStr">
        <is>
          <t>YDRE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46288</v>
      </c>
      <c r="F234" t="inlineStr">
        <is>
          <t>ÖSTERGÖTLANDS LÄN</t>
        </is>
      </c>
      <c r="G234" t="inlineStr">
        <is>
          <t>YDRE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46288</v>
      </c>
      <c r="F235" t="inlineStr">
        <is>
          <t>ÖSTERGÖTLANDS LÄN</t>
        </is>
      </c>
      <c r="G235" t="inlineStr">
        <is>
          <t>YDRE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46288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46288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44916</v>
      </c>
      <c r="E238" s="1" t="n">
        <v>46288</v>
      </c>
      <c r="F238" t="inlineStr">
        <is>
          <t>ÖSTERGÖTLANDS LÄN</t>
        </is>
      </c>
      <c r="G238" t="inlineStr">
        <is>
          <t>YDRE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44562</v>
      </c>
      <c r="E239" s="1" t="n">
        <v>46288</v>
      </c>
      <c r="F239" t="inlineStr">
        <is>
          <t>ÖSTERGÖTLANDS LÄN</t>
        </is>
      </c>
      <c r="G239" t="inlineStr">
        <is>
          <t>YDRE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62859-2023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46288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46288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46010</v>
      </c>
      <c r="E242" s="1" t="n">
        <v>46288</v>
      </c>
      <c r="F242" t="inlineStr">
        <is>
          <t>ÖSTERGÖTLANDS LÄN</t>
        </is>
      </c>
      <c r="G242" t="inlineStr">
        <is>
          <t>YDRE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63538-2025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46288</v>
      </c>
      <c r="F243" t="inlineStr">
        <is>
          <t>ÖSTERGÖTLANDS LÄN</t>
        </is>
      </c>
      <c r="G243" t="inlineStr">
        <is>
          <t>YDRE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46288</v>
      </c>
      <c r="F244" t="inlineStr">
        <is>
          <t>ÖSTERGÖTLANDS LÄN</t>
        </is>
      </c>
      <c r="G244" t="inlineStr">
        <is>
          <t>YDRE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46288</v>
      </c>
      <c r="F245" t="inlineStr">
        <is>
          <t>ÖSTERGÖTLANDS LÄN</t>
        </is>
      </c>
      <c r="G245" t="inlineStr">
        <is>
          <t>YDRE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17277-2024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45414</v>
      </c>
      <c r="E246" s="1" t="n">
        <v>46288</v>
      </c>
      <c r="F246" t="inlineStr">
        <is>
          <t>ÖSTERGÖTLANDS LÄN</t>
        </is>
      </c>
      <c r="G246" t="inlineStr">
        <is>
          <t>YDRE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46021</v>
      </c>
      <c r="E247" s="1" t="n">
        <v>46288</v>
      </c>
      <c r="F247" t="inlineStr">
        <is>
          <t>ÖSTERGÖTLANDS LÄN</t>
        </is>
      </c>
      <c r="G247" t="inlineStr">
        <is>
          <t>YDRE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25473-2026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46288</v>
      </c>
      <c r="F248" t="inlineStr">
        <is>
          <t>ÖSTERGÖTLANDS LÄN</t>
        </is>
      </c>
      <c r="G248" t="inlineStr">
        <is>
          <t>YDRE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70448-2021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46288</v>
      </c>
      <c r="F249" t="inlineStr">
        <is>
          <t>ÖSTERGÖTLANDS LÄN</t>
        </is>
      </c>
      <c r="G249" t="inlineStr">
        <is>
          <t>YDRE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7047-2025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46288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46288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46288</v>
      </c>
      <c r="F252" t="inlineStr">
        <is>
          <t>ÖSTERGÖTLANDS LÄN</t>
        </is>
      </c>
      <c r="G252" t="inlineStr">
        <is>
          <t>YDRE</t>
        </is>
      </c>
      <c r="H252" t="inlineStr">
        <is>
          <t>Sveaskog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59811-2022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44908</v>
      </c>
      <c r="E253" s="1" t="n">
        <v>46288</v>
      </c>
      <c r="F253" t="inlineStr">
        <is>
          <t>ÖSTERGÖTLANDS LÄN</t>
        </is>
      </c>
      <c r="G253" t="inlineStr">
        <is>
          <t>YDRE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59816-2022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46288</v>
      </c>
      <c r="F254" t="inlineStr">
        <is>
          <t>ÖSTERGÖTLANDS LÄN</t>
        </is>
      </c>
      <c r="G254" t="inlineStr">
        <is>
          <t>YDRE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46288</v>
      </c>
      <c r="F255" t="inlineStr">
        <is>
          <t>ÖSTERGÖTLANDS LÄN</t>
        </is>
      </c>
      <c r="G255" t="inlineStr">
        <is>
          <t>YDRE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10699-2022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44624</v>
      </c>
      <c r="E256" s="1" t="n">
        <v>46288</v>
      </c>
      <c r="F256" t="inlineStr">
        <is>
          <t>ÖSTERGÖTLANDS LÄN</t>
        </is>
      </c>
      <c r="G256" t="inlineStr">
        <is>
          <t>YDRE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27700-2026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46190</v>
      </c>
      <c r="E257" s="1" t="n">
        <v>46288</v>
      </c>
      <c r="F257" t="inlineStr">
        <is>
          <t>ÖSTERGÖTLANDS LÄN</t>
        </is>
      </c>
      <c r="G257" t="inlineStr">
        <is>
          <t>YDRE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46288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46288</v>
      </c>
      <c r="F259" t="inlineStr">
        <is>
          <t>ÖSTERGÖTLANDS LÄN</t>
        </is>
      </c>
      <c r="G259" t="inlineStr">
        <is>
          <t>YDRE</t>
        </is>
      </c>
      <c r="H259" t="inlineStr">
        <is>
          <t>Sveaskog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46288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46288</v>
      </c>
      <c r="F261" t="inlineStr">
        <is>
          <t>ÖSTERGÖTLANDS LÄN</t>
        </is>
      </c>
      <c r="G261" t="inlineStr">
        <is>
          <t>YDRE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6293-2026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46055</v>
      </c>
      <c r="E262" s="1" t="n">
        <v>46288</v>
      </c>
      <c r="F262" t="inlineStr">
        <is>
          <t>ÖSTERGÖTLANDS LÄN</t>
        </is>
      </c>
      <c r="G262" t="inlineStr">
        <is>
          <t>YDRE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7276-2026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46288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46288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46288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45302</v>
      </c>
      <c r="E266" s="1" t="n">
        <v>46288</v>
      </c>
      <c r="F266" t="inlineStr">
        <is>
          <t>ÖSTERGÖTLANDS LÄN</t>
        </is>
      </c>
      <c r="G266" t="inlineStr">
        <is>
          <t>YDRE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46288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9054-2026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46288</v>
      </c>
      <c r="F268" t="inlineStr">
        <is>
          <t>ÖSTERGÖTLANDS LÄN</t>
        </is>
      </c>
      <c r="G268" t="inlineStr">
        <is>
          <t>YDRE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46288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11185-2024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46288</v>
      </c>
      <c r="F270" t="inlineStr">
        <is>
          <t>ÖSTERGÖTLANDS LÄN</t>
        </is>
      </c>
      <c r="G270" t="inlineStr">
        <is>
          <t>YDRE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46288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46288</v>
      </c>
      <c r="F272" t="inlineStr">
        <is>
          <t>ÖSTERGÖTLANDS LÄN</t>
        </is>
      </c>
      <c r="G272" t="inlineStr">
        <is>
          <t>YDRE</t>
        </is>
      </c>
      <c r="H272" t="inlineStr">
        <is>
          <t>Övriga Aktiebolag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46288</v>
      </c>
      <c r="F273" t="inlineStr">
        <is>
          <t>ÖSTERGÖTLANDS LÄN</t>
        </is>
      </c>
      <c r="G273" t="inlineStr">
        <is>
          <t>YDRE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36616-2024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45537</v>
      </c>
      <c r="E274" s="1" t="n">
        <v>46288</v>
      </c>
      <c r="F274" t="inlineStr">
        <is>
          <t>ÖSTERGÖTLANDS LÄN</t>
        </is>
      </c>
      <c r="G274" t="inlineStr">
        <is>
          <t>YDRE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46288</v>
      </c>
      <c r="F275" t="inlineStr">
        <is>
          <t>ÖSTERGÖTLANDS LÄN</t>
        </is>
      </c>
      <c r="G275" t="inlineStr">
        <is>
          <t>YDRE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46288</v>
      </c>
      <c r="F276" t="inlineStr">
        <is>
          <t>ÖSTERGÖTLANDS LÄN</t>
        </is>
      </c>
      <c r="G276" t="inlineStr">
        <is>
          <t>YDRE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46288</v>
      </c>
      <c r="F277" t="inlineStr">
        <is>
          <t>ÖSTERGÖTLANDS LÄN</t>
        </is>
      </c>
      <c r="G277" t="inlineStr">
        <is>
          <t>YDRE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51153-2022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44868</v>
      </c>
      <c r="E278" s="1" t="n">
        <v>46288</v>
      </c>
      <c r="F278" t="inlineStr">
        <is>
          <t>ÖSTERGÖTLANDS LÄN</t>
        </is>
      </c>
      <c r="G278" t="inlineStr">
        <is>
          <t>YDRE</t>
        </is>
      </c>
      <c r="H278" t="inlineStr">
        <is>
          <t>Övriga Aktiebolag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45110</v>
      </c>
      <c r="E279" s="1" t="n">
        <v>46288</v>
      </c>
      <c r="F279" t="inlineStr">
        <is>
          <t>ÖSTERGÖTLANDS LÄN</t>
        </is>
      </c>
      <c r="G279" t="inlineStr">
        <is>
          <t>YDRE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46288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45755</v>
      </c>
      <c r="E281" s="1" t="n">
        <v>46288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46288</v>
      </c>
      <c r="F282" t="inlineStr">
        <is>
          <t>ÖSTERGÖTLANDS LÄN</t>
        </is>
      </c>
      <c r="G282" t="inlineStr">
        <is>
          <t>YDRE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13689-2026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46097</v>
      </c>
      <c r="E283" s="1" t="n">
        <v>46288</v>
      </c>
      <c r="F283" t="inlineStr">
        <is>
          <t>ÖSTERGÖTLANDS LÄN</t>
        </is>
      </c>
      <c r="G283" t="inlineStr">
        <is>
          <t>YDRE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14143-2026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46288</v>
      </c>
      <c r="F284" t="inlineStr">
        <is>
          <t>ÖSTERGÖTLANDS LÄN</t>
        </is>
      </c>
      <c r="G284" t="inlineStr">
        <is>
          <t>YDRE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45583</v>
      </c>
      <c r="E285" s="1" t="n">
        <v>46288</v>
      </c>
      <c r="F285" t="inlineStr">
        <is>
          <t>ÖSTERGÖTLANDS LÄN</t>
        </is>
      </c>
      <c r="G285" t="inlineStr">
        <is>
          <t>YDRE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46288</v>
      </c>
      <c r="F286" t="inlineStr">
        <is>
          <t>ÖSTERGÖTLANDS LÄN</t>
        </is>
      </c>
      <c r="G286" t="inlineStr">
        <is>
          <t>YDRE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46288</v>
      </c>
      <c r="F287" t="inlineStr">
        <is>
          <t>ÖSTERGÖTLANDS LÄN</t>
        </is>
      </c>
      <c r="G287" t="inlineStr">
        <is>
          <t>YDRE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45595</v>
      </c>
      <c r="E288" s="1" t="n">
        <v>46288</v>
      </c>
      <c r="F288" t="inlineStr">
        <is>
          <t>ÖSTERGÖTLANDS LÄN</t>
        </is>
      </c>
      <c r="G288" t="inlineStr">
        <is>
          <t>YDRE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46288</v>
      </c>
      <c r="F289" t="inlineStr">
        <is>
          <t>ÖSTERGÖTLANDS LÄN</t>
        </is>
      </c>
      <c r="G289" t="inlineStr">
        <is>
          <t>YDRE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46288</v>
      </c>
      <c r="F290" t="inlineStr">
        <is>
          <t>ÖSTERGÖTLANDS LÄN</t>
        </is>
      </c>
      <c r="G290" t="inlineStr">
        <is>
          <t>YDRE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44966</v>
      </c>
      <c r="E291" s="1" t="n">
        <v>46288</v>
      </c>
      <c r="F291" t="inlineStr">
        <is>
          <t>ÖSTERGÖTLANDS LÄN</t>
        </is>
      </c>
      <c r="G291" t="inlineStr">
        <is>
          <t>YDRE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46288</v>
      </c>
      <c r="F292" t="inlineStr">
        <is>
          <t>ÖSTERGÖTLANDS LÄN</t>
        </is>
      </c>
      <c r="G292" t="inlineStr">
        <is>
          <t>YDRE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59407-2021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46288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17184-2026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46116</v>
      </c>
      <c r="E294" s="1" t="n">
        <v>46288</v>
      </c>
      <c r="F294" t="inlineStr">
        <is>
          <t>ÖSTERGÖTLANDS LÄN</t>
        </is>
      </c>
      <c r="G294" t="inlineStr">
        <is>
          <t>YDRE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46288</v>
      </c>
      <c r="F295" t="inlineStr">
        <is>
          <t>ÖSTERGÖTLANDS LÄN</t>
        </is>
      </c>
      <c r="G295" t="inlineStr">
        <is>
          <t>YDRE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46119</v>
      </c>
      <c r="E296" s="1" t="n">
        <v>46288</v>
      </c>
      <c r="F296" t="inlineStr">
        <is>
          <t>ÖSTERGÖTLANDS LÄN</t>
        </is>
      </c>
      <c r="G296" t="inlineStr">
        <is>
          <t>YDRE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46288</v>
      </c>
      <c r="F297" t="inlineStr">
        <is>
          <t>ÖSTERGÖTLANDS LÄN</t>
        </is>
      </c>
      <c r="G297" t="inlineStr">
        <is>
          <t>YDRE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46125</v>
      </c>
      <c r="E298" s="1" t="n">
        <v>46288</v>
      </c>
      <c r="F298" t="inlineStr">
        <is>
          <t>ÖSTERGÖTLANDS LÄN</t>
        </is>
      </c>
      <c r="G298" t="inlineStr">
        <is>
          <t>YDRE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46288</v>
      </c>
      <c r="F299" t="inlineStr">
        <is>
          <t>ÖSTERGÖTLANDS LÄN</t>
        </is>
      </c>
      <c r="G299" t="inlineStr">
        <is>
          <t>YDRE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61636-2021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44501</v>
      </c>
      <c r="E300" s="1" t="n">
        <v>46288</v>
      </c>
      <c r="F300" t="inlineStr">
        <is>
          <t>ÖSTERGÖTLANDS LÄN</t>
        </is>
      </c>
      <c r="G300" t="inlineStr">
        <is>
          <t>YDRE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46288</v>
      </c>
      <c r="F301" t="inlineStr">
        <is>
          <t>ÖSTERGÖTLANDS LÄN</t>
        </is>
      </c>
      <c r="G301" t="inlineStr">
        <is>
          <t>YDRE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46288</v>
      </c>
      <c r="F302" t="inlineStr">
        <is>
          <t>ÖSTERGÖTLANDS LÄN</t>
        </is>
      </c>
      <c r="G302" t="inlineStr">
        <is>
          <t>YDRE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45701</v>
      </c>
      <c r="E303" s="1" t="n">
        <v>46288</v>
      </c>
      <c r="F303" t="inlineStr">
        <is>
          <t>ÖSTERGÖTLANDS LÄN</t>
        </is>
      </c>
      <c r="G303" t="inlineStr">
        <is>
          <t>YDRE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46288</v>
      </c>
      <c r="F304" t="inlineStr">
        <is>
          <t>ÖSTERGÖTLANDS LÄN</t>
        </is>
      </c>
      <c r="G304" t="inlineStr">
        <is>
          <t>YDRE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45198-2024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45575</v>
      </c>
      <c r="E305" s="1" t="n">
        <v>46288</v>
      </c>
      <c r="F305" t="inlineStr">
        <is>
          <t>ÖSTERGÖTLANDS LÄN</t>
        </is>
      </c>
      <c r="G305" t="inlineStr">
        <is>
          <t>YDRE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44874</v>
      </c>
      <c r="E306" s="1" t="n">
        <v>46288</v>
      </c>
      <c r="F306" t="inlineStr">
        <is>
          <t>ÖSTERGÖTLANDS LÄN</t>
        </is>
      </c>
      <c r="G306" t="inlineStr">
        <is>
          <t>YDRE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46288</v>
      </c>
      <c r="F307" t="inlineStr">
        <is>
          <t>ÖSTERGÖTLANDS LÄN</t>
        </is>
      </c>
      <c r="G307" t="inlineStr">
        <is>
          <t>YDRE</t>
        </is>
      </c>
      <c r="H307" t="inlineStr">
        <is>
          <t>Övriga Aktiebolag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45649</v>
      </c>
      <c r="E308" s="1" t="n">
        <v>46288</v>
      </c>
      <c r="F308" t="inlineStr">
        <is>
          <t>ÖSTERGÖTLANDS LÄN</t>
        </is>
      </c>
      <c r="G308" t="inlineStr">
        <is>
          <t>YDRE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24637-2024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45460</v>
      </c>
      <c r="E309" s="1" t="n">
        <v>46288</v>
      </c>
      <c r="F309" t="inlineStr">
        <is>
          <t>ÖSTERGÖTLANDS LÄN</t>
        </is>
      </c>
      <c r="G309" t="inlineStr">
        <is>
          <t>YDRE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46288</v>
      </c>
      <c r="F310" t="inlineStr">
        <is>
          <t>ÖSTERGÖTLANDS LÄN</t>
        </is>
      </c>
      <c r="G310" t="inlineStr">
        <is>
          <t>YDRE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40676-2023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46288</v>
      </c>
      <c r="F311" t="inlineStr">
        <is>
          <t>ÖSTERGÖTLANDS LÄN</t>
        </is>
      </c>
      <c r="G311" t="inlineStr">
        <is>
          <t>YDRE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46288</v>
      </c>
      <c r="F312" t="inlineStr">
        <is>
          <t>ÖSTERGÖTLANDS LÄN</t>
        </is>
      </c>
      <c r="G312" t="inlineStr">
        <is>
          <t>YDRE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46258</v>
      </c>
      <c r="E313" s="1" t="n">
        <v>46288</v>
      </c>
      <c r="F313" t="inlineStr">
        <is>
          <t>ÖSTERGÖTLANDS LÄN</t>
        </is>
      </c>
      <c r="G313" t="inlineStr">
        <is>
          <t>YDRE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46288</v>
      </c>
      <c r="F314" t="inlineStr">
        <is>
          <t>ÖSTERGÖTLANDS LÄN</t>
        </is>
      </c>
      <c r="G314" t="inlineStr">
        <is>
          <t>YDRE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46288</v>
      </c>
      <c r="F315" t="inlineStr">
        <is>
          <t>ÖSTERGÖTLANDS LÄN</t>
        </is>
      </c>
      <c r="G315" t="inlineStr">
        <is>
          <t>YDRE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46288</v>
      </c>
      <c r="F316" t="inlineStr">
        <is>
          <t>ÖSTERGÖTLANDS LÄN</t>
        </is>
      </c>
      <c r="G316" t="inlineStr">
        <is>
          <t>YDRE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68983-2021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44530</v>
      </c>
      <c r="E317" s="1" t="n">
        <v>46288</v>
      </c>
      <c r="F317" t="inlineStr">
        <is>
          <t>ÖSTERGÖTLANDS LÄN</t>
        </is>
      </c>
      <c r="G317" t="inlineStr">
        <is>
          <t>YDRE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45261</v>
      </c>
      <c r="E318" s="1" t="n">
        <v>46288</v>
      </c>
      <c r="F318" t="inlineStr">
        <is>
          <t>ÖSTERGÖTLANDS LÄN</t>
        </is>
      </c>
      <c r="G318" t="inlineStr">
        <is>
          <t>YDRE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45649</v>
      </c>
      <c r="E319" s="1" t="n">
        <v>46288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45398</v>
      </c>
      <c r="E320" s="1" t="n">
        <v>46288</v>
      </c>
      <c r="F320" t="inlineStr">
        <is>
          <t>ÖSTERGÖTLANDS LÄN</t>
        </is>
      </c>
      <c r="G320" t="inlineStr">
        <is>
          <t>YDRE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46288</v>
      </c>
      <c r="F321" t="inlineStr">
        <is>
          <t>ÖSTERGÖTLANDS LÄN</t>
        </is>
      </c>
      <c r="G321" t="inlineStr">
        <is>
          <t>YDRE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45762</v>
      </c>
      <c r="E322" s="1" t="n">
        <v>46288</v>
      </c>
      <c r="F322" t="inlineStr">
        <is>
          <t>ÖSTERGÖTLANDS LÄN</t>
        </is>
      </c>
      <c r="G322" t="inlineStr">
        <is>
          <t>YDRE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17861-2025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46288</v>
      </c>
      <c r="F323" t="inlineStr">
        <is>
          <t>ÖSTERGÖTLANDS LÄN</t>
        </is>
      </c>
      <c r="G323" t="inlineStr">
        <is>
          <t>YDRE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28915-2023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45104</v>
      </c>
      <c r="E324" s="1" t="n">
        <v>46288</v>
      </c>
      <c r="F324" t="inlineStr">
        <is>
          <t>ÖSTERGÖTLANDS LÄN</t>
        </is>
      </c>
      <c r="G324" t="inlineStr">
        <is>
          <t>YDRE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46269</v>
      </c>
      <c r="E325" s="1" t="n">
        <v>46288</v>
      </c>
      <c r="F325" t="inlineStr">
        <is>
          <t>ÖSTERGÖTLANDS LÄN</t>
        </is>
      </c>
      <c r="G325" t="inlineStr">
        <is>
          <t>YDRE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46288</v>
      </c>
      <c r="F326" t="inlineStr">
        <is>
          <t>ÖSTERGÖTLANDS LÄN</t>
        </is>
      </c>
      <c r="G326" t="inlineStr">
        <is>
          <t>YDRE</t>
        </is>
      </c>
      <c r="H326" t="inlineStr">
        <is>
          <t>Kyrkan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45638</v>
      </c>
      <c r="E327" s="1" t="n">
        <v>46288</v>
      </c>
      <c r="F327" t="inlineStr">
        <is>
          <t>ÖSTERGÖTLANDS LÄN</t>
        </is>
      </c>
      <c r="G327" t="inlineStr">
        <is>
          <t>YDRE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45414</v>
      </c>
      <c r="E328" s="1" t="n">
        <v>46288</v>
      </c>
      <c r="F328" t="inlineStr">
        <is>
          <t>ÖSTERGÖTLANDS LÄN</t>
        </is>
      </c>
      <c r="G328" t="inlineStr">
        <is>
          <t>YDRE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46269</v>
      </c>
      <c r="E329" s="1" t="n">
        <v>46288</v>
      </c>
      <c r="F329" t="inlineStr">
        <is>
          <t>ÖSTERGÖTLANDS LÄN</t>
        </is>
      </c>
      <c r="G329" t="inlineStr">
        <is>
          <t>YDRE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45334</v>
      </c>
      <c r="E330" s="1" t="n">
        <v>46288</v>
      </c>
      <c r="F330" t="inlineStr">
        <is>
          <t>ÖSTERGÖTLANDS LÄN</t>
        </is>
      </c>
      <c r="G330" t="inlineStr">
        <is>
          <t>YDRE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38928-2022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44816</v>
      </c>
      <c r="E331" s="1" t="n">
        <v>46288</v>
      </c>
      <c r="F331" t="inlineStr">
        <is>
          <t>ÖSTERGÖTLANDS LÄN</t>
        </is>
      </c>
      <c r="G331" t="inlineStr">
        <is>
          <t>YDRE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36931-2026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46273</v>
      </c>
      <c r="E332" s="1" t="n">
        <v>46288</v>
      </c>
      <c r="F332" t="inlineStr">
        <is>
          <t>ÖSTERGÖTLANDS LÄN</t>
        </is>
      </c>
      <c r="G332" t="inlineStr">
        <is>
          <t>YDRE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15112-2023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45016</v>
      </c>
      <c r="E333" s="1" t="n">
        <v>46288</v>
      </c>
      <c r="F333" t="inlineStr">
        <is>
          <t>ÖSTERGÖTLANDS LÄN</t>
        </is>
      </c>
      <c r="G333" t="inlineStr">
        <is>
          <t>YDRE</t>
        </is>
      </c>
      <c r="H333" t="inlineStr">
        <is>
          <t>Övriga Aktiebolag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46273</v>
      </c>
      <c r="E334" s="1" t="n">
        <v>46288</v>
      </c>
      <c r="F334" t="inlineStr">
        <is>
          <t>ÖSTERGÖTLANDS LÄN</t>
        </is>
      </c>
      <c r="G334" t="inlineStr">
        <is>
          <t>YDRE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37066-2026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46273</v>
      </c>
      <c r="E335" s="1" t="n">
        <v>46288</v>
      </c>
      <c r="F335" t="inlineStr">
        <is>
          <t>ÖSTERGÖTLANDS LÄN</t>
        </is>
      </c>
      <c r="G335" t="inlineStr">
        <is>
          <t>YDRE</t>
        </is>
      </c>
      <c r="I335" t="n">
        <v>15.6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14645-2022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44655</v>
      </c>
      <c r="E336" s="1" t="n">
        <v>46288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46288</v>
      </c>
      <c r="F337" t="inlineStr">
        <is>
          <t>ÖSTERGÖTLANDS LÄN</t>
        </is>
      </c>
      <c r="G337" t="inlineStr">
        <is>
          <t>YDRE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46288</v>
      </c>
      <c r="F338" t="inlineStr">
        <is>
          <t>ÖSTERGÖTLANDS LÄN</t>
        </is>
      </c>
      <c r="G338" t="inlineStr">
        <is>
          <t>YDRE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24983-2023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46288</v>
      </c>
      <c r="F339" t="inlineStr">
        <is>
          <t>ÖSTERGÖTLANDS LÄN</t>
        </is>
      </c>
      <c r="G339" t="inlineStr">
        <is>
          <t>YDRE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46288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44987</v>
      </c>
      <c r="E341" s="1" t="n">
        <v>46288</v>
      </c>
      <c r="F341" t="inlineStr">
        <is>
          <t>ÖSTERGÖTLANDS LÄN</t>
        </is>
      </c>
      <c r="G341" t="inlineStr">
        <is>
          <t>YDRE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46288</v>
      </c>
      <c r="F342" t="inlineStr">
        <is>
          <t>ÖSTERGÖTLANDS LÄN</t>
        </is>
      </c>
      <c r="G342" t="inlineStr">
        <is>
          <t>YDRE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44908</v>
      </c>
      <c r="E343" s="1" t="n">
        <v>46288</v>
      </c>
      <c r="F343" t="inlineStr">
        <is>
          <t>ÖSTERGÖTLANDS LÄN</t>
        </is>
      </c>
      <c r="G343" t="inlineStr">
        <is>
          <t>YDRE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45634</v>
      </c>
      <c r="E344" s="1" t="n">
        <v>46288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45218</v>
      </c>
      <c r="E345" s="1" t="n">
        <v>46288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46288</v>
      </c>
      <c r="F346" t="inlineStr">
        <is>
          <t>ÖSTERGÖTLANDS LÄN</t>
        </is>
      </c>
      <c r="G346" t="inlineStr">
        <is>
          <t>YDRE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46280</v>
      </c>
      <c r="E347" s="1" t="n">
        <v>46288</v>
      </c>
      <c r="F347" t="inlineStr">
        <is>
          <t>ÖSTERGÖTLANDS LÄN</t>
        </is>
      </c>
      <c r="G347" t="inlineStr">
        <is>
          <t>YDRE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14184-2022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44651</v>
      </c>
      <c r="E348" s="1" t="n">
        <v>46288</v>
      </c>
      <c r="F348" t="inlineStr">
        <is>
          <t>ÖSTERGÖTLANDS LÄN</t>
        </is>
      </c>
      <c r="G348" t="inlineStr">
        <is>
          <t>YDRE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44844</v>
      </c>
      <c r="E349" s="1" t="n">
        <v>46288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46288</v>
      </c>
      <c r="F350" t="inlineStr">
        <is>
          <t>ÖSTERGÖTLANDS LÄN</t>
        </is>
      </c>
      <c r="G350" t="inlineStr">
        <is>
          <t>YDRE</t>
        </is>
      </c>
      <c r="I350" t="n">
        <v>17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46288</v>
      </c>
      <c r="F351" t="inlineStr">
        <is>
          <t>ÖSTERGÖTLANDS LÄN</t>
        </is>
      </c>
      <c r="G351" t="inlineStr">
        <is>
          <t>YDRE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45159</v>
      </c>
      <c r="E352" s="1" t="n">
        <v>46288</v>
      </c>
      <c r="F352" t="inlineStr">
        <is>
          <t>ÖSTERGÖTLANDS LÄN</t>
        </is>
      </c>
      <c r="G352" t="inlineStr">
        <is>
          <t>YDRE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46283</v>
      </c>
      <c r="E353" s="1" t="n">
        <v>46288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45558</v>
      </c>
      <c r="E354" s="1" t="n">
        <v>46288</v>
      </c>
      <c r="F354" t="inlineStr">
        <is>
          <t>ÖSTERGÖTLANDS LÄN</t>
        </is>
      </c>
      <c r="G354" t="inlineStr">
        <is>
          <t>YDRE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46288</v>
      </c>
      <c r="F355" t="inlineStr">
        <is>
          <t>ÖSTERGÖTLANDS LÄN</t>
        </is>
      </c>
      <c r="G355" t="inlineStr">
        <is>
          <t>YDRE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46288</v>
      </c>
      <c r="F356" t="inlineStr">
        <is>
          <t>ÖSTERGÖTLANDS LÄN</t>
        </is>
      </c>
      <c r="G356" t="inlineStr">
        <is>
          <t>YDRE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46288</v>
      </c>
      <c r="F357" t="inlineStr">
        <is>
          <t>ÖSTERGÖTLANDS LÄN</t>
        </is>
      </c>
      <c r="G357" t="inlineStr">
        <is>
          <t>YDRE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32685-2026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46240</v>
      </c>
      <c r="E358" s="1" t="n">
        <v>46288</v>
      </c>
      <c r="F358" t="inlineStr">
        <is>
          <t>ÖSTERGÖTLANDS LÄN</t>
        </is>
      </c>
      <c r="G358" t="inlineStr">
        <is>
          <t>YDRE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38606-2026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46283</v>
      </c>
      <c r="E359" s="1" t="n">
        <v>46288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38611-2026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46283</v>
      </c>
      <c r="E360" s="1" t="n">
        <v>46288</v>
      </c>
      <c r="F360" t="inlineStr">
        <is>
          <t>ÖSTERGÖTLANDS LÄN</t>
        </is>
      </c>
      <c r="G360" t="inlineStr">
        <is>
          <t>YDRE</t>
        </is>
      </c>
      <c r="H360" t="inlineStr">
        <is>
          <t>Sveaskog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46283</v>
      </c>
      <c r="E361" s="1" t="n">
        <v>46288</v>
      </c>
      <c r="F361" t="inlineStr">
        <is>
          <t>ÖSTERGÖTLANDS LÄN</t>
        </is>
      </c>
      <c r="G361" t="inlineStr">
        <is>
          <t>YDRE</t>
        </is>
      </c>
      <c r="H361" t="inlineStr">
        <is>
          <t>Sveaskog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46288</v>
      </c>
      <c r="F362" t="inlineStr">
        <is>
          <t>ÖSTERGÖTLANDS LÄN</t>
        </is>
      </c>
      <c r="G362" t="inlineStr">
        <is>
          <t>YDRE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46282</v>
      </c>
      <c r="E363" s="1" t="n">
        <v>46288</v>
      </c>
      <c r="F363" t="inlineStr">
        <is>
          <t>ÖSTERGÖTLANDS LÄN</t>
        </is>
      </c>
      <c r="G363" t="inlineStr">
        <is>
          <t>YDRE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32676-2026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46240</v>
      </c>
      <c r="E364" s="1" t="n">
        <v>46288</v>
      </c>
      <c r="F364" t="inlineStr">
        <is>
          <t>ÖSTERGÖTLANDS LÄN</t>
        </is>
      </c>
      <c r="G364" t="inlineStr">
        <is>
          <t>YDRE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38466-2026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46282</v>
      </c>
      <c r="E365" s="1" t="n">
        <v>46288</v>
      </c>
      <c r="F365" t="inlineStr">
        <is>
          <t>ÖSTERGÖTLANDS LÄN</t>
        </is>
      </c>
      <c r="G365" t="inlineStr">
        <is>
          <t>YDRE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38478-2026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46288</v>
      </c>
      <c r="F366" t="inlineStr">
        <is>
          <t>ÖSTERGÖTLANDS LÄN</t>
        </is>
      </c>
      <c r="G366" t="inlineStr">
        <is>
          <t>YDRE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11785-2023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44994</v>
      </c>
      <c r="E367" s="1" t="n">
        <v>46288</v>
      </c>
      <c r="F367" t="inlineStr">
        <is>
          <t>ÖSTERGÖTLANDS LÄN</t>
        </is>
      </c>
      <c r="G367" t="inlineStr">
        <is>
          <t>YDRE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46288</v>
      </c>
      <c r="F368" t="inlineStr">
        <is>
          <t>ÖSTERGÖTLANDS LÄN</t>
        </is>
      </c>
      <c r="G368" t="inlineStr">
        <is>
          <t>YDRE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45692</v>
      </c>
      <c r="E369" s="1" t="n">
        <v>46288</v>
      </c>
      <c r="F369" t="inlineStr">
        <is>
          <t>ÖSTERGÖTLANDS LÄN</t>
        </is>
      </c>
      <c r="G369" t="inlineStr">
        <is>
          <t>YDRE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46283</v>
      </c>
      <c r="E370" s="1" t="n">
        <v>46288</v>
      </c>
      <c r="F370" t="inlineStr">
        <is>
          <t>ÖSTERGÖTLANDS LÄN</t>
        </is>
      </c>
      <c r="G370" t="inlineStr">
        <is>
          <t>YDRE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44670</v>
      </c>
      <c r="E371" s="1" t="n">
        <v>46288</v>
      </c>
      <c r="F371" t="inlineStr">
        <is>
          <t>ÖSTERGÖTLANDS LÄN</t>
        </is>
      </c>
      <c r="G371" t="inlineStr">
        <is>
          <t>YDRE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44953</v>
      </c>
      <c r="E372" s="1" t="n">
        <v>46288</v>
      </c>
      <c r="F372" t="inlineStr">
        <is>
          <t>ÖSTERGÖTLANDS LÄN</t>
        </is>
      </c>
      <c r="G372" t="inlineStr">
        <is>
          <t>YDRE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14101-2022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44651</v>
      </c>
      <c r="E373" s="1" t="n">
        <v>46288</v>
      </c>
      <c r="F373" t="inlineStr">
        <is>
          <t>ÖSTERGÖTLANDS LÄN</t>
        </is>
      </c>
      <c r="G373" t="inlineStr">
        <is>
          <t>YDRE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45671</v>
      </c>
      <c r="E374" s="1" t="n">
        <v>46288</v>
      </c>
      <c r="F374" t="inlineStr">
        <is>
          <t>ÖSTERGÖTLANDS LÄN</t>
        </is>
      </c>
      <c r="G374" t="inlineStr">
        <is>
          <t>YDRE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59296-2021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44490</v>
      </c>
      <c r="E375" s="1" t="n">
        <v>46288</v>
      </c>
      <c r="F375" t="inlineStr">
        <is>
          <t>ÖSTERGÖTLANDS LÄN</t>
        </is>
      </c>
      <c r="G375" t="inlineStr">
        <is>
          <t>YDRE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46288</v>
      </c>
      <c r="F376" t="inlineStr">
        <is>
          <t>ÖSTERGÖTLANDS LÄN</t>
        </is>
      </c>
      <c r="G376" t="inlineStr">
        <is>
          <t>YDRE</t>
        </is>
      </c>
      <c r="H376" t="inlineStr">
        <is>
          <t>Övriga Aktiebolag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46286</v>
      </c>
      <c r="E377" s="1" t="n">
        <v>46288</v>
      </c>
      <c r="F377" t="inlineStr">
        <is>
          <t>ÖSTERGÖTLANDS LÄN</t>
        </is>
      </c>
      <c r="G377" t="inlineStr">
        <is>
          <t>YDRE</t>
        </is>
      </c>
      <c r="H377" t="inlineStr">
        <is>
          <t>Sveaskog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45159</v>
      </c>
      <c r="E378" s="1" t="n">
        <v>46288</v>
      </c>
      <c r="F378" t="inlineStr">
        <is>
          <t>ÖSTERGÖTLANDS LÄN</t>
        </is>
      </c>
      <c r="G378" t="inlineStr">
        <is>
          <t>YDRE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38758-2026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46286</v>
      </c>
      <c r="E379" s="1" t="n">
        <v>46288</v>
      </c>
      <c r="F379" t="inlineStr">
        <is>
          <t>ÖSTERGÖTLANDS LÄN</t>
        </is>
      </c>
      <c r="G379" t="inlineStr">
        <is>
          <t>YDRE</t>
        </is>
      </c>
      <c r="H379" t="inlineStr">
        <is>
          <t>Sveaskog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46288</v>
      </c>
      <c r="F380" t="inlineStr">
        <is>
          <t>ÖSTERGÖTLANDS LÄN</t>
        </is>
      </c>
      <c r="G380" t="inlineStr">
        <is>
          <t>YDRE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45677</v>
      </c>
      <c r="E381" s="1" t="n">
        <v>46288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46288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45748</v>
      </c>
      <c r="E383" s="1" t="n">
        <v>46288</v>
      </c>
      <c r="F383" t="inlineStr">
        <is>
          <t>ÖSTERGÖTLANDS LÄN</t>
        </is>
      </c>
      <c r="G383" t="inlineStr">
        <is>
          <t>YDRE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61205-2023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45264</v>
      </c>
      <c r="E384" s="1" t="n">
        <v>46288</v>
      </c>
      <c r="F384" t="inlineStr">
        <is>
          <t>ÖSTERGÖTLANDS LÄN</t>
        </is>
      </c>
      <c r="G384" t="inlineStr">
        <is>
          <t>YDRE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57290-2021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44483</v>
      </c>
      <c r="E385" s="1" t="n">
        <v>46288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45492</v>
      </c>
      <c r="E386" s="1" t="n">
        <v>46288</v>
      </c>
      <c r="F386" t="inlineStr">
        <is>
          <t>ÖSTERGÖTLANDS LÄN</t>
        </is>
      </c>
      <c r="G386" t="inlineStr">
        <is>
          <t>YDRE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45468</v>
      </c>
      <c r="E387" s="1" t="n">
        <v>46288</v>
      </c>
      <c r="F387" t="inlineStr">
        <is>
          <t>ÖSTERGÖTLANDS LÄN</t>
        </is>
      </c>
      <c r="G387" t="inlineStr">
        <is>
          <t>YDRE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45544</v>
      </c>
      <c r="E388" s="1" t="n">
        <v>46288</v>
      </c>
      <c r="F388" t="inlineStr">
        <is>
          <t>ÖSTERGÖTLANDS LÄN</t>
        </is>
      </c>
      <c r="G388" t="inlineStr">
        <is>
          <t>YDRE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46288</v>
      </c>
      <c r="F389" t="inlineStr">
        <is>
          <t>ÖSTERGÖTLANDS LÄN</t>
        </is>
      </c>
      <c r="G389" t="inlineStr">
        <is>
          <t>YDRE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1007-2025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45666</v>
      </c>
      <c r="E390" s="1" t="n">
        <v>46288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46288</v>
      </c>
      <c r="F391" t="inlineStr">
        <is>
          <t>ÖSTERGÖTLANDS LÄN</t>
        </is>
      </c>
      <c r="G391" t="inlineStr">
        <is>
          <t>YDRE</t>
        </is>
      </c>
      <c r="H391" t="inlineStr">
        <is>
          <t>Övriga Aktiebolag</t>
        </is>
      </c>
      <c r="I391" t="n">
        <v>18.2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45475</v>
      </c>
      <c r="E392" s="1" t="n">
        <v>46288</v>
      </c>
      <c r="F392" t="inlineStr">
        <is>
          <t>ÖSTERGÖTLANDS LÄN</t>
        </is>
      </c>
      <c r="G392" t="inlineStr">
        <is>
          <t>YDRE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45365</v>
      </c>
      <c r="E393" s="1" t="n">
        <v>46288</v>
      </c>
      <c r="F393" t="inlineStr">
        <is>
          <t>ÖSTERGÖTLANDS LÄN</t>
        </is>
      </c>
      <c r="G393" t="inlineStr">
        <is>
          <t>YDRE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46288</v>
      </c>
      <c r="F394" t="inlineStr">
        <is>
          <t>ÖSTERGÖTLANDS LÄN</t>
        </is>
      </c>
      <c r="G394" t="inlineStr">
        <is>
          <t>YDRE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46288</v>
      </c>
      <c r="F395" t="inlineStr">
        <is>
          <t>ÖSTERGÖTLANDS LÄN</t>
        </is>
      </c>
      <c r="G395" t="inlineStr">
        <is>
          <t>YDRE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46288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46288</v>
      </c>
      <c r="F397" t="inlineStr">
        <is>
          <t>ÖSTERGÖTLANDS LÄN</t>
        </is>
      </c>
      <c r="G397" t="inlineStr">
        <is>
          <t>YDRE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46288</v>
      </c>
      <c r="F398" t="inlineStr">
        <is>
          <t>ÖSTERGÖTLANDS LÄN</t>
        </is>
      </c>
      <c r="G398" t="inlineStr">
        <is>
          <t>YDRE</t>
        </is>
      </c>
      <c r="H398" t="inlineStr">
        <is>
          <t>Kyrkan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30759-2025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46288</v>
      </c>
      <c r="F399" t="inlineStr">
        <is>
          <t>ÖSTERGÖTLANDS LÄN</t>
        </is>
      </c>
      <c r="G399" t="inlineStr">
        <is>
          <t>YDRE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46288</v>
      </c>
      <c r="F400" t="inlineStr">
        <is>
          <t>ÖSTERGÖTLANDS LÄN</t>
        </is>
      </c>
      <c r="G400" t="inlineStr">
        <is>
          <t>YDRE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46288</v>
      </c>
      <c r="F401" t="inlineStr">
        <is>
          <t>ÖSTERGÖTLANDS LÄN</t>
        </is>
      </c>
      <c r="G401" t="inlineStr">
        <is>
          <t>YDRE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46288</v>
      </c>
      <c r="F402" t="inlineStr">
        <is>
          <t>ÖSTERGÖTLANDS LÄN</t>
        </is>
      </c>
      <c r="G402" t="inlineStr">
        <is>
          <t>YDRE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46288</v>
      </c>
      <c r="F403" t="inlineStr">
        <is>
          <t>ÖSTERGÖTLANDS LÄN</t>
        </is>
      </c>
      <c r="G403" t="inlineStr">
        <is>
          <t>YDRE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46288</v>
      </c>
      <c r="F404" t="inlineStr">
        <is>
          <t>ÖSTERGÖTLANDS LÄN</t>
        </is>
      </c>
      <c r="G404" t="inlineStr">
        <is>
          <t>YDRE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46288</v>
      </c>
      <c r="F405" t="inlineStr">
        <is>
          <t>ÖSTERGÖTLANDS LÄN</t>
        </is>
      </c>
      <c r="G405" t="inlineStr">
        <is>
          <t>YDRE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32635-2025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45838</v>
      </c>
      <c r="E406" s="1" t="n">
        <v>46288</v>
      </c>
      <c r="F406" t="inlineStr">
        <is>
          <t>ÖSTERGÖTLANDS LÄN</t>
        </is>
      </c>
      <c r="G406" t="inlineStr">
        <is>
          <t>YDRE</t>
        </is>
      </c>
      <c r="H406" t="inlineStr">
        <is>
          <t>Övriga Aktiebolag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45790</v>
      </c>
      <c r="E407" s="1" t="n">
        <v>46288</v>
      </c>
      <c r="F407" t="inlineStr">
        <is>
          <t>ÖSTERGÖTLANDS LÄN</t>
        </is>
      </c>
      <c r="G407" t="inlineStr">
        <is>
          <t>YDRE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45810</v>
      </c>
      <c r="E408" s="1" t="n">
        <v>46288</v>
      </c>
      <c r="F408" t="inlineStr">
        <is>
          <t>ÖSTERGÖTLANDS LÄN</t>
        </is>
      </c>
      <c r="G408" t="inlineStr">
        <is>
          <t>YDRE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46288</v>
      </c>
      <c r="F409" t="inlineStr">
        <is>
          <t>ÖSTERGÖTLANDS LÄN</t>
        </is>
      </c>
      <c r="G409" t="inlineStr">
        <is>
          <t>YDRE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416-2022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44585</v>
      </c>
      <c r="E410" s="1" t="n">
        <v>46288</v>
      </c>
      <c r="F410" t="inlineStr">
        <is>
          <t>ÖSTERGÖTLANDS LÄN</t>
        </is>
      </c>
      <c r="G410" t="inlineStr">
        <is>
          <t>YDRE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2053-2025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45839</v>
      </c>
      <c r="E411" s="1" t="n">
        <v>46288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2604-2025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45916</v>
      </c>
      <c r="E412" s="1" t="n">
        <v>46288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3063-2025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45964</v>
      </c>
      <c r="E413" s="1" t="n">
        <v>46288</v>
      </c>
      <c r="F413" t="inlineStr">
        <is>
          <t>ÖSTERGÖTLANDS LÄN</t>
        </is>
      </c>
      <c r="G413" t="inlineStr">
        <is>
          <t>YDRE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384-2026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46066</v>
      </c>
      <c r="E414" s="1" t="n">
        <v>46288</v>
      </c>
      <c r="F414" t="inlineStr">
        <is>
          <t>ÖSTERGÖTLANDS LÄN</t>
        </is>
      </c>
      <c r="G414" t="inlineStr">
        <is>
          <t>YDRE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2485-2026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46287</v>
      </c>
      <c r="E415" s="1" t="n">
        <v>46288</v>
      </c>
      <c r="F415" t="inlineStr">
        <is>
          <t>ÖSTERGÖTLANDS LÄN</t>
        </is>
      </c>
      <c r="G415" t="inlineStr">
        <is>
          <t>YDRE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2026-09-23T01:56:04Z</dcterms:created>
  <dcterms:modified xmlns:dcterms="http://purl.org/dc/terms/" xmlns:xsi="http://www.w3.org/2001/XMLSchema-instance" xsi:type="dcterms:W3CDTF">2026-09-23T01:56:05Z</dcterms:modified>
</cp:coreProperties>
</file>