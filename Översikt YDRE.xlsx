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46224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46224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1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6</v>
      </c>
      <c r="T3" t="n">
        <v>20</v>
      </c>
      <c r="U3" t="n">
        <v>20</v>
      </c>
      <c r="V3" s="2" t="inlineStr">
        <is>
          <t>Garnlav
Knärot
Brunpudrad nållav
Vedtrappmossa
Grönpyrola
Skinnlav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46224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46224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46224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46224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46224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46224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44509</v>
      </c>
      <c r="E10" s="1" t="n">
        <v>46224</v>
      </c>
      <c r="F10" t="inlineStr">
        <is>
          <t>ÖSTERGÖTLANDS LÄN</t>
        </is>
      </c>
      <c r="G10" t="inlineStr">
        <is>
          <t>YDRE</t>
        </is>
      </c>
      <c r="I10" t="n">
        <v>3.1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Crepis tectorum subsp. tectorum
Tallticka</t>
        </is>
      </c>
      <c r="W10">
        <f>HYPERLINK("https://klasma.github.io/Logging_0512/artfynd/A 63961-2021 artfynd.xlsx", "A 63961-2021")</f>
        <v/>
      </c>
      <c r="X10">
        <f>HYPERLINK("https://klasma.github.io/Logging_0512/kartor/A 63961-2021 karta.png", "A 63961-2021")</f>
        <v/>
      </c>
      <c r="Y10">
        <f>HYPERLINK("https://klasma.github.io/Logging_0512/kartor_geotiff/A 63961-2021 georefererad karta.tif", "A 63961-2021")</f>
        <v/>
      </c>
      <c r="AA10">
        <f>HYPERLINK("https://klasma.github.io/Logging_0512/klagomål/A 63961-2021 FSC-klagomål.docx", "A 63961-2021")</f>
        <v/>
      </c>
      <c r="AB10">
        <f>HYPERLINK("https://klasma.github.io/Logging_0512/klagomålsmail/A 63961-2021 FSC-klagomål mail.docx", "A 63961-2021")</f>
        <v/>
      </c>
      <c r="AC10">
        <f>HYPERLINK("https://klasma.github.io/Logging_0512/tillsyn/A 63961-2021 tillsynsbegäran.docx", "A 63961-2021")</f>
        <v/>
      </c>
      <c r="AD10">
        <f>HYPERLINK("https://klasma.github.io/Logging_0512/tillsynsmail/A 63961-2021 tillsynsbegäran mail.docx", "A 63961-2021")</f>
        <v/>
      </c>
    </row>
    <row r="11" ht="15" customHeight="1">
      <c r="A11" t="inlineStr">
        <is>
          <t>A 26030-2023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46224</v>
      </c>
      <c r="F11" t="inlineStr">
        <is>
          <t>ÖSTERGÖTLANDS LÄN</t>
        </is>
      </c>
      <c r="G11" t="inlineStr">
        <is>
          <t>YDRE</t>
        </is>
      </c>
      <c r="H11" t="inlineStr">
        <is>
          <t>Sveaskog</t>
        </is>
      </c>
      <c r="I11" t="n">
        <v>0.9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Aspelandsfibbla
Smal guldkornsfibbla</t>
        </is>
      </c>
      <c r="W11">
        <f>HYPERLINK("https://klasma.github.io/Logging_0512/artfynd/A 26030-2023 artfynd.xlsx", "A 26030-2023")</f>
        <v/>
      </c>
      <c r="X11">
        <f>HYPERLINK("https://klasma.github.io/Logging_0512/kartor/A 26030-2023 karta.png", "A 26030-2023")</f>
        <v/>
      </c>
      <c r="Y11">
        <f>HYPERLINK("https://klasma.github.io/Logging_0512/kartor_geotiff/A 26030-2023 georefererad karta.tif", "A 26030-2023")</f>
        <v/>
      </c>
      <c r="AA11">
        <f>HYPERLINK("https://klasma.github.io/Logging_0512/klagomål/A 26030-2023 FSC-klagomål.docx", "A 26030-2023")</f>
        <v/>
      </c>
      <c r="AB11">
        <f>HYPERLINK("https://klasma.github.io/Logging_0512/klagomålsmail/A 26030-2023 FSC-klagomål mail.docx", "A 26030-2023")</f>
        <v/>
      </c>
      <c r="AC11">
        <f>HYPERLINK("https://klasma.github.io/Logging_0512/tillsyn/A 26030-2023 tillsynsbegäran.docx", "A 26030-2023")</f>
        <v/>
      </c>
      <c r="AD11">
        <f>HYPERLINK("https://klasma.github.io/Logging_0512/tillsynsmail/A 26030-2023 tillsynsbegäran mail.docx", "A 26030-2023")</f>
        <v/>
      </c>
    </row>
    <row r="12" ht="15" customHeight="1">
      <c r="A12" t="inlineStr">
        <is>
          <t>A 23612-2025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45792</v>
      </c>
      <c r="E12" s="1" t="n">
        <v>46224</v>
      </c>
      <c r="F12" t="inlineStr">
        <is>
          <t>ÖSTERGÖTLANDS LÄN</t>
        </is>
      </c>
      <c r="G12" t="inlineStr">
        <is>
          <t>YDRE</t>
        </is>
      </c>
      <c r="I12" t="n">
        <v>2.1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Tallticka
Blomkålssvamp</t>
        </is>
      </c>
      <c r="W12">
        <f>HYPERLINK("https://klasma.github.io/Logging_0512/artfynd/A 23612-2025 artfynd.xlsx", "A 23612-2025")</f>
        <v/>
      </c>
      <c r="X12">
        <f>HYPERLINK("https://klasma.github.io/Logging_0512/kartor/A 23612-2025 karta.png", "A 23612-2025")</f>
        <v/>
      </c>
      <c r="Y12">
        <f>HYPERLINK("https://klasma.github.io/Logging_0512/kartor_geotiff/A 23612-2025 georefererad karta.tif", "A 23612-2025")</f>
        <v/>
      </c>
      <c r="AA12">
        <f>HYPERLINK("https://klasma.github.io/Logging_0512/klagomål/A 23612-2025 FSC-klagomål.docx", "A 23612-2025")</f>
        <v/>
      </c>
      <c r="AB12">
        <f>HYPERLINK("https://klasma.github.io/Logging_0512/klagomålsmail/A 23612-2025 FSC-klagomål mail.docx", "A 23612-2025")</f>
        <v/>
      </c>
      <c r="AC12">
        <f>HYPERLINK("https://klasma.github.io/Logging_0512/tillsyn/A 23612-2025 tillsynsbegäran.docx", "A 23612-2025")</f>
        <v/>
      </c>
      <c r="AD12">
        <f>HYPERLINK("https://klasma.github.io/Logging_0512/tillsynsmail/A 23612-2025 tillsynsbegäran mail.docx", "A 23612-2025")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46224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55870-2025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46224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4.4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Västlig njurlav
Grynig filtlav</t>
        </is>
      </c>
      <c r="W14">
        <f>HYPERLINK("https://klasma.github.io/Logging_0512/artfynd/A 55870-2025 artfynd.xlsx", "A 55870-2025")</f>
        <v/>
      </c>
      <c r="X14">
        <f>HYPERLINK("https://klasma.github.io/Logging_0512/kartor/A 55870-2025 karta.png", "A 55870-2025")</f>
        <v/>
      </c>
      <c r="Y14">
        <f>HYPERLINK("https://klasma.github.io/Logging_0512/kartor_geotiff/A 55870-2025 georefererad karta.tif", "A 55870-2025")</f>
        <v/>
      </c>
      <c r="AA14">
        <f>HYPERLINK("https://klasma.github.io/Logging_0512/klagomål/A 55870-2025 FSC-klagomål.docx", "A 55870-2025")</f>
        <v/>
      </c>
      <c r="AB14">
        <f>HYPERLINK("https://klasma.github.io/Logging_0512/klagomålsmail/A 55870-2025 FSC-klagomål mail.docx", "A 55870-2025")</f>
        <v/>
      </c>
      <c r="AC14">
        <f>HYPERLINK("https://klasma.github.io/Logging_0512/tillsyn/A 55870-2025 tillsynsbegäran.docx", "A 55870-2025")</f>
        <v/>
      </c>
      <c r="AD14">
        <f>HYPERLINK("https://klasma.github.io/Logging_0512/tillsynsmail/A 55870-2025 tillsynsbegäran mail.docx", "A 55870-2025")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46224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46224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Vattenfladdermus</t>
        </is>
      </c>
      <c r="W16">
        <f>HYPERLINK("https://klasma.github.io/Logging_0512/artfynd/A 7621-2024 artfynd.xlsx", "A 7621-2024")</f>
        <v/>
      </c>
      <c r="X16">
        <f>HYPERLINK("https://klasma.github.io/Logging_0512/kartor/A 7621-2024 karta.png", "A 7621-2024")</f>
        <v/>
      </c>
      <c r="Y16">
        <f>HYPERLINK("https://klasma.github.io/Logging_0512/kartor_geotiff/A 7621-2024 georefererad karta.tif", "A 7621-2024")</f>
        <v/>
      </c>
      <c r="AA16">
        <f>HYPERLINK("https://klasma.github.io/Logging_0512/klagomål/A 7621-2024 FSC-klagomål.docx", "A 7621-2024")</f>
        <v/>
      </c>
      <c r="AB16">
        <f>HYPERLINK("https://klasma.github.io/Logging_0512/klagomålsmail/A 7621-2024 FSC-klagomål mail.docx", "A 7621-2024")</f>
        <v/>
      </c>
      <c r="AC16">
        <f>HYPERLINK("https://klasma.github.io/Logging_0512/tillsyn/A 7621-2024 tillsynsbegäran.docx", "A 7621-2024")</f>
        <v/>
      </c>
      <c r="AD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46224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46224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52667-2022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44874</v>
      </c>
      <c r="E19" s="1" t="n">
        <v>46224</v>
      </c>
      <c r="F19" t="inlineStr">
        <is>
          <t>ÖSTERGÖTLANDS LÄN</t>
        </is>
      </c>
      <c r="G19" t="inlineStr">
        <is>
          <t>YDRE</t>
        </is>
      </c>
      <c r="I19" t="n">
        <v>1.2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Solvända
Mattlummer</t>
        </is>
      </c>
      <c r="W19">
        <f>HYPERLINK("https://klasma.github.io/Logging_0512/artfynd/A 52667-2022 artfynd.xlsx", "A 52667-2022")</f>
        <v/>
      </c>
      <c r="X19">
        <f>HYPERLINK("https://klasma.github.io/Logging_0512/kartor/A 52667-2022 karta.png", "A 52667-2022")</f>
        <v/>
      </c>
      <c r="Y19">
        <f>HYPERLINK("https://klasma.github.io/Logging_0512/kartor_geotiff/A 52667-2022 georefererad karta.tif", "A 52667-2022")</f>
        <v/>
      </c>
      <c r="AA19">
        <f>HYPERLINK("https://klasma.github.io/Logging_0512/klagomål/A 52667-2022 FSC-klagomål.docx", "A 52667-2022")</f>
        <v/>
      </c>
      <c r="AB19">
        <f>HYPERLINK("https://klasma.github.io/Logging_0512/klagomålsmail/A 52667-2022 FSC-klagomål mail.docx", "A 52667-2022")</f>
        <v/>
      </c>
      <c r="AC19">
        <f>HYPERLINK("https://klasma.github.io/Logging_0512/tillsyn/A 52667-2022 tillsynsbegäran.docx", "A 52667-2022")</f>
        <v/>
      </c>
      <c r="AD19">
        <f>HYPERLINK("https://klasma.github.io/Logging_0512/tillsynsmail/A 52667-2022 tillsynsbegäran mail.docx", "A 52667-2022")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46224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S 4815-2024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45614</v>
      </c>
      <c r="E21" s="1" t="n">
        <v>46224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0.5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Aspgelélav
Tibast</t>
        </is>
      </c>
      <c r="W21">
        <f>HYPERLINK("https://klasma.github.io/Logging_0512/artfynd/S 4815-2024 artfynd.xlsx", "S 4815-2024")</f>
        <v/>
      </c>
      <c r="X21">
        <f>HYPERLINK("https://klasma.github.io/Logging_0512/kartor/S 4815-2024 karta.png", "S 4815-2024")</f>
        <v/>
      </c>
      <c r="Y21">
        <f>HYPERLINK("https://klasma.github.io/Logging_0512/kartor_geotiff/S 4815-2024 georefererad karta.tif", "S 4815-2024")</f>
        <v/>
      </c>
      <c r="AA21">
        <f>HYPERLINK("https://klasma.github.io/Logging_0512/klagomål/S 4815-2024 FSC-klagomål.docx", "S 4815-2024")</f>
        <v/>
      </c>
      <c r="AB21">
        <f>HYPERLINK("https://klasma.github.io/Logging_0512/klagomålsmail/S 4815-2024 FSC-klagomål mail.docx", "S 4815-2024")</f>
        <v/>
      </c>
      <c r="AC21">
        <f>HYPERLINK("https://klasma.github.io/Logging_0512/tillsyn/S 4815-2024 tillsynsbegäran.docx", "S 4815-2024")</f>
        <v/>
      </c>
      <c r="AD21">
        <f>HYPERLINK("https://klasma.github.io/Logging_0512/tillsynsmail/S 4815-2024 tillsynsbegäran mail.docx", "S 4815-2024")</f>
        <v/>
      </c>
    </row>
    <row r="22" ht="15" customHeight="1">
      <c r="A22" t="inlineStr">
        <is>
          <t>S 2122-2025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45846</v>
      </c>
      <c r="E22" s="1" t="n">
        <v>46224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6.5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2</v>
      </c>
      <c r="V22" s="2" t="inlineStr">
        <is>
          <t>Gulnål
Stubbspretmossa</t>
        </is>
      </c>
      <c r="W22">
        <f>HYPERLINK("https://klasma.github.io/Logging_0512/artfynd/S 2122-2025 artfynd.xlsx", "S 2122-2025")</f>
        <v/>
      </c>
      <c r="X22">
        <f>HYPERLINK("https://klasma.github.io/Logging_0512/kartor/S 2122-2025 karta.png", "S 2122-2025")</f>
        <v/>
      </c>
      <c r="Y22">
        <f>HYPERLINK("https://klasma.github.io/Logging_0512/kartor_geotiff/S 2122-2025 georefererad karta.tif", "S 2122-2025")</f>
        <v/>
      </c>
      <c r="AA22">
        <f>HYPERLINK("https://klasma.github.io/Logging_0512/klagomål/S 2122-2025 FSC-klagomål.docx", "S 2122-2025")</f>
        <v/>
      </c>
      <c r="AB22">
        <f>HYPERLINK("https://klasma.github.io/Logging_0512/klagomålsmail/S 2122-2025 FSC-klagomål mail.docx", "S 2122-2025")</f>
        <v/>
      </c>
      <c r="AC22">
        <f>HYPERLINK("https://klasma.github.io/Logging_0512/tillsyn/S 2122-2025 tillsynsbegäran.docx", "S 2122-2025")</f>
        <v/>
      </c>
      <c r="AD22">
        <f>HYPERLINK("https://klasma.github.io/Logging_0512/tillsynsmail/S 2122-2025 tillsynsbegäran mail.docx", "S 2122-2025")</f>
        <v/>
      </c>
    </row>
    <row r="23" ht="15" customHeight="1">
      <c r="A23" t="inlineStr">
        <is>
          <t>A 53277-2021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44468</v>
      </c>
      <c r="E23" s="1" t="n">
        <v>46224</v>
      </c>
      <c r="F23" t="inlineStr">
        <is>
          <t>ÖSTERGÖTLANDS LÄN</t>
        </is>
      </c>
      <c r="G23" t="inlineStr">
        <is>
          <t>YDRE</t>
        </is>
      </c>
      <c r="H23" t="inlineStr">
        <is>
          <t>Sveaskog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HYPERLINK("https://klasma.github.io/Logging_0512/artfynd/A 53277-2021 artfynd.xlsx", "A 53277-2021")</f>
        <v/>
      </c>
      <c r="X23">
        <f>HYPERLINK("https://klasma.github.io/Logging_0512/kartor/A 53277-2021 karta.png", "A 53277-2021")</f>
        <v/>
      </c>
      <c r="Y23">
        <f>HYPERLINK("https://klasma.github.io/Logging_0512/kartor_geotiff/A 53277-2021 georefererad karta.tif", "A 53277-2021")</f>
        <v/>
      </c>
      <c r="AA23">
        <f>HYPERLINK("https://klasma.github.io/Logging_0512/klagomål/A 53277-2021 FSC-klagomål.docx", "A 53277-2021")</f>
        <v/>
      </c>
      <c r="AB23">
        <f>HYPERLINK("https://klasma.github.io/Logging_0512/klagomålsmail/A 53277-2021 FSC-klagomål mail.docx", "A 53277-2021")</f>
        <v/>
      </c>
      <c r="AC23">
        <f>HYPERLINK("https://klasma.github.io/Logging_0512/tillsyn/A 53277-2021 tillsynsbegäran.docx", "A 53277-2021")</f>
        <v/>
      </c>
      <c r="AD23">
        <f>HYPERLINK("https://klasma.github.io/Logging_0512/tillsynsmail/A 53277-2021 tillsynsbegäran mail.docx", "A 53277-2021")</f>
        <v/>
      </c>
    </row>
    <row r="24" ht="15" customHeight="1">
      <c r="A24" t="inlineStr">
        <is>
          <t>A 65337-2021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46224</v>
      </c>
      <c r="F24" t="inlineStr">
        <is>
          <t>ÖSTERGÖTLANDS LÄN</t>
        </is>
      </c>
      <c r="G24" t="inlineStr">
        <is>
          <t>YDRE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HYPERLINK("https://klasma.github.io/Logging_0512/artfynd/A 65337-2021 artfynd.xlsx", "A 65337-2021")</f>
        <v/>
      </c>
      <c r="X24">
        <f>HYPERLINK("https://klasma.github.io/Logging_0512/kartor/A 65337-2021 karta.png", "A 65337-2021")</f>
        <v/>
      </c>
      <c r="Y24">
        <f>HYPERLINK("https://klasma.github.io/Logging_0512/kartor_geotiff/A 65337-2021 georefererad karta.tif", "A 65337-2021")</f>
        <v/>
      </c>
      <c r="AA24">
        <f>HYPERLINK("https://klasma.github.io/Logging_0512/klagomål/A 65337-2021 FSC-klagomål.docx", "A 65337-2021")</f>
        <v/>
      </c>
      <c r="AB24">
        <f>HYPERLINK("https://klasma.github.io/Logging_0512/klagomålsmail/A 65337-2021 FSC-klagomål mail.docx", "A 65337-2021")</f>
        <v/>
      </c>
      <c r="AC24">
        <f>HYPERLINK("https://klasma.github.io/Logging_0512/tillsyn/A 65337-2021 tillsynsbegäran.docx", "A 65337-2021")</f>
        <v/>
      </c>
      <c r="AD24">
        <f>HYPERLINK("https://klasma.github.io/Logging_0512/tillsynsmail/A 65337-2021 tillsynsbegäran mail.docx", "A 65337-2021")</f>
        <v/>
      </c>
    </row>
    <row r="25" ht="15" customHeight="1">
      <c r="A25" t="inlineStr">
        <is>
          <t>A 48344-2022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44858</v>
      </c>
      <c r="E25" s="1" t="n">
        <v>46224</v>
      </c>
      <c r="F25" t="inlineStr">
        <is>
          <t>ÖSTERGÖTLANDS LÄN</t>
        </is>
      </c>
      <c r="G25" t="inlineStr">
        <is>
          <t>YDRE</t>
        </is>
      </c>
      <c r="H25" t="inlineStr">
        <is>
          <t>Övriga Aktiebolag</t>
        </is>
      </c>
      <c r="I25" t="n">
        <v>7.6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Gullklöver</t>
        </is>
      </c>
      <c r="W25">
        <f>HYPERLINK("https://klasma.github.io/Logging_0512/artfynd/A 48344-2022 artfynd.xlsx", "A 48344-2022")</f>
        <v/>
      </c>
      <c r="X25">
        <f>HYPERLINK("https://klasma.github.io/Logging_0512/kartor/A 48344-2022 karta.png", "A 48344-2022")</f>
        <v/>
      </c>
      <c r="Y25">
        <f>HYPERLINK("https://klasma.github.io/Logging_0512/kartor_geotiff/A 48344-2022 georefererad karta.tif", "A 48344-2022")</f>
        <v/>
      </c>
      <c r="AA25">
        <f>HYPERLINK("https://klasma.github.io/Logging_0512/klagomål/A 48344-2022 FSC-klagomål.docx", "A 48344-2022")</f>
        <v/>
      </c>
      <c r="AB25">
        <f>HYPERLINK("https://klasma.github.io/Logging_0512/klagomålsmail/A 48344-2022 FSC-klagomål mail.docx", "A 48344-2022")</f>
        <v/>
      </c>
      <c r="AC25">
        <f>HYPERLINK("https://klasma.github.io/Logging_0512/tillsyn/A 48344-2022 tillsynsbegäran.docx", "A 48344-2022")</f>
        <v/>
      </c>
      <c r="AD25">
        <f>HYPERLINK("https://klasma.github.io/Logging_0512/tillsynsmail/A 48344-2022 tillsynsbegäran mail.docx", "A 48344-2022")</f>
        <v/>
      </c>
    </row>
    <row r="26" ht="15" customHeight="1">
      <c r="A26" t="inlineStr">
        <is>
          <t>A 44503-2025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46224</v>
      </c>
      <c r="F26" t="inlineStr">
        <is>
          <t>ÖSTERGÖTLANDS LÄN</t>
        </is>
      </c>
      <c r="G26" t="inlineStr">
        <is>
          <t>YDRE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HYPERLINK("https://klasma.github.io/Logging_0512/artfynd/A 44503-2025 artfynd.xlsx", "A 44503-2025")</f>
        <v/>
      </c>
      <c r="X26">
        <f>HYPERLINK("https://klasma.github.io/Logging_0512/kartor/A 44503-2025 karta.png", "A 44503-2025")</f>
        <v/>
      </c>
      <c r="Y26">
        <f>HYPERLINK("https://klasma.github.io/Logging_0512/kartor_geotiff/A 44503-2025 georefererad karta.tif", "A 44503-2025")</f>
        <v/>
      </c>
      <c r="AA26">
        <f>HYPERLINK("https://klasma.github.io/Logging_0512/klagomål/A 44503-2025 FSC-klagomål.docx", "A 44503-2025")</f>
        <v/>
      </c>
      <c r="AB26">
        <f>HYPERLINK("https://klasma.github.io/Logging_0512/klagomålsmail/A 44503-2025 FSC-klagomål mail.docx", "A 44503-2025")</f>
        <v/>
      </c>
      <c r="AC26">
        <f>HYPERLINK("https://klasma.github.io/Logging_0512/tillsyn/A 44503-2025 tillsynsbegäran.docx", "A 44503-2025")</f>
        <v/>
      </c>
      <c r="AD26">
        <f>HYPERLINK("https://klasma.github.io/Logging_0512/tillsynsmail/A 44503-2025 tillsynsbegäran mail.docx", "A 44503-2025")</f>
        <v/>
      </c>
    </row>
    <row r="27" ht="15" customHeight="1">
      <c r="A27" t="inlineStr">
        <is>
          <t>A 45771-2025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45922</v>
      </c>
      <c r="E27" s="1" t="n">
        <v>46224</v>
      </c>
      <c r="F27" t="inlineStr">
        <is>
          <t>ÖSTERGÖTLANDS LÄN</t>
        </is>
      </c>
      <c r="G27" t="inlineStr">
        <is>
          <t>YDRE</t>
        </is>
      </c>
      <c r="I27" t="n">
        <v>4.5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Kattfotslav</t>
        </is>
      </c>
      <c r="W27">
        <f>HYPERLINK("https://klasma.github.io/Logging_0512/artfynd/A 45771-2025 artfynd.xlsx", "A 45771-2025")</f>
        <v/>
      </c>
      <c r="X27">
        <f>HYPERLINK("https://klasma.github.io/Logging_0512/kartor/A 45771-2025 karta.png", "A 45771-2025")</f>
        <v/>
      </c>
      <c r="Y27">
        <f>HYPERLINK("https://klasma.github.io/Logging_0512/kartor_geotiff/A 45771-2025 georefererad karta.tif", "A 45771-2025")</f>
        <v/>
      </c>
      <c r="AA27">
        <f>HYPERLINK("https://klasma.github.io/Logging_0512/klagomål/A 45771-2025 FSC-klagomål.docx", "A 45771-2025")</f>
        <v/>
      </c>
      <c r="AB27">
        <f>HYPERLINK("https://klasma.github.io/Logging_0512/klagomålsmail/A 45771-2025 FSC-klagomål mail.docx", "A 45771-2025")</f>
        <v/>
      </c>
      <c r="AC27">
        <f>HYPERLINK("https://klasma.github.io/Logging_0512/tillsyn/A 45771-2025 tillsynsbegäran.docx", "A 45771-2025")</f>
        <v/>
      </c>
      <c r="AD27">
        <f>HYPERLINK("https://klasma.github.io/Logging_0512/tillsynsmail/A 45771-2025 tillsynsbegäran mail.docx", "A 45771-2025")</f>
        <v/>
      </c>
    </row>
    <row r="28" ht="15" customHeight="1">
      <c r="A28" t="inlineStr">
        <is>
          <t>A 45815-2025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46224</v>
      </c>
      <c r="F28" t="inlineStr">
        <is>
          <t>ÖSTERGÖTLANDS LÄN</t>
        </is>
      </c>
      <c r="G28" t="inlineStr">
        <is>
          <t>YDRE</t>
        </is>
      </c>
      <c r="I28" t="n">
        <v>6.3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Gullpudra</t>
        </is>
      </c>
      <c r="W28">
        <f>HYPERLINK("https://klasma.github.io/Logging_0512/artfynd/A 45815-2025 artfynd.xlsx", "A 45815-2025")</f>
        <v/>
      </c>
      <c r="X28">
        <f>HYPERLINK("https://klasma.github.io/Logging_0512/kartor/A 45815-2025 karta.png", "A 45815-2025")</f>
        <v/>
      </c>
      <c r="Y28">
        <f>HYPERLINK("https://klasma.github.io/Logging_0512/kartor_geotiff/A 45815-2025 georefererad karta.tif", "A 45815-2025")</f>
        <v/>
      </c>
      <c r="AA28">
        <f>HYPERLINK("https://klasma.github.io/Logging_0512/klagomål/A 45815-2025 FSC-klagomål.docx", "A 45815-2025")</f>
        <v/>
      </c>
      <c r="AB28">
        <f>HYPERLINK("https://klasma.github.io/Logging_0512/klagomålsmail/A 45815-2025 FSC-klagomål mail.docx", "A 45815-2025")</f>
        <v/>
      </c>
      <c r="AC28">
        <f>HYPERLINK("https://klasma.github.io/Logging_0512/tillsyn/A 45815-2025 tillsynsbegäran.docx", "A 45815-2025")</f>
        <v/>
      </c>
      <c r="AD28">
        <f>HYPERLINK("https://klasma.github.io/Logging_0512/tillsynsmail/A 45815-2025 tillsynsbegäran mail.docx", "A 45815-2025")</f>
        <v/>
      </c>
    </row>
    <row r="29" ht="15" customHeight="1">
      <c r="A29" t="inlineStr">
        <is>
          <t>A 54520-2025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45965</v>
      </c>
      <c r="E29" s="1" t="n">
        <v>46224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HYPERLINK("https://klasma.github.io/Logging_0512/artfynd/A 54520-2025 artfynd.xlsx", "A 54520-2025")</f>
        <v/>
      </c>
      <c r="X29">
        <f>HYPERLINK("https://klasma.github.io/Logging_0512/kartor/A 54520-2025 karta.png", "A 54520-2025")</f>
        <v/>
      </c>
      <c r="Y29">
        <f>HYPERLINK("https://klasma.github.io/Logging_0512/kartor_geotiff/A 54520-2025 georefererad karta.tif", "A 54520-2025")</f>
        <v/>
      </c>
      <c r="AA29">
        <f>HYPERLINK("https://klasma.github.io/Logging_0512/klagomål/A 54520-2025 FSC-klagomål.docx", "A 54520-2025")</f>
        <v/>
      </c>
      <c r="AB29">
        <f>HYPERLINK("https://klasma.github.io/Logging_0512/klagomålsmail/A 54520-2025 FSC-klagomål mail.docx", "A 54520-2025")</f>
        <v/>
      </c>
      <c r="AC29">
        <f>HYPERLINK("https://klasma.github.io/Logging_0512/tillsyn/A 54520-2025 tillsynsbegäran.docx", "A 54520-2025")</f>
        <v/>
      </c>
      <c r="AD29">
        <f>HYPERLINK("https://klasma.github.io/Logging_0512/tillsynsmail/A 54520-2025 tillsynsbegäran mail.docx", "A 54520-2025")</f>
        <v/>
      </c>
      <c r="AE29">
        <f>HYPERLINK("https://klasma.github.io/Logging_0512/fåglar/A 54520-2025 prioriterade fågelarter.docx", "A 54520-2025")</f>
        <v/>
      </c>
    </row>
    <row r="30" ht="15" customHeight="1">
      <c r="A30" t="inlineStr">
        <is>
          <t>A 54075-2025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46224</v>
      </c>
      <c r="F30" t="inlineStr">
        <is>
          <t>ÖSTERGÖTLANDS LÄN</t>
        </is>
      </c>
      <c r="G30" t="inlineStr">
        <is>
          <t>YDRE</t>
        </is>
      </c>
      <c r="H30" t="inlineStr">
        <is>
          <t>Sveaskog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HYPERLINK("https://klasma.github.io/Logging_0512/artfynd/A 54075-2025 artfynd.xlsx", "A 54075-2025")</f>
        <v/>
      </c>
      <c r="X30">
        <f>HYPERLINK("https://klasma.github.io/Logging_0512/kartor/A 54075-2025 karta.png", "A 54075-2025")</f>
        <v/>
      </c>
      <c r="Y30">
        <f>HYPERLINK("https://klasma.github.io/Logging_0512/kartor_geotiff/A 54075-2025 georefererad karta.tif", "A 54075-2025")</f>
        <v/>
      </c>
      <c r="AA30">
        <f>HYPERLINK("https://klasma.github.io/Logging_0512/klagomål/A 54075-2025 FSC-klagomål.docx", "A 54075-2025")</f>
        <v/>
      </c>
      <c r="AB30">
        <f>HYPERLINK("https://klasma.github.io/Logging_0512/klagomålsmail/A 54075-2025 FSC-klagomål mail.docx", "A 54075-2025")</f>
        <v/>
      </c>
      <c r="AC30">
        <f>HYPERLINK("https://klasma.github.io/Logging_0512/tillsyn/A 54075-2025 tillsynsbegäran.docx", "A 54075-2025")</f>
        <v/>
      </c>
      <c r="AD30">
        <f>HYPERLINK("https://klasma.github.io/Logging_0512/tillsynsmail/A 54075-2025 tillsynsbegäran mail.docx", "A 54075-2025")</f>
        <v/>
      </c>
    </row>
    <row r="31" ht="15" customHeight="1">
      <c r="A31" t="inlineStr">
        <is>
          <t>A 4248-2026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46224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HYPERLINK("https://klasma.github.io/Logging_0512/artfynd/A 4248-2026 artfynd.xlsx", "A 4248-2026")</f>
        <v/>
      </c>
      <c r="X31">
        <f>HYPERLINK("https://klasma.github.io/Logging_0512/kartor/A 4248-2026 karta.png", "A 4248-2026")</f>
        <v/>
      </c>
      <c r="Y31">
        <f>HYPERLINK("https://klasma.github.io/Logging_0512/kartor_geotiff/A 4248-2026 georefererad karta.tif", "A 4248-2026")</f>
        <v/>
      </c>
      <c r="AA31">
        <f>HYPERLINK("https://klasma.github.io/Logging_0512/klagomål/A 4248-2026 FSC-klagomål.docx", "A 4248-2026")</f>
        <v/>
      </c>
      <c r="AB31">
        <f>HYPERLINK("https://klasma.github.io/Logging_0512/klagomålsmail/A 4248-2026 FSC-klagomål mail.docx", "A 4248-2026")</f>
        <v/>
      </c>
      <c r="AC31">
        <f>HYPERLINK("https://klasma.github.io/Logging_0512/tillsyn/A 4248-2026 tillsynsbegäran.docx", "A 4248-2026")</f>
        <v/>
      </c>
      <c r="AD31">
        <f>HYPERLINK("https://klasma.github.io/Logging_0512/tillsynsmail/A 4248-2026 tillsynsbegäran mail.docx", "A 4248-2026")</f>
        <v/>
      </c>
      <c r="AE31">
        <f>HYPERLINK("https://klasma.github.io/Logging_0512/fåglar/A 4248-2026 prioriterade fågelarter.docx", "A 4248-2026")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46224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53049-2024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45611</v>
      </c>
      <c r="E33" s="1" t="n">
        <v>46224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2.8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Mosippa</t>
        </is>
      </c>
      <c r="W33">
        <f>HYPERLINK("https://klasma.github.io/Logging_0512/artfynd/A 53049-2024 artfynd.xlsx", "A 53049-2024")</f>
        <v/>
      </c>
      <c r="X33">
        <f>HYPERLINK("https://klasma.github.io/Logging_0512/kartor/A 53049-2024 karta.png", "A 53049-2024")</f>
        <v/>
      </c>
      <c r="Y33">
        <f>HYPERLINK("https://klasma.github.io/Logging_0512/kartor_geotiff/A 53049-2024 georefererad karta.tif", "A 53049-2024")</f>
        <v/>
      </c>
      <c r="AA33">
        <f>HYPERLINK("https://klasma.github.io/Logging_0512/klagomål/A 53049-2024 FSC-klagomål.docx", "A 53049-2024")</f>
        <v/>
      </c>
      <c r="AB33">
        <f>HYPERLINK("https://klasma.github.io/Logging_0512/klagomålsmail/A 53049-2024 FSC-klagomål mail.docx", "A 53049-2024")</f>
        <v/>
      </c>
      <c r="AC33">
        <f>HYPERLINK("https://klasma.github.io/Logging_0512/tillsyn/A 53049-2024 tillsynsbegäran.docx", "A 53049-2024")</f>
        <v/>
      </c>
      <c r="AD33">
        <f>HYPERLINK("https://klasma.github.io/Logging_0512/tillsynsmail/A 53049-2024 tillsynsbegäran mail.docx", "A 53049-2024")</f>
        <v/>
      </c>
    </row>
    <row r="34" ht="15" customHeight="1">
      <c r="A34" t="inlineStr">
        <is>
          <t>A 11273-2024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45371</v>
      </c>
      <c r="E34" s="1" t="n">
        <v>46224</v>
      </c>
      <c r="F34" t="inlineStr">
        <is>
          <t>ÖSTERGÖTLANDS LÄN</t>
        </is>
      </c>
      <c r="G34" t="inlineStr">
        <is>
          <t>YDRE</t>
        </is>
      </c>
      <c r="I34" t="n">
        <v>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Lungrot</t>
        </is>
      </c>
      <c r="W34">
        <f>HYPERLINK("https://klasma.github.io/Logging_0512/artfynd/A 11273-2024 artfynd.xlsx", "A 11273-2024")</f>
        <v/>
      </c>
      <c r="X34">
        <f>HYPERLINK("https://klasma.github.io/Logging_0512/kartor/A 11273-2024 karta.png", "A 11273-2024")</f>
        <v/>
      </c>
      <c r="Y34">
        <f>HYPERLINK("https://klasma.github.io/Logging_0512/kartor_geotiff/A 11273-2024 georefererad karta.tif", "A 11273-2024")</f>
        <v/>
      </c>
      <c r="AA34">
        <f>HYPERLINK("https://klasma.github.io/Logging_0512/klagomål/A 11273-2024 FSC-klagomål.docx", "A 11273-2024")</f>
        <v/>
      </c>
      <c r="AB34">
        <f>HYPERLINK("https://klasma.github.io/Logging_0512/klagomålsmail/A 11273-2024 FSC-klagomål mail.docx", "A 11273-2024")</f>
        <v/>
      </c>
      <c r="AC34">
        <f>HYPERLINK("https://klasma.github.io/Logging_0512/tillsyn/A 11273-2024 tillsynsbegäran.docx", "A 11273-2024")</f>
        <v/>
      </c>
      <c r="AD34">
        <f>HYPERLINK("https://klasma.github.io/Logging_0512/tillsynsmail/A 11273-2024 tillsynsbegäran mail.docx", "A 11273-2024")</f>
        <v/>
      </c>
    </row>
    <row r="35" ht="15" customHeight="1">
      <c r="A35" t="inlineStr">
        <is>
          <t>A 9051-2026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46224</v>
      </c>
      <c r="F35" t="inlineStr">
        <is>
          <t>ÖSTERGÖTLANDS LÄN</t>
        </is>
      </c>
      <c r="G35" t="inlineStr">
        <is>
          <t>YDRE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Slåtterfibbla</t>
        </is>
      </c>
      <c r="W35">
        <f>HYPERLINK("https://klasma.github.io/Logging_0512/artfynd/A 9051-2026 artfynd.xlsx", "A 9051-2026")</f>
        <v/>
      </c>
      <c r="X35">
        <f>HYPERLINK("https://klasma.github.io/Logging_0512/kartor/A 9051-2026 karta.png", "A 9051-2026")</f>
        <v/>
      </c>
      <c r="Y35">
        <f>HYPERLINK("https://klasma.github.io/Logging_0512/kartor_geotiff/A 9051-2026 georefererad karta.tif", "A 9051-2026")</f>
        <v/>
      </c>
      <c r="AA35">
        <f>HYPERLINK("https://klasma.github.io/Logging_0512/klagomål/A 9051-2026 FSC-klagomål.docx", "A 9051-2026")</f>
        <v/>
      </c>
      <c r="AB35">
        <f>HYPERLINK("https://klasma.github.io/Logging_0512/klagomålsmail/A 9051-2026 FSC-klagomål mail.docx", "A 9051-2026")</f>
        <v/>
      </c>
      <c r="AC35">
        <f>HYPERLINK("https://klasma.github.io/Logging_0512/tillsyn/A 9051-2026 tillsynsbegäran.docx", "A 9051-2026")</f>
        <v/>
      </c>
      <c r="AD35">
        <f>HYPERLINK("https://klasma.github.io/Logging_0512/tillsynsmail/A 9051-2026 tillsynsbegäran mail.docx", "A 9051-2026")</f>
        <v/>
      </c>
    </row>
    <row r="36" ht="15" customHeight="1">
      <c r="A36" t="inlineStr">
        <is>
          <t>A 8923-2026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46224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HYPERLINK("https://klasma.github.io/Logging_0512/artfynd/A 8923-2026 artfynd.xlsx", "A 8923-2026")</f>
        <v/>
      </c>
      <c r="X36">
        <f>HYPERLINK("https://klasma.github.io/Logging_0512/kartor/A 8923-2026 karta.png", "A 8923-2026")</f>
        <v/>
      </c>
      <c r="Y36">
        <f>HYPERLINK("https://klasma.github.io/Logging_0512/kartor_geotiff/A 8923-2026 georefererad karta.tif", "A 8923-2026")</f>
        <v/>
      </c>
      <c r="AA36">
        <f>HYPERLINK("https://klasma.github.io/Logging_0512/klagomål/A 8923-2026 FSC-klagomål.docx", "A 8923-2026")</f>
        <v/>
      </c>
      <c r="AB36">
        <f>HYPERLINK("https://klasma.github.io/Logging_0512/klagomålsmail/A 8923-2026 FSC-klagomål mail.docx", "A 8923-2026")</f>
        <v/>
      </c>
      <c r="AC36">
        <f>HYPERLINK("https://klasma.github.io/Logging_0512/tillsyn/A 8923-2026 tillsynsbegäran.docx", "A 8923-2026")</f>
        <v/>
      </c>
      <c r="AD36">
        <f>HYPERLINK("https://klasma.github.io/Logging_0512/tillsynsmail/A 8923-2026 tillsynsbegäran mail.docx", "A 8923-2026")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46224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46224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46224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46224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46224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46224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46224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46224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46224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46224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46224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46224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46224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46224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46224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46224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46224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46224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46224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46224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46224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46224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46224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46224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46224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46224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46224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46224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46224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46224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46224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46224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46224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46224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46224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46224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46224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46224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46224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46224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46224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46224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46224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46224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46224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46224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46224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46224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46224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46224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46224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46224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45432</v>
      </c>
      <c r="E89" s="1" t="n">
        <v>46224</v>
      </c>
      <c r="F89" t="inlineStr">
        <is>
          <t>ÖSTERGÖTLANDS LÄN</t>
        </is>
      </c>
      <c r="G89" t="inlineStr">
        <is>
          <t>YDRE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46224</v>
      </c>
      <c r="F90" t="inlineStr">
        <is>
          <t>ÖSTERGÖTLANDS LÄN</t>
        </is>
      </c>
      <c r="G90" t="inlineStr">
        <is>
          <t>YDRE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55844-2021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44476</v>
      </c>
      <c r="E91" s="1" t="n">
        <v>46224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46224</v>
      </c>
      <c r="F92" t="inlineStr">
        <is>
          <t>ÖSTERGÖTLANDS LÄN</t>
        </is>
      </c>
      <c r="G92" t="inlineStr">
        <is>
          <t>YDRE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46224</v>
      </c>
      <c r="F93" t="inlineStr">
        <is>
          <t>ÖSTERGÖTLANDS LÄN</t>
        </is>
      </c>
      <c r="G93" t="inlineStr">
        <is>
          <t>YDRE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46224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71524-2021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46224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46224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38045-2024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45544</v>
      </c>
      <c r="E97" s="1" t="n">
        <v>46224</v>
      </c>
      <c r="F97" t="inlineStr">
        <is>
          <t>ÖSTERGÖTLANDS LÄN</t>
        </is>
      </c>
      <c r="G97" t="inlineStr">
        <is>
          <t>YDRE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45714</v>
      </c>
      <c r="E98" s="1" t="n">
        <v>46224</v>
      </c>
      <c r="F98" t="inlineStr">
        <is>
          <t>ÖSTERGÖTLANDS LÄN</t>
        </is>
      </c>
      <c r="G98" t="inlineStr">
        <is>
          <t>YDRE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45666</v>
      </c>
      <c r="E99" s="1" t="n">
        <v>46224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46224</v>
      </c>
      <c r="F100" t="inlineStr">
        <is>
          <t>ÖSTERGÖTLANDS LÄN</t>
        </is>
      </c>
      <c r="G100" t="inlineStr">
        <is>
          <t>YDRE</t>
        </is>
      </c>
      <c r="H100" t="inlineStr">
        <is>
          <t>Övriga Aktiebolag</t>
        </is>
      </c>
      <c r="I100" t="n">
        <v>18.2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27905-2024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45475</v>
      </c>
      <c r="E101" s="1" t="n">
        <v>46224</v>
      </c>
      <c r="F101" t="inlineStr">
        <is>
          <t>ÖSTERGÖTLANDS LÄN</t>
        </is>
      </c>
      <c r="G101" t="inlineStr">
        <is>
          <t>YDRE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45714</v>
      </c>
      <c r="E102" s="1" t="n">
        <v>46224</v>
      </c>
      <c r="F102" t="inlineStr">
        <is>
          <t>ÖSTERGÖTLANDS LÄN</t>
        </is>
      </c>
      <c r="G102" t="inlineStr">
        <is>
          <t>YDRE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62448-2025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46224</v>
      </c>
      <c r="F103" t="inlineStr">
        <is>
          <t>ÖSTERGÖTLANDS LÄN</t>
        </is>
      </c>
      <c r="G103" t="inlineStr">
        <is>
          <t>YDRE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46224</v>
      </c>
      <c r="F104" t="inlineStr">
        <is>
          <t>ÖSTERGÖTLANDS LÄN</t>
        </is>
      </c>
      <c r="G104" t="inlineStr">
        <is>
          <t>YDRE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62244-2025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46224</v>
      </c>
      <c r="F105" t="inlineStr">
        <is>
          <t>ÖSTERGÖTLANDS LÄN</t>
        </is>
      </c>
      <c r="G105" t="inlineStr">
        <is>
          <t>YDRE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46007</v>
      </c>
      <c r="E106" s="1" t="n">
        <v>46224</v>
      </c>
      <c r="F106" t="inlineStr">
        <is>
          <t>ÖSTERGÖTLANDS LÄN</t>
        </is>
      </c>
      <c r="G106" t="inlineStr">
        <is>
          <t>YDRE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46224</v>
      </c>
      <c r="F107" t="inlineStr">
        <is>
          <t>ÖSTERGÖTLANDS LÄN</t>
        </is>
      </c>
      <c r="G107" t="inlineStr">
        <is>
          <t>YDRE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46007</v>
      </c>
      <c r="E108" s="1" t="n">
        <v>46224</v>
      </c>
      <c r="F108" t="inlineStr">
        <is>
          <t>ÖSTERGÖTLANDS LÄN</t>
        </is>
      </c>
      <c r="G108" t="inlineStr">
        <is>
          <t>YDRE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46224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46224</v>
      </c>
      <c r="F110" t="inlineStr">
        <is>
          <t>ÖSTERGÖTLANDS LÄN</t>
        </is>
      </c>
      <c r="G110" t="inlineStr">
        <is>
          <t>YDRE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45138</v>
      </c>
      <c r="E111" s="1" t="n">
        <v>46224</v>
      </c>
      <c r="F111" t="inlineStr">
        <is>
          <t>ÖSTERGÖTLANDS LÄN</t>
        </is>
      </c>
      <c r="G111" t="inlineStr">
        <is>
          <t>YDRE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45796</v>
      </c>
      <c r="E112" s="1" t="n">
        <v>46224</v>
      </c>
      <c r="F112" t="inlineStr">
        <is>
          <t>ÖSTERGÖTLANDS LÄN</t>
        </is>
      </c>
      <c r="G112" t="inlineStr">
        <is>
          <t>YDRE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45796</v>
      </c>
      <c r="E113" s="1" t="n">
        <v>46224</v>
      </c>
      <c r="F113" t="inlineStr">
        <is>
          <t>ÖSTERGÖTLANDS LÄN</t>
        </is>
      </c>
      <c r="G113" t="inlineStr">
        <is>
          <t>YDRE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45726</v>
      </c>
      <c r="E114" s="1" t="n">
        <v>46224</v>
      </c>
      <c r="F114" t="inlineStr">
        <is>
          <t>ÖSTERGÖTLANDS LÄN</t>
        </is>
      </c>
      <c r="G114" t="inlineStr">
        <is>
          <t>YDRE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46224</v>
      </c>
      <c r="F115" t="inlineStr">
        <is>
          <t>ÖSTERGÖTLANDS LÄN</t>
        </is>
      </c>
      <c r="G115" t="inlineStr">
        <is>
          <t>YDRE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44283-2021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44435</v>
      </c>
      <c r="E116" s="1" t="n">
        <v>46224</v>
      </c>
      <c r="F116" t="inlineStr">
        <is>
          <t>ÖSTERGÖTLANDS LÄN</t>
        </is>
      </c>
      <c r="G116" t="inlineStr">
        <is>
          <t>YDRE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8088-2025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45707</v>
      </c>
      <c r="E117" s="1" t="n">
        <v>46224</v>
      </c>
      <c r="F117" t="inlineStr">
        <is>
          <t>ÖSTERGÖTLANDS LÄN</t>
        </is>
      </c>
      <c r="G117" t="inlineStr">
        <is>
          <t>YDRE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45355</v>
      </c>
      <c r="E118" s="1" t="n">
        <v>46224</v>
      </c>
      <c r="F118" t="inlineStr">
        <is>
          <t>ÖSTERGÖTLANDS LÄN</t>
        </is>
      </c>
      <c r="G118" t="inlineStr">
        <is>
          <t>YDRE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8611-2024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45355</v>
      </c>
      <c r="E119" s="1" t="n">
        <v>46224</v>
      </c>
      <c r="F119" t="inlineStr">
        <is>
          <t>ÖSTERGÖTLANDS LÄN</t>
        </is>
      </c>
      <c r="G119" t="inlineStr">
        <is>
          <t>YDRE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44796</v>
      </c>
      <c r="E120" s="1" t="n">
        <v>46224</v>
      </c>
      <c r="F120" t="inlineStr">
        <is>
          <t>ÖSTERGÖTLANDS LÄN</t>
        </is>
      </c>
      <c r="G120" t="inlineStr">
        <is>
          <t>YDRE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46224</v>
      </c>
      <c r="F121" t="inlineStr">
        <is>
          <t>ÖSTERGÖTLANDS LÄN</t>
        </is>
      </c>
      <c r="G121" t="inlineStr">
        <is>
          <t>YDRE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46224</v>
      </c>
      <c r="F122" t="inlineStr">
        <is>
          <t>ÖSTERGÖTLANDS LÄN</t>
        </is>
      </c>
      <c r="G122" t="inlineStr">
        <is>
          <t>YDRE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45666</v>
      </c>
      <c r="E123" s="1" t="n">
        <v>46224</v>
      </c>
      <c r="F123" t="inlineStr">
        <is>
          <t>ÖSTERGÖTLANDS LÄN</t>
        </is>
      </c>
      <c r="G123" t="inlineStr">
        <is>
          <t>YDRE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58831-2022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46224</v>
      </c>
      <c r="F124" t="inlineStr">
        <is>
          <t>ÖSTERGÖTLANDS LÄN</t>
        </is>
      </c>
      <c r="G124" t="inlineStr">
        <is>
          <t>YDRE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46224</v>
      </c>
      <c r="F125" t="inlineStr">
        <is>
          <t>ÖSTERGÖTLANDS LÄN</t>
        </is>
      </c>
      <c r="G125" t="inlineStr">
        <is>
          <t>YDRE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45231</v>
      </c>
      <c r="E126" s="1" t="n">
        <v>46224</v>
      </c>
      <c r="F126" t="inlineStr">
        <is>
          <t>ÖSTERGÖTLANDS LÄN</t>
        </is>
      </c>
      <c r="G126" t="inlineStr">
        <is>
          <t>YDRE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63232-2025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46224</v>
      </c>
      <c r="F127" t="inlineStr">
        <is>
          <t>ÖSTERGÖTLANDS LÄN</t>
        </is>
      </c>
      <c r="G127" t="inlineStr">
        <is>
          <t>YDRE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46224</v>
      </c>
      <c r="F128" t="inlineStr">
        <is>
          <t>ÖSTERGÖTLANDS LÄN</t>
        </is>
      </c>
      <c r="G128" t="inlineStr">
        <is>
          <t>YDRE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45891</v>
      </c>
      <c r="E129" s="1" t="n">
        <v>46224</v>
      </c>
      <c r="F129" t="inlineStr">
        <is>
          <t>ÖSTERGÖTLANDS LÄN</t>
        </is>
      </c>
      <c r="G129" t="inlineStr">
        <is>
          <t>YDRE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63538-2025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46224</v>
      </c>
      <c r="F130" t="inlineStr">
        <is>
          <t>ÖSTERGÖTLANDS LÄN</t>
        </is>
      </c>
      <c r="G130" t="inlineStr">
        <is>
          <t>YDRE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48742-2023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45208</v>
      </c>
      <c r="E131" s="1" t="n">
        <v>46224</v>
      </c>
      <c r="F131" t="inlineStr">
        <is>
          <t>ÖSTERGÖTLANDS LÄN</t>
        </is>
      </c>
      <c r="G131" t="inlineStr">
        <is>
          <t>YDRE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46224</v>
      </c>
      <c r="F132" t="inlineStr">
        <is>
          <t>ÖSTERGÖTLANDS LÄN</t>
        </is>
      </c>
      <c r="G132" t="inlineStr">
        <is>
          <t>YDRE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45701</v>
      </c>
      <c r="E133" s="1" t="n">
        <v>46224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46224</v>
      </c>
      <c r="F134" t="inlineStr">
        <is>
          <t>ÖSTERGÖTLANDS LÄN</t>
        </is>
      </c>
      <c r="G134" t="inlineStr">
        <is>
          <t>YDRE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63544-2025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46013</v>
      </c>
      <c r="E135" s="1" t="n">
        <v>46224</v>
      </c>
      <c r="F135" t="inlineStr">
        <is>
          <t>ÖSTERGÖTLANDS LÄN</t>
        </is>
      </c>
      <c r="G135" t="inlineStr">
        <is>
          <t>YDRE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49698-2024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45596</v>
      </c>
      <c r="E136" s="1" t="n">
        <v>46224</v>
      </c>
      <c r="F136" t="inlineStr">
        <is>
          <t>ÖSTERGÖTLANDS LÄN</t>
        </is>
      </c>
      <c r="G136" t="inlineStr">
        <is>
          <t>YDRE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63237-2025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46224</v>
      </c>
      <c r="F137" t="inlineStr">
        <is>
          <t>ÖSTERGÖTLANDS LÄN</t>
        </is>
      </c>
      <c r="G137" t="inlineStr">
        <is>
          <t>YDRE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46224</v>
      </c>
      <c r="F138" t="inlineStr">
        <is>
          <t>ÖSTERGÖTLANDS LÄN</t>
        </is>
      </c>
      <c r="G138" t="inlineStr">
        <is>
          <t>YDRE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46224</v>
      </c>
      <c r="F139" t="inlineStr">
        <is>
          <t>ÖSTERGÖTLANDS LÄN</t>
        </is>
      </c>
      <c r="G139" t="inlineStr">
        <is>
          <t>YDRE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46224</v>
      </c>
      <c r="F140" t="inlineStr">
        <is>
          <t>ÖSTERGÖTLANDS LÄN</t>
        </is>
      </c>
      <c r="G140" t="inlineStr">
        <is>
          <t>YDRE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63264-2025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46224</v>
      </c>
      <c r="F141" t="inlineStr">
        <is>
          <t>ÖSTERGÖTLANDS LÄN</t>
        </is>
      </c>
      <c r="G141" t="inlineStr">
        <is>
          <t>YDRE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46224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12.4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46224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43231-2025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45910</v>
      </c>
      <c r="E144" s="1" t="n">
        <v>46224</v>
      </c>
      <c r="F144" t="inlineStr">
        <is>
          <t>ÖSTERGÖTLANDS LÄN</t>
        </is>
      </c>
      <c r="G144" t="inlineStr">
        <is>
          <t>YDRE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45910</v>
      </c>
      <c r="E145" s="1" t="n">
        <v>46224</v>
      </c>
      <c r="F145" t="inlineStr">
        <is>
          <t>ÖSTERGÖTLANDS LÄN</t>
        </is>
      </c>
      <c r="G145" t="inlineStr">
        <is>
          <t>YDRE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46224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46224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46224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46224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46224</v>
      </c>
      <c r="F150" t="inlineStr">
        <is>
          <t>ÖSTERGÖTLANDS LÄN</t>
        </is>
      </c>
      <c r="G150" t="inlineStr">
        <is>
          <t>YDRE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17968-2024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45419</v>
      </c>
      <c r="E151" s="1" t="n">
        <v>46224</v>
      </c>
      <c r="F151" t="inlineStr">
        <is>
          <t>ÖSTERGÖTLANDS LÄN</t>
        </is>
      </c>
      <c r="G151" t="inlineStr">
        <is>
          <t>YDRE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45821</v>
      </c>
      <c r="E152" s="1" t="n">
        <v>46224</v>
      </c>
      <c r="F152" t="inlineStr">
        <is>
          <t>ÖSTERGÖTLANDS LÄN</t>
        </is>
      </c>
      <c r="G152" t="inlineStr">
        <is>
          <t>YDRE</t>
        </is>
      </c>
      <c r="H152" t="inlineStr">
        <is>
          <t>Kyrkan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45922</v>
      </c>
      <c r="E153" s="1" t="n">
        <v>46224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46021</v>
      </c>
      <c r="E154" s="1" t="n">
        <v>46224</v>
      </c>
      <c r="F154" t="inlineStr">
        <is>
          <t>ÖSTERGÖTLANDS LÄN</t>
        </is>
      </c>
      <c r="G154" t="inlineStr">
        <is>
          <t>YDRE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45924</v>
      </c>
      <c r="E155" s="1" t="n">
        <v>46224</v>
      </c>
      <c r="F155" t="inlineStr">
        <is>
          <t>ÖSTERGÖTLANDS LÄN</t>
        </is>
      </c>
      <c r="G155" t="inlineStr">
        <is>
          <t>YDRE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46224</v>
      </c>
      <c r="F156" t="inlineStr">
        <is>
          <t>ÖSTERGÖTLANDS LÄN</t>
        </is>
      </c>
      <c r="G156" t="inlineStr">
        <is>
          <t>YDRE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46086-2025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45924</v>
      </c>
      <c r="E157" s="1" t="n">
        <v>46224</v>
      </c>
      <c r="F157" t="inlineStr">
        <is>
          <t>ÖSTERGÖTLANDS LÄN</t>
        </is>
      </c>
      <c r="G157" t="inlineStr">
        <is>
          <t>YDRE</t>
        </is>
      </c>
      <c r="H157" t="inlineStr">
        <is>
          <t>Övriga Aktiebolag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45278</v>
      </c>
      <c r="E158" s="1" t="n">
        <v>46224</v>
      </c>
      <c r="F158" t="inlineStr">
        <is>
          <t>ÖSTERGÖTLANDS LÄN</t>
        </is>
      </c>
      <c r="G158" t="inlineStr">
        <is>
          <t>YDRE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30759-2025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46224</v>
      </c>
      <c r="F159" t="inlineStr">
        <is>
          <t>ÖSTERGÖTLANDS LÄN</t>
        </is>
      </c>
      <c r="G159" t="inlineStr">
        <is>
          <t>YDRE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46224</v>
      </c>
      <c r="F160" t="inlineStr">
        <is>
          <t>ÖSTERGÖTLANDS LÄN</t>
        </is>
      </c>
      <c r="G160" t="inlineStr">
        <is>
          <t>YDRE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46224</v>
      </c>
      <c r="F161" t="inlineStr">
        <is>
          <t>ÖSTERGÖTLANDS LÄN</t>
        </is>
      </c>
      <c r="G161" t="inlineStr">
        <is>
          <t>YDRE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46224</v>
      </c>
      <c r="F162" t="inlineStr">
        <is>
          <t>ÖSTERGÖTLANDS LÄN</t>
        </is>
      </c>
      <c r="G162" t="inlineStr">
        <is>
          <t>YDRE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46224</v>
      </c>
      <c r="F163" t="inlineStr">
        <is>
          <t>ÖSTERGÖTLANDS LÄN</t>
        </is>
      </c>
      <c r="G163" t="inlineStr">
        <is>
          <t>YDRE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46224</v>
      </c>
      <c r="F164" t="inlineStr">
        <is>
          <t>ÖSTERGÖTLANDS LÄN</t>
        </is>
      </c>
      <c r="G164" t="inlineStr">
        <is>
          <t>YDRE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46224</v>
      </c>
      <c r="F165" t="inlineStr">
        <is>
          <t>ÖSTERGÖTLANDS LÄN</t>
        </is>
      </c>
      <c r="G165" t="inlineStr">
        <is>
          <t>YDRE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46224</v>
      </c>
      <c r="F166" t="inlineStr">
        <is>
          <t>ÖSTERGÖTLANDS LÄN</t>
        </is>
      </c>
      <c r="G166" t="inlineStr">
        <is>
          <t>YDRE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46224</v>
      </c>
      <c r="F167" t="inlineStr">
        <is>
          <t>ÖSTERGÖTLANDS LÄN</t>
        </is>
      </c>
      <c r="G167" t="inlineStr">
        <is>
          <t>YDRE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46224</v>
      </c>
      <c r="F168" t="inlineStr">
        <is>
          <t>ÖSTERGÖTLANDS LÄN</t>
        </is>
      </c>
      <c r="G168" t="inlineStr">
        <is>
          <t>YDRE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45931</v>
      </c>
      <c r="E169" s="1" t="n">
        <v>46224</v>
      </c>
      <c r="F169" t="inlineStr">
        <is>
          <t>ÖSTERGÖTLANDS LÄN</t>
        </is>
      </c>
      <c r="G169" t="inlineStr">
        <is>
          <t>YDRE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46224</v>
      </c>
      <c r="F170" t="inlineStr">
        <is>
          <t>ÖSTERGÖTLANDS LÄN</t>
        </is>
      </c>
      <c r="G170" t="inlineStr">
        <is>
          <t>YDRE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45932</v>
      </c>
      <c r="E171" s="1" t="n">
        <v>46224</v>
      </c>
      <c r="F171" t="inlineStr">
        <is>
          <t>ÖSTERGÖTLANDS LÄN</t>
        </is>
      </c>
      <c r="G171" t="inlineStr">
        <is>
          <t>YDRE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46224</v>
      </c>
      <c r="F172" t="inlineStr">
        <is>
          <t>ÖSTERGÖTLANDS LÄN</t>
        </is>
      </c>
      <c r="G172" t="inlineStr">
        <is>
          <t>YDRE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62815-2021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46224</v>
      </c>
      <c r="F173" t="inlineStr">
        <is>
          <t>ÖSTERGÖTLANDS LÄN</t>
        </is>
      </c>
      <c r="G173" t="inlineStr">
        <is>
          <t>YDRE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45000</v>
      </c>
      <c r="E174" s="1" t="n">
        <v>46224</v>
      </c>
      <c r="F174" t="inlineStr">
        <is>
          <t>ÖSTERGÖTLANDS LÄN</t>
        </is>
      </c>
      <c r="G174" t="inlineStr">
        <is>
          <t>YDRE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45355</v>
      </c>
      <c r="E175" s="1" t="n">
        <v>46224</v>
      </c>
      <c r="F175" t="inlineStr">
        <is>
          <t>ÖSTERGÖTLANDS LÄN</t>
        </is>
      </c>
      <c r="G175" t="inlineStr">
        <is>
          <t>YDRE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17309-2024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45414</v>
      </c>
      <c r="E176" s="1" t="n">
        <v>46224</v>
      </c>
      <c r="F176" t="inlineStr">
        <is>
          <t>ÖSTERGÖTLANDS LÄN</t>
        </is>
      </c>
      <c r="G176" t="inlineStr">
        <is>
          <t>YDRE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32635-2025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45838</v>
      </c>
      <c r="E177" s="1" t="n">
        <v>46224</v>
      </c>
      <c r="F177" t="inlineStr">
        <is>
          <t>ÖSTERGÖTLANDS LÄN</t>
        </is>
      </c>
      <c r="G177" t="inlineStr">
        <is>
          <t>YDRE</t>
        </is>
      </c>
      <c r="H177" t="inlineStr">
        <is>
          <t>Övriga Aktiebolag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46224</v>
      </c>
      <c r="F178" t="inlineStr">
        <is>
          <t>ÖSTERGÖTLANDS LÄN</t>
        </is>
      </c>
      <c r="G178" t="inlineStr">
        <is>
          <t>YDRE</t>
        </is>
      </c>
      <c r="H178" t="inlineStr">
        <is>
          <t>Övriga Aktiebolag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45938</v>
      </c>
      <c r="E179" s="1" t="n">
        <v>46224</v>
      </c>
      <c r="F179" t="inlineStr">
        <is>
          <t>ÖSTERGÖTLANDS LÄN</t>
        </is>
      </c>
      <c r="G179" t="inlineStr">
        <is>
          <t>YDRE</t>
        </is>
      </c>
      <c r="H179" t="inlineStr">
        <is>
          <t>Övriga Aktiebolag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45938</v>
      </c>
      <c r="E180" s="1" t="n">
        <v>46224</v>
      </c>
      <c r="F180" t="inlineStr">
        <is>
          <t>ÖSTERGÖTLANDS LÄN</t>
        </is>
      </c>
      <c r="G180" t="inlineStr">
        <is>
          <t>YDRE</t>
        </is>
      </c>
      <c r="H180" t="inlineStr">
        <is>
          <t>Övriga Aktiebolag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46224</v>
      </c>
      <c r="F181" t="inlineStr">
        <is>
          <t>ÖSTERGÖTLANDS LÄN</t>
        </is>
      </c>
      <c r="G181" t="inlineStr">
        <is>
          <t>YDRE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46224</v>
      </c>
      <c r="F182" t="inlineStr">
        <is>
          <t>ÖSTERGÖTLANDS LÄN</t>
        </is>
      </c>
      <c r="G182" t="inlineStr">
        <is>
          <t>YDRE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46224</v>
      </c>
      <c r="F183" t="inlineStr">
        <is>
          <t>ÖSTERGÖTLANDS LÄN</t>
        </is>
      </c>
      <c r="G183" t="inlineStr">
        <is>
          <t>YDRE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45810</v>
      </c>
      <c r="E184" s="1" t="n">
        <v>46224</v>
      </c>
      <c r="F184" t="inlineStr">
        <is>
          <t>ÖSTERGÖTLANDS LÄN</t>
        </is>
      </c>
      <c r="G184" t="inlineStr">
        <is>
          <t>YDRE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46224</v>
      </c>
      <c r="F185" t="inlineStr">
        <is>
          <t>ÖSTERGÖTLANDS LÄN</t>
        </is>
      </c>
      <c r="G185" t="inlineStr">
        <is>
          <t>YDRE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45940</v>
      </c>
      <c r="E186" s="1" t="n">
        <v>46224</v>
      </c>
      <c r="F186" t="inlineStr">
        <is>
          <t>ÖSTERGÖTLANDS LÄN</t>
        </is>
      </c>
      <c r="G186" t="inlineStr">
        <is>
          <t>YDRE</t>
        </is>
      </c>
      <c r="H186" t="inlineStr">
        <is>
          <t>Kyrkan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45940</v>
      </c>
      <c r="E187" s="1" t="n">
        <v>46224</v>
      </c>
      <c r="F187" t="inlineStr">
        <is>
          <t>ÖSTERGÖTLANDS LÄN</t>
        </is>
      </c>
      <c r="G187" t="inlineStr">
        <is>
          <t>YDRE</t>
        </is>
      </c>
      <c r="H187" t="inlineStr">
        <is>
          <t>Kyrkan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44447</v>
      </c>
      <c r="E188" s="1" t="n">
        <v>46224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62485-2021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46224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44980</v>
      </c>
      <c r="E190" s="1" t="n">
        <v>46224</v>
      </c>
      <c r="F190" t="inlineStr">
        <is>
          <t>ÖSTERGÖTLANDS LÄN</t>
        </is>
      </c>
      <c r="G190" t="inlineStr">
        <is>
          <t>YDRE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46224</v>
      </c>
      <c r="F191" t="inlineStr">
        <is>
          <t>ÖSTERGÖTLANDS LÄN</t>
        </is>
      </c>
      <c r="G191" t="inlineStr">
        <is>
          <t>YDRE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46224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46224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42343-2022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44831</v>
      </c>
      <c r="E194" s="1" t="n">
        <v>46224</v>
      </c>
      <c r="F194" t="inlineStr">
        <is>
          <t>ÖSTERGÖTLANDS LÄN</t>
        </is>
      </c>
      <c r="G194" t="inlineStr">
        <is>
          <t>YDRE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27737-2022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44743</v>
      </c>
      <c r="E195" s="1" t="n">
        <v>46224</v>
      </c>
      <c r="F195" t="inlineStr">
        <is>
          <t>ÖSTERGÖTLANDS LÄN</t>
        </is>
      </c>
      <c r="G195" t="inlineStr">
        <is>
          <t>YDRE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28991-2022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44749</v>
      </c>
      <c r="E196" s="1" t="n">
        <v>46224</v>
      </c>
      <c r="F196" t="inlineStr">
        <is>
          <t>ÖSTERGÖTLANDS LÄN</t>
        </is>
      </c>
      <c r="G196" t="inlineStr">
        <is>
          <t>YDRE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39903-2021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44417</v>
      </c>
      <c r="E197" s="1" t="n">
        <v>46224</v>
      </c>
      <c r="F197" t="inlineStr">
        <is>
          <t>ÖSTERGÖTLANDS LÄN</t>
        </is>
      </c>
      <c r="G197" t="inlineStr">
        <is>
          <t>YDRE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44417</v>
      </c>
      <c r="E198" s="1" t="n">
        <v>46224</v>
      </c>
      <c r="F198" t="inlineStr">
        <is>
          <t>ÖSTERGÖTLANDS LÄN</t>
        </is>
      </c>
      <c r="G198" t="inlineStr">
        <is>
          <t>YDRE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46224</v>
      </c>
      <c r="F199" t="inlineStr">
        <is>
          <t>ÖSTERGÖTLANDS LÄN</t>
        </is>
      </c>
      <c r="G199" t="inlineStr">
        <is>
          <t>YDRE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45218</v>
      </c>
      <c r="E200" s="1" t="n">
        <v>46224</v>
      </c>
      <c r="F200" t="inlineStr">
        <is>
          <t>ÖSTERGÖTLANDS LÄN</t>
        </is>
      </c>
      <c r="G200" t="inlineStr">
        <is>
          <t>YDRE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32016-2024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45510</v>
      </c>
      <c r="E201" s="1" t="n">
        <v>46224</v>
      </c>
      <c r="F201" t="inlineStr">
        <is>
          <t>ÖSTERGÖTLANDS LÄN</t>
        </is>
      </c>
      <c r="G201" t="inlineStr">
        <is>
          <t>YDRE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46224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46224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46224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46224</v>
      </c>
      <c r="F205" t="inlineStr">
        <is>
          <t>ÖSTERGÖTLANDS LÄN</t>
        </is>
      </c>
      <c r="G205" t="inlineStr">
        <is>
          <t>YDRE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46224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46224</v>
      </c>
      <c r="F207" t="inlineStr">
        <is>
          <t>ÖSTERGÖTLANDS LÄN</t>
        </is>
      </c>
      <c r="G207" t="inlineStr">
        <is>
          <t>YDRE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46224</v>
      </c>
      <c r="F208" t="inlineStr">
        <is>
          <t>ÖSTERGÖTLANDS LÄN</t>
        </is>
      </c>
      <c r="G208" t="inlineStr">
        <is>
          <t>YDRE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45216</v>
      </c>
      <c r="E209" s="1" t="n">
        <v>46224</v>
      </c>
      <c r="F209" t="inlineStr">
        <is>
          <t>ÖSTERGÖTLANDS LÄN</t>
        </is>
      </c>
      <c r="G209" t="inlineStr">
        <is>
          <t>YDRE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46224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46224</v>
      </c>
      <c r="F211" t="inlineStr">
        <is>
          <t>ÖSTERGÖTLANDS LÄN</t>
        </is>
      </c>
      <c r="G211" t="inlineStr">
        <is>
          <t>YDRE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46224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45964</v>
      </c>
      <c r="E213" s="1" t="n">
        <v>46224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45964</v>
      </c>
      <c r="E214" s="1" t="n">
        <v>46224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45194</v>
      </c>
      <c r="E215" s="1" t="n">
        <v>46224</v>
      </c>
      <c r="F215" t="inlineStr">
        <is>
          <t>ÖSTERGÖTLANDS LÄN</t>
        </is>
      </c>
      <c r="G215" t="inlineStr">
        <is>
          <t>YDRE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45666</v>
      </c>
      <c r="E216" s="1" t="n">
        <v>46224</v>
      </c>
      <c r="F216" t="inlineStr">
        <is>
          <t>ÖSTERGÖTLANDS LÄN</t>
        </is>
      </c>
      <c r="G216" t="inlineStr">
        <is>
          <t>YDRE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32050-2023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45119</v>
      </c>
      <c r="E217" s="1" t="n">
        <v>46224</v>
      </c>
      <c r="F217" t="inlineStr">
        <is>
          <t>ÖSTERGÖTLANDS LÄN</t>
        </is>
      </c>
      <c r="G217" t="inlineStr">
        <is>
          <t>YDRE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44966</v>
      </c>
      <c r="E218" s="1" t="n">
        <v>46224</v>
      </c>
      <c r="F218" t="inlineStr">
        <is>
          <t>ÖSTERGÖTLANDS LÄN</t>
        </is>
      </c>
      <c r="G218" t="inlineStr">
        <is>
          <t>YDRE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46224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46224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44939</v>
      </c>
      <c r="E221" s="1" t="n">
        <v>46224</v>
      </c>
      <c r="F221" t="inlineStr">
        <is>
          <t>ÖSTERGÖTLANDS LÄN</t>
        </is>
      </c>
      <c r="G221" t="inlineStr">
        <is>
          <t>YDRE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46224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44980</v>
      </c>
      <c r="E223" s="1" t="n">
        <v>46224</v>
      </c>
      <c r="F223" t="inlineStr">
        <is>
          <t>ÖSTERGÖTLANDS LÄN</t>
        </is>
      </c>
      <c r="G223" t="inlineStr">
        <is>
          <t>YDRE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46224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56606-2021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44480</v>
      </c>
      <c r="E225" s="1" t="n">
        <v>46224</v>
      </c>
      <c r="F225" t="inlineStr">
        <is>
          <t>ÖSTERGÖTLANDS LÄN</t>
        </is>
      </c>
      <c r="G225" t="inlineStr">
        <is>
          <t>YDRE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46224</v>
      </c>
      <c r="F226" t="inlineStr">
        <is>
          <t>ÖSTERGÖTLANDS LÄN</t>
        </is>
      </c>
      <c r="G226" t="inlineStr">
        <is>
          <t>YDRE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46224</v>
      </c>
      <c r="F227" t="inlineStr">
        <is>
          <t>ÖSTERGÖTLANDS LÄN</t>
        </is>
      </c>
      <c r="G227" t="inlineStr">
        <is>
          <t>YDRE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46224</v>
      </c>
      <c r="F228" t="inlineStr">
        <is>
          <t>ÖSTERGÖTLANDS LÄN</t>
        </is>
      </c>
      <c r="G228" t="inlineStr">
        <is>
          <t>YDRE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44576</v>
      </c>
      <c r="E229" s="1" t="n">
        <v>46224</v>
      </c>
      <c r="F229" t="inlineStr">
        <is>
          <t>ÖSTERGÖTLANDS LÄN</t>
        </is>
      </c>
      <c r="G229" t="inlineStr">
        <is>
          <t>YDRE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46224</v>
      </c>
      <c r="F230" t="inlineStr">
        <is>
          <t>ÖSTERGÖTLANDS LÄN</t>
        </is>
      </c>
      <c r="G230" t="inlineStr">
        <is>
          <t>YDRE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44994</v>
      </c>
      <c r="E231" s="1" t="n">
        <v>46224</v>
      </c>
      <c r="F231" t="inlineStr">
        <is>
          <t>ÖSTERGÖTLANDS LÄN</t>
        </is>
      </c>
      <c r="G231" t="inlineStr">
        <is>
          <t>YDRE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46224</v>
      </c>
      <c r="F232" t="inlineStr">
        <is>
          <t>ÖSTERGÖTLANDS LÄN</t>
        </is>
      </c>
      <c r="G232" t="inlineStr">
        <is>
          <t>YDRE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11902-2022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44635</v>
      </c>
      <c r="E233" s="1" t="n">
        <v>46224</v>
      </c>
      <c r="F233" t="inlineStr">
        <is>
          <t>ÖSTERGÖTLANDS LÄN</t>
        </is>
      </c>
      <c r="G233" t="inlineStr">
        <is>
          <t>YDRE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45575</v>
      </c>
      <c r="E234" s="1" t="n">
        <v>46224</v>
      </c>
      <c r="F234" t="inlineStr">
        <is>
          <t>ÖSTERGÖTLANDS LÄN</t>
        </is>
      </c>
      <c r="G234" t="inlineStr">
        <is>
          <t>YDRE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44789</v>
      </c>
      <c r="E235" s="1" t="n">
        <v>46224</v>
      </c>
      <c r="F235" t="inlineStr">
        <is>
          <t>ÖSTERGÖTLANDS LÄN</t>
        </is>
      </c>
      <c r="G235" t="inlineStr">
        <is>
          <t>YDRE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46224</v>
      </c>
      <c r="F236" t="inlineStr">
        <is>
          <t>ÖSTERGÖTLANDS LÄN</t>
        </is>
      </c>
      <c r="G236" t="inlineStr">
        <is>
          <t>YDRE</t>
        </is>
      </c>
      <c r="H236" t="inlineStr">
        <is>
          <t>Övriga Aktiebolag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46224</v>
      </c>
      <c r="F237" t="inlineStr">
        <is>
          <t>ÖSTERGÖTLANDS LÄN</t>
        </is>
      </c>
      <c r="G237" t="inlineStr">
        <is>
          <t>YDRE</t>
        </is>
      </c>
      <c r="H237" t="inlineStr">
        <is>
          <t>Övriga Aktiebolag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46045</v>
      </c>
      <c r="E238" s="1" t="n">
        <v>46224</v>
      </c>
      <c r="F238" t="inlineStr">
        <is>
          <t>ÖSTERGÖTLANDS LÄN</t>
        </is>
      </c>
      <c r="G238" t="inlineStr">
        <is>
          <t>YDRE</t>
        </is>
      </c>
      <c r="H238" t="inlineStr">
        <is>
          <t>Sveaskog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46045</v>
      </c>
      <c r="E239" s="1" t="n">
        <v>46224</v>
      </c>
      <c r="F239" t="inlineStr">
        <is>
          <t>ÖSTERGÖTLANDS LÄN</t>
        </is>
      </c>
      <c r="G239" t="inlineStr">
        <is>
          <t>YDRE</t>
        </is>
      </c>
      <c r="H239" t="inlineStr">
        <is>
          <t>Sveaskog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46224</v>
      </c>
      <c r="F240" t="inlineStr">
        <is>
          <t>ÖSTERGÖTLANDS LÄN</t>
        </is>
      </c>
      <c r="G240" t="inlineStr">
        <is>
          <t>YDRE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59812-2022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46224</v>
      </c>
      <c r="F241" t="inlineStr">
        <is>
          <t>ÖSTERGÖTLANDS LÄN</t>
        </is>
      </c>
      <c r="G241" t="inlineStr">
        <is>
          <t>YDRE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36711-2023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45153</v>
      </c>
      <c r="E242" s="1" t="n">
        <v>46224</v>
      </c>
      <c r="F242" t="inlineStr">
        <is>
          <t>ÖSTERGÖTLANDS LÄN</t>
        </is>
      </c>
      <c r="G242" t="inlineStr">
        <is>
          <t>YDRE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46224</v>
      </c>
      <c r="F243" t="inlineStr">
        <is>
          <t>ÖSTERGÖTLANDS LÄN</t>
        </is>
      </c>
      <c r="G243" t="inlineStr">
        <is>
          <t>YDRE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46224</v>
      </c>
      <c r="F244" t="inlineStr">
        <is>
          <t>ÖSTERGÖTLANDS LÄN</t>
        </is>
      </c>
      <c r="G244" t="inlineStr">
        <is>
          <t>YDRE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6293-2026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46055</v>
      </c>
      <c r="E245" s="1" t="n">
        <v>46224</v>
      </c>
      <c r="F245" t="inlineStr">
        <is>
          <t>ÖSTERGÖTLANDS LÄN</t>
        </is>
      </c>
      <c r="G245" t="inlineStr">
        <is>
          <t>YDRE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46224</v>
      </c>
      <c r="F246" t="inlineStr">
        <is>
          <t>ÖSTERGÖTLANDS LÄN</t>
        </is>
      </c>
      <c r="G246" t="inlineStr">
        <is>
          <t>YDRE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45647</v>
      </c>
      <c r="E247" s="1" t="n">
        <v>46224</v>
      </c>
      <c r="F247" t="inlineStr">
        <is>
          <t>ÖSTERGÖTLANDS LÄN</t>
        </is>
      </c>
      <c r="G247" t="inlineStr">
        <is>
          <t>YDRE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46062</v>
      </c>
      <c r="E248" s="1" t="n">
        <v>46224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7641-2026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46062</v>
      </c>
      <c r="E249" s="1" t="n">
        <v>46224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58413-2024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45634</v>
      </c>
      <c r="E250" s="1" t="n">
        <v>46224</v>
      </c>
      <c r="F250" t="inlineStr">
        <is>
          <t>ÖSTERGÖTLANDS LÄN</t>
        </is>
      </c>
      <c r="G250" t="inlineStr">
        <is>
          <t>YDRE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46062</v>
      </c>
      <c r="E251" s="1" t="n">
        <v>46224</v>
      </c>
      <c r="F251" t="inlineStr">
        <is>
          <t>ÖSTERGÖTLANDS LÄN</t>
        </is>
      </c>
      <c r="G251" t="inlineStr">
        <is>
          <t>YDRE</t>
        </is>
      </c>
      <c r="H251" t="inlineStr">
        <is>
          <t>Övriga Aktiebolag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45406</v>
      </c>
      <c r="E252" s="1" t="n">
        <v>46224</v>
      </c>
      <c r="F252" t="inlineStr">
        <is>
          <t>ÖSTERGÖTLANDS LÄN</t>
        </is>
      </c>
      <c r="G252" t="inlineStr">
        <is>
          <t>YDRE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9026-2026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46224</v>
      </c>
      <c r="F253" t="inlineStr">
        <is>
          <t>ÖSTERGÖTLANDS LÄN</t>
        </is>
      </c>
      <c r="G253" t="inlineStr">
        <is>
          <t>YDRE</t>
        </is>
      </c>
      <c r="H253" t="inlineStr">
        <is>
          <t>Övriga Aktiebolag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46069</v>
      </c>
      <c r="E254" s="1" t="n">
        <v>46224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9054-2026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46069</v>
      </c>
      <c r="E255" s="1" t="n">
        <v>46224</v>
      </c>
      <c r="F255" t="inlineStr">
        <is>
          <t>ÖSTERGÖTLANDS LÄN</t>
        </is>
      </c>
      <c r="G255" t="inlineStr">
        <is>
          <t>YDRE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45460</v>
      </c>
      <c r="E256" s="1" t="n">
        <v>46224</v>
      </c>
      <c r="F256" t="inlineStr">
        <is>
          <t>ÖSTERGÖTLANDS LÄN</t>
        </is>
      </c>
      <c r="G256" t="inlineStr">
        <is>
          <t>YDRE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45096</v>
      </c>
      <c r="E257" s="1" t="n">
        <v>46224</v>
      </c>
      <c r="F257" t="inlineStr">
        <is>
          <t>ÖSTERGÖTLANDS LÄN</t>
        </is>
      </c>
      <c r="G257" t="inlineStr">
        <is>
          <t>YDRE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63242-2023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45273</v>
      </c>
      <c r="E258" s="1" t="n">
        <v>46224</v>
      </c>
      <c r="F258" t="inlineStr">
        <is>
          <t>ÖSTERGÖTLANDS LÄN</t>
        </is>
      </c>
      <c r="G258" t="inlineStr">
        <is>
          <t>YDRE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44953</v>
      </c>
      <c r="E259" s="1" t="n">
        <v>46224</v>
      </c>
      <c r="F259" t="inlineStr">
        <is>
          <t>ÖSTERGÖTLANDS LÄN</t>
        </is>
      </c>
      <c r="G259" t="inlineStr">
        <is>
          <t>YDRE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46224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44600</v>
      </c>
      <c r="E261" s="1" t="n">
        <v>46224</v>
      </c>
      <c r="F261" t="inlineStr">
        <is>
          <t>ÖSTERGÖTLANDS LÄN</t>
        </is>
      </c>
      <c r="G261" t="inlineStr">
        <is>
          <t>YDRE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56900-2022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44894</v>
      </c>
      <c r="E262" s="1" t="n">
        <v>46224</v>
      </c>
      <c r="F262" t="inlineStr">
        <is>
          <t>ÖSTERGÖTLANDS LÄN</t>
        </is>
      </c>
      <c r="G262" t="inlineStr">
        <is>
          <t>YDRE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56323-2021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44480</v>
      </c>
      <c r="E263" s="1" t="n">
        <v>46224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  <c r="Z263">
        <f>HYPERLINK("https://klasma.github.io/Logging_0512/knärot/A 56323-2021 karta knärot.png", "A 56323-2021")</f>
        <v/>
      </c>
      <c r="AA263">
        <f>HYPERLINK("https://klasma.github.io/Logging_0512/klagomål/A 56323-2021 FSC-klagomål.docx", "A 56323-2021")</f>
        <v/>
      </c>
      <c r="AB263">
        <f>HYPERLINK("https://klasma.github.io/Logging_0512/klagomålsmail/A 56323-2021 FSC-klagomål mail.docx", "A 56323-2021")</f>
        <v/>
      </c>
      <c r="AC263">
        <f>HYPERLINK("https://klasma.github.io/Logging_0512/tillsyn/A 56323-2021 tillsynsbegäran.docx", "A 56323-2021")</f>
        <v/>
      </c>
      <c r="AD263">
        <f>HYPERLINK("https://klasma.github.io/Logging_0512/tillsynsmail/A 56323-2021 tillsynsbegäran mail.docx", "A 56323-2021")</f>
        <v/>
      </c>
    </row>
    <row r="264" ht="15" customHeight="1">
      <c r="A264" t="inlineStr">
        <is>
          <t>A 35209-2023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45145</v>
      </c>
      <c r="E264" s="1" t="n">
        <v>46224</v>
      </c>
      <c r="F264" t="inlineStr">
        <is>
          <t>ÖSTERGÖTLANDS LÄN</t>
        </is>
      </c>
      <c r="G264" t="inlineStr">
        <is>
          <t>YDRE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46077</v>
      </c>
      <c r="E265" s="1" t="n">
        <v>46224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10288-2026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46224</v>
      </c>
      <c r="F266" t="inlineStr">
        <is>
          <t>ÖSTERGÖTLANDS LÄN</t>
        </is>
      </c>
      <c r="G266" t="inlineStr">
        <is>
          <t>YDRE</t>
        </is>
      </c>
      <c r="H266" t="inlineStr">
        <is>
          <t>Övriga Aktiebolag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10307-2026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46076</v>
      </c>
      <c r="E267" s="1" t="n">
        <v>46224</v>
      </c>
      <c r="F267" t="inlineStr">
        <is>
          <t>ÖSTERGÖTLANDS LÄN</t>
        </is>
      </c>
      <c r="G267" t="inlineStr">
        <is>
          <t>YDRE</t>
        </is>
      </c>
      <c r="H267" t="inlineStr">
        <is>
          <t>Övriga Aktiebolag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45666</v>
      </c>
      <c r="E268" s="1" t="n">
        <v>46224</v>
      </c>
      <c r="F268" t="inlineStr">
        <is>
          <t>ÖSTERGÖTLANDS LÄN</t>
        </is>
      </c>
      <c r="G268" t="inlineStr">
        <is>
          <t>YDRE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45714</v>
      </c>
      <c r="E269" s="1" t="n">
        <v>46224</v>
      </c>
      <c r="F269" t="inlineStr">
        <is>
          <t>ÖSTERGÖTLANDS LÄN</t>
        </is>
      </c>
      <c r="G269" t="inlineStr">
        <is>
          <t>YDRE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45054</v>
      </c>
      <c r="E270" s="1" t="n">
        <v>46224</v>
      </c>
      <c r="F270" t="inlineStr">
        <is>
          <t>ÖSTERGÖTLANDS LÄN</t>
        </is>
      </c>
      <c r="G270" t="inlineStr">
        <is>
          <t>YDRE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61942-2021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44502</v>
      </c>
      <c r="E271" s="1" t="n">
        <v>46224</v>
      </c>
      <c r="F271" t="inlineStr">
        <is>
          <t>ÖSTERGÖTLANDS LÄN</t>
        </is>
      </c>
      <c r="G271" t="inlineStr">
        <is>
          <t>YDRE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44965</v>
      </c>
      <c r="E272" s="1" t="n">
        <v>46224</v>
      </c>
      <c r="F272" t="inlineStr">
        <is>
          <t>ÖSTERGÖTLANDS LÄN</t>
        </is>
      </c>
      <c r="G272" t="inlineStr">
        <is>
          <t>YDRE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46224</v>
      </c>
      <c r="F273" t="inlineStr">
        <is>
          <t>ÖSTERGÖTLANDS LÄN</t>
        </is>
      </c>
      <c r="G273" t="inlineStr">
        <is>
          <t>YDRE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13689-2026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46097</v>
      </c>
      <c r="E274" s="1" t="n">
        <v>46224</v>
      </c>
      <c r="F274" t="inlineStr">
        <is>
          <t>ÖSTERGÖTLANDS LÄN</t>
        </is>
      </c>
      <c r="G274" t="inlineStr">
        <is>
          <t>YDRE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45310</v>
      </c>
      <c r="E275" s="1" t="n">
        <v>46224</v>
      </c>
      <c r="F275" t="inlineStr">
        <is>
          <t>ÖSTERGÖTLANDS LÄN</t>
        </is>
      </c>
      <c r="G275" t="inlineStr">
        <is>
          <t>YDRE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19261-2024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45428</v>
      </c>
      <c r="E276" s="1" t="n">
        <v>46224</v>
      </c>
      <c r="F276" t="inlineStr">
        <is>
          <t>ÖSTERGÖTLANDS LÄN</t>
        </is>
      </c>
      <c r="G276" t="inlineStr">
        <is>
          <t>YDRE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46224</v>
      </c>
      <c r="F277" t="inlineStr">
        <is>
          <t>ÖSTERGÖTLANDS LÄN</t>
        </is>
      </c>
      <c r="G277" t="inlineStr">
        <is>
          <t>YDRE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46224</v>
      </c>
      <c r="F278" t="inlineStr">
        <is>
          <t>ÖSTERGÖTLANDS LÄN</t>
        </is>
      </c>
      <c r="G278" t="inlineStr">
        <is>
          <t>YDRE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14600-2026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46224</v>
      </c>
      <c r="F279" t="inlineStr">
        <is>
          <t>ÖSTERGÖTLANDS LÄN</t>
        </is>
      </c>
      <c r="G279" t="inlineStr">
        <is>
          <t>YDRE</t>
        </is>
      </c>
      <c r="I279" t="n">
        <v>9.9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45449-2023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45194</v>
      </c>
      <c r="E280" s="1" t="n">
        <v>46224</v>
      </c>
      <c r="F280" t="inlineStr">
        <is>
          <t>ÖSTERGÖTLANDS LÄN</t>
        </is>
      </c>
      <c r="G280" t="inlineStr">
        <is>
          <t>YDRE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46224</v>
      </c>
      <c r="F281" t="inlineStr">
        <is>
          <t>ÖSTERGÖTLANDS LÄN</t>
        </is>
      </c>
      <c r="G281" t="inlineStr">
        <is>
          <t>YDRE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46224</v>
      </c>
      <c r="F282" t="inlineStr">
        <is>
          <t>ÖSTERGÖTLANDS LÄN</t>
        </is>
      </c>
      <c r="G282" t="inlineStr">
        <is>
          <t>YDRE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47338-2024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46224</v>
      </c>
      <c r="F283" t="inlineStr">
        <is>
          <t>ÖSTERGÖTLANDS LÄN</t>
        </is>
      </c>
      <c r="G283" t="inlineStr">
        <is>
          <t>YDRE</t>
        </is>
      </c>
      <c r="H283" t="inlineStr">
        <is>
          <t>Kyrkan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45456-2023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45194</v>
      </c>
      <c r="E284" s="1" t="n">
        <v>46224</v>
      </c>
      <c r="F284" t="inlineStr">
        <is>
          <t>ÖSTERGÖTLANDS LÄN</t>
        </is>
      </c>
      <c r="G284" t="inlineStr">
        <is>
          <t>YDRE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61589-2022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44916</v>
      </c>
      <c r="E285" s="1" t="n">
        <v>46224</v>
      </c>
      <c r="F285" t="inlineStr">
        <is>
          <t>ÖSTERGÖTLANDS LÄN</t>
        </is>
      </c>
      <c r="G285" t="inlineStr">
        <is>
          <t>YDRE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45194-2021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44439</v>
      </c>
      <c r="E286" s="1" t="n">
        <v>46224</v>
      </c>
      <c r="F286" t="inlineStr">
        <is>
          <t>ÖSTERGÖTLANDS LÄN</t>
        </is>
      </c>
      <c r="G286" t="inlineStr">
        <is>
          <t>YDRE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44562</v>
      </c>
      <c r="E287" s="1" t="n">
        <v>46224</v>
      </c>
      <c r="F287" t="inlineStr">
        <is>
          <t>ÖSTERGÖTLANDS LÄN</t>
        </is>
      </c>
      <c r="G287" t="inlineStr">
        <is>
          <t>YDRE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62859-2023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45272</v>
      </c>
      <c r="E288" s="1" t="n">
        <v>46224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17277-2024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45414</v>
      </c>
      <c r="E289" s="1" t="n">
        <v>46224</v>
      </c>
      <c r="F289" t="inlineStr">
        <is>
          <t>ÖSTERGÖTLANDS LÄN</t>
        </is>
      </c>
      <c r="G289" t="inlineStr">
        <is>
          <t>YDRE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70448-2021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44536</v>
      </c>
      <c r="E290" s="1" t="n">
        <v>46224</v>
      </c>
      <c r="F290" t="inlineStr">
        <is>
          <t>ÖSTERGÖTLANDS LÄN</t>
        </is>
      </c>
      <c r="G290" t="inlineStr">
        <is>
          <t>YDRE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45701</v>
      </c>
      <c r="E291" s="1" t="n">
        <v>46224</v>
      </c>
      <c r="F291" t="inlineStr">
        <is>
          <t>ÖSTERGÖTLANDS LÄN</t>
        </is>
      </c>
      <c r="G291" t="inlineStr">
        <is>
          <t>YDRE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46116</v>
      </c>
      <c r="E292" s="1" t="n">
        <v>46224</v>
      </c>
      <c r="F292" t="inlineStr">
        <is>
          <t>ÖSTERGÖTLANDS LÄN</t>
        </is>
      </c>
      <c r="G292" t="inlineStr">
        <is>
          <t>YDRE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42781-2021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44428</v>
      </c>
      <c r="E293" s="1" t="n">
        <v>46224</v>
      </c>
      <c r="F293" t="inlineStr">
        <is>
          <t>ÖSTERGÖTLANDS LÄN</t>
        </is>
      </c>
      <c r="G293" t="inlineStr">
        <is>
          <t>YDRE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17385-2026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46119</v>
      </c>
      <c r="E294" s="1" t="n">
        <v>46224</v>
      </c>
      <c r="F294" t="inlineStr">
        <is>
          <t>ÖSTERGÖTLANDS LÄN</t>
        </is>
      </c>
      <c r="G294" t="inlineStr">
        <is>
          <t>YDRE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46224</v>
      </c>
      <c r="F295" t="inlineStr">
        <is>
          <t>ÖSTERGÖTLANDS LÄN</t>
        </is>
      </c>
      <c r="G295" t="inlineStr">
        <is>
          <t>YDRE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17705-2026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46224</v>
      </c>
      <c r="F296" t="inlineStr">
        <is>
          <t>ÖSTERGÖTLANDS LÄN</t>
        </is>
      </c>
      <c r="G296" t="inlineStr">
        <is>
          <t>YDRE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46125</v>
      </c>
      <c r="E297" s="1" t="n">
        <v>46224</v>
      </c>
      <c r="F297" t="inlineStr">
        <is>
          <t>ÖSTERGÖTLANDS LÄN</t>
        </is>
      </c>
      <c r="G297" t="inlineStr">
        <is>
          <t>YDRE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46125</v>
      </c>
      <c r="E298" s="1" t="n">
        <v>46224</v>
      </c>
      <c r="F298" t="inlineStr">
        <is>
          <t>ÖSTERGÖTLANDS LÄN</t>
        </is>
      </c>
      <c r="G298" t="inlineStr">
        <is>
          <t>YDRE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18416-2026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46126</v>
      </c>
      <c r="E299" s="1" t="n">
        <v>46224</v>
      </c>
      <c r="F299" t="inlineStr">
        <is>
          <t>ÖSTERGÖTLANDS LÄN</t>
        </is>
      </c>
      <c r="G299" t="inlineStr">
        <is>
          <t>YDRE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45090</v>
      </c>
      <c r="E300" s="1" t="n">
        <v>46224</v>
      </c>
      <c r="F300" t="inlineStr">
        <is>
          <t>ÖSTERGÖTLANDS LÄN</t>
        </is>
      </c>
      <c r="G300" t="inlineStr">
        <is>
          <t>YDRE</t>
        </is>
      </c>
      <c r="H300" t="inlineStr">
        <is>
          <t>Sveaskog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59811-2022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44908</v>
      </c>
      <c r="E301" s="1" t="n">
        <v>46224</v>
      </c>
      <c r="F301" t="inlineStr">
        <is>
          <t>ÖSTERGÖTLANDS LÄN</t>
        </is>
      </c>
      <c r="G301" t="inlineStr">
        <is>
          <t>YDRE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59816-2022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46224</v>
      </c>
      <c r="F302" t="inlineStr">
        <is>
          <t>ÖSTERGÖTLANDS LÄN</t>
        </is>
      </c>
      <c r="G302" t="inlineStr">
        <is>
          <t>YDRE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46224</v>
      </c>
      <c r="F303" t="inlineStr">
        <is>
          <t>ÖSTERGÖTLANDS LÄN</t>
        </is>
      </c>
      <c r="G303" t="inlineStr">
        <is>
          <t>YDRE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10699-2022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44624</v>
      </c>
      <c r="E304" s="1" t="n">
        <v>46224</v>
      </c>
      <c r="F304" t="inlineStr">
        <is>
          <t>ÖSTERGÖTLANDS LÄN</t>
        </is>
      </c>
      <c r="G304" t="inlineStr">
        <is>
          <t>YDRE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46224</v>
      </c>
      <c r="F305" t="inlineStr">
        <is>
          <t>ÖSTERGÖTLANDS LÄN</t>
        </is>
      </c>
      <c r="G305" t="inlineStr">
        <is>
          <t>YDRE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45302</v>
      </c>
      <c r="E306" s="1" t="n">
        <v>46224</v>
      </c>
      <c r="F306" t="inlineStr">
        <is>
          <t>ÖSTERGÖTLANDS LÄN</t>
        </is>
      </c>
      <c r="G306" t="inlineStr">
        <is>
          <t>YDRE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45916</v>
      </c>
      <c r="E307" s="1" t="n">
        <v>46224</v>
      </c>
      <c r="F307" t="inlineStr">
        <is>
          <t>ÖSTERGÖTLANDS LÄN</t>
        </is>
      </c>
      <c r="G307" t="inlineStr">
        <is>
          <t>YDRE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45831</v>
      </c>
      <c r="E308" s="1" t="n">
        <v>46224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46224</v>
      </c>
      <c r="F309" t="inlineStr">
        <is>
          <t>ÖSTERGÖTLANDS LÄN</t>
        </is>
      </c>
      <c r="G309" t="inlineStr">
        <is>
          <t>YDRE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44555-2025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45917</v>
      </c>
      <c r="E310" s="1" t="n">
        <v>46224</v>
      </c>
      <c r="F310" t="inlineStr">
        <is>
          <t>ÖSTERGÖTLANDS LÄN</t>
        </is>
      </c>
      <c r="G310" t="inlineStr">
        <is>
          <t>YDRE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11185-2024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45371</v>
      </c>
      <c r="E311" s="1" t="n">
        <v>46224</v>
      </c>
      <c r="F311" t="inlineStr">
        <is>
          <t>ÖSTERGÖTLANDS LÄN</t>
        </is>
      </c>
      <c r="G311" t="inlineStr">
        <is>
          <t>YDRE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54047-2024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45616</v>
      </c>
      <c r="E312" s="1" t="n">
        <v>46224</v>
      </c>
      <c r="F312" t="inlineStr">
        <is>
          <t>ÖSTERGÖTLANDS LÄN</t>
        </is>
      </c>
      <c r="G312" t="inlineStr">
        <is>
          <t>YDRE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45537</v>
      </c>
      <c r="E313" s="1" t="n">
        <v>46224</v>
      </c>
      <c r="F313" t="inlineStr">
        <is>
          <t>ÖSTERGÖTLANDS LÄN</t>
        </is>
      </c>
      <c r="G313" t="inlineStr">
        <is>
          <t>YDRE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43335-2025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45910</v>
      </c>
      <c r="E314" s="1" t="n">
        <v>46224</v>
      </c>
      <c r="F314" t="inlineStr">
        <is>
          <t>ÖSTERGÖTLANDS LÄN</t>
        </is>
      </c>
      <c r="G314" t="inlineStr">
        <is>
          <t>YDRE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46224</v>
      </c>
      <c r="F315" t="inlineStr">
        <is>
          <t>ÖSTERGÖTLANDS LÄN</t>
        </is>
      </c>
      <c r="G315" t="inlineStr">
        <is>
          <t>YDRE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51153-2022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44868</v>
      </c>
      <c r="E316" s="1" t="n">
        <v>46224</v>
      </c>
      <c r="F316" t="inlineStr">
        <is>
          <t>ÖSTERGÖTLANDS LÄN</t>
        </is>
      </c>
      <c r="G316" t="inlineStr">
        <is>
          <t>YDRE</t>
        </is>
      </c>
      <c r="H316" t="inlineStr">
        <is>
          <t>Övriga Aktiebolag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45871</v>
      </c>
      <c r="E317" s="1" t="n">
        <v>46224</v>
      </c>
      <c r="F317" t="inlineStr">
        <is>
          <t>ÖSTERGÖTLANDS LÄN</t>
        </is>
      </c>
      <c r="G317" t="inlineStr">
        <is>
          <t>YDRE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46224</v>
      </c>
      <c r="F318" t="inlineStr">
        <is>
          <t>ÖSTERGÖTLANDS LÄN</t>
        </is>
      </c>
      <c r="G318" t="inlineStr">
        <is>
          <t>YDRE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45831</v>
      </c>
      <c r="E319" s="1" t="n">
        <v>46224</v>
      </c>
      <c r="F319" t="inlineStr">
        <is>
          <t>ÖSTERGÖTLANDS LÄN</t>
        </is>
      </c>
      <c r="G319" t="inlineStr">
        <is>
          <t>YDRE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45793</v>
      </c>
      <c r="E320" s="1" t="n">
        <v>46224</v>
      </c>
      <c r="F320" t="inlineStr">
        <is>
          <t>ÖSTERGÖTLANDS LÄN</t>
        </is>
      </c>
      <c r="G320" t="inlineStr">
        <is>
          <t>YDRE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46224</v>
      </c>
      <c r="F321" t="inlineStr">
        <is>
          <t>ÖSTERGÖTLANDS LÄN</t>
        </is>
      </c>
      <c r="G321" t="inlineStr">
        <is>
          <t>YDRE</t>
        </is>
      </c>
      <c r="H321" t="inlineStr">
        <is>
          <t>Sveaskog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46224</v>
      </c>
      <c r="F322" t="inlineStr">
        <is>
          <t>ÖSTERGÖTLANDS LÄN</t>
        </is>
      </c>
      <c r="G322" t="inlineStr">
        <is>
          <t>YDRE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46689-2024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45583</v>
      </c>
      <c r="E323" s="1" t="n">
        <v>46224</v>
      </c>
      <c r="F323" t="inlineStr">
        <is>
          <t>ÖSTERGÖTLANDS LÄN</t>
        </is>
      </c>
      <c r="G323" t="inlineStr">
        <is>
          <t>YDRE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45099</v>
      </c>
      <c r="E324" s="1" t="n">
        <v>46224</v>
      </c>
      <c r="F324" t="inlineStr">
        <is>
          <t>ÖSTERGÖTLANDS LÄN</t>
        </is>
      </c>
      <c r="G324" t="inlineStr">
        <is>
          <t>YDRE</t>
        </is>
      </c>
      <c r="I324" t="n">
        <v>7.6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49441-2024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45595</v>
      </c>
      <c r="E325" s="1" t="n">
        <v>46224</v>
      </c>
      <c r="F325" t="inlineStr">
        <is>
          <t>ÖSTERGÖTLANDS LÄN</t>
        </is>
      </c>
      <c r="G325" t="inlineStr">
        <is>
          <t>YDRE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46224</v>
      </c>
      <c r="F326" t="inlineStr">
        <is>
          <t>ÖSTERGÖTLANDS LÄN</t>
        </is>
      </c>
      <c r="G326" t="inlineStr">
        <is>
          <t>YDRE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6756-2023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44966</v>
      </c>
      <c r="E327" s="1" t="n">
        <v>46224</v>
      </c>
      <c r="F327" t="inlineStr">
        <is>
          <t>ÖSTERGÖTLANDS LÄN</t>
        </is>
      </c>
      <c r="G327" t="inlineStr">
        <is>
          <t>YDRE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44572</v>
      </c>
      <c r="E328" s="1" t="n">
        <v>46224</v>
      </c>
      <c r="F328" t="inlineStr">
        <is>
          <t>ÖSTERGÖTLANDS LÄN</t>
        </is>
      </c>
      <c r="G328" t="inlineStr">
        <is>
          <t>YDRE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59407-2021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44491</v>
      </c>
      <c r="E329" s="1" t="n">
        <v>46224</v>
      </c>
      <c r="F329" t="inlineStr">
        <is>
          <t>ÖSTERGÖTLANDS LÄN</t>
        </is>
      </c>
      <c r="G329" t="inlineStr">
        <is>
          <t>YDRE</t>
        </is>
      </c>
      <c r="H329" t="inlineStr">
        <is>
          <t>Sveaskog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61636-2021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44501</v>
      </c>
      <c r="E330" s="1" t="n">
        <v>46224</v>
      </c>
      <c r="F330" t="inlineStr">
        <is>
          <t>ÖSTERGÖTLANDS LÄN</t>
        </is>
      </c>
      <c r="G330" t="inlineStr">
        <is>
          <t>YDRE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45701</v>
      </c>
      <c r="E331" s="1" t="n">
        <v>46224</v>
      </c>
      <c r="F331" t="inlineStr">
        <is>
          <t>ÖSTERGÖTLANDS LÄN</t>
        </is>
      </c>
      <c r="G331" t="inlineStr">
        <is>
          <t>YDRE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45335</v>
      </c>
      <c r="E332" s="1" t="n">
        <v>46224</v>
      </c>
      <c r="F332" t="inlineStr">
        <is>
          <t>ÖSTERGÖTLANDS LÄN</t>
        </is>
      </c>
      <c r="G332" t="inlineStr">
        <is>
          <t>YDRE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45198-2024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45575</v>
      </c>
      <c r="E333" s="1" t="n">
        <v>46224</v>
      </c>
      <c r="F333" t="inlineStr">
        <is>
          <t>ÖSTERGÖTLANDS LÄN</t>
        </is>
      </c>
      <c r="G333" t="inlineStr">
        <is>
          <t>YDRE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46183</v>
      </c>
      <c r="E334" s="1" t="n">
        <v>46224</v>
      </c>
      <c r="F334" t="inlineStr">
        <is>
          <t>ÖSTERGÖTLANDS LÄN</t>
        </is>
      </c>
      <c r="G334" t="inlineStr">
        <is>
          <t>YDRE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44874</v>
      </c>
      <c r="E335" s="1" t="n">
        <v>46224</v>
      </c>
      <c r="F335" t="inlineStr">
        <is>
          <t>ÖSTERGÖTLANDS LÄN</t>
        </is>
      </c>
      <c r="G335" t="inlineStr">
        <is>
          <t>YDRE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46224</v>
      </c>
      <c r="F336" t="inlineStr">
        <is>
          <t>ÖSTERGÖTLANDS LÄN</t>
        </is>
      </c>
      <c r="G336" t="inlineStr">
        <is>
          <t>YDRE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21982-2022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44711</v>
      </c>
      <c r="E337" s="1" t="n">
        <v>46224</v>
      </c>
      <c r="F337" t="inlineStr">
        <is>
          <t>ÖSTERGÖTLANDS LÄN</t>
        </is>
      </c>
      <c r="G337" t="inlineStr">
        <is>
          <t>YDRE</t>
        </is>
      </c>
      <c r="H337" t="inlineStr">
        <is>
          <t>Övriga Aktiebolag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46146</v>
      </c>
      <c r="E338" s="1" t="n">
        <v>46224</v>
      </c>
      <c r="F338" t="inlineStr">
        <is>
          <t>ÖSTERGÖTLANDS LÄN</t>
        </is>
      </c>
      <c r="G338" t="inlineStr">
        <is>
          <t>YDRE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21069-2026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46146</v>
      </c>
      <c r="E339" s="1" t="n">
        <v>46224</v>
      </c>
      <c r="F339" t="inlineStr">
        <is>
          <t>ÖSTERGÖTLANDS LÄN</t>
        </is>
      </c>
      <c r="G339" t="inlineStr">
        <is>
          <t>YDRE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21070-2026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46146</v>
      </c>
      <c r="E340" s="1" t="n">
        <v>46224</v>
      </c>
      <c r="F340" t="inlineStr">
        <is>
          <t>ÖSTERGÖTLANDS LÄN</t>
        </is>
      </c>
      <c r="G340" t="inlineStr">
        <is>
          <t>YDRE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46224</v>
      </c>
      <c r="F341" t="inlineStr">
        <is>
          <t>ÖSTERGÖTLANDS LÄN</t>
        </is>
      </c>
      <c r="G341" t="inlineStr">
        <is>
          <t>YDRE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21064-2026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46224</v>
      </c>
      <c r="F342" t="inlineStr">
        <is>
          <t>ÖSTERGÖTLANDS LÄN</t>
        </is>
      </c>
      <c r="G342" t="inlineStr">
        <is>
          <t>YDRE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27874-2026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46191</v>
      </c>
      <c r="E343" s="1" t="n">
        <v>46224</v>
      </c>
      <c r="F343" t="inlineStr">
        <is>
          <t>ÖSTERGÖTLANDS LÄN</t>
        </is>
      </c>
      <c r="G343" t="inlineStr">
        <is>
          <t>YDRE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27700-2026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46190</v>
      </c>
      <c r="E344" s="1" t="n">
        <v>46224</v>
      </c>
      <c r="F344" t="inlineStr">
        <is>
          <t>ÖSTERGÖTLANDS LÄN</t>
        </is>
      </c>
      <c r="G344" t="inlineStr">
        <is>
          <t>YDRE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45649</v>
      </c>
      <c r="E345" s="1" t="n">
        <v>46224</v>
      </c>
      <c r="F345" t="inlineStr">
        <is>
          <t>ÖSTERGÖTLANDS LÄN</t>
        </is>
      </c>
      <c r="G345" t="inlineStr">
        <is>
          <t>YDRE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22175-2026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46224</v>
      </c>
      <c r="F346" t="inlineStr">
        <is>
          <t>ÖSTERGÖTLANDS LÄN</t>
        </is>
      </c>
      <c r="G346" t="inlineStr">
        <is>
          <t>YDRE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24637-2024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45460</v>
      </c>
      <c r="E347" s="1" t="n">
        <v>46224</v>
      </c>
      <c r="F347" t="inlineStr">
        <is>
          <t>ÖSTERGÖTLANDS LÄN</t>
        </is>
      </c>
      <c r="G347" t="inlineStr">
        <is>
          <t>YDRE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45875-2024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45580</v>
      </c>
      <c r="E348" s="1" t="n">
        <v>46224</v>
      </c>
      <c r="F348" t="inlineStr">
        <is>
          <t>ÖSTERGÖTLANDS LÄN</t>
        </is>
      </c>
      <c r="G348" t="inlineStr">
        <is>
          <t>YDRE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40676-2023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46224</v>
      </c>
      <c r="F349" t="inlineStr">
        <is>
          <t>ÖSTERGÖTLANDS LÄN</t>
        </is>
      </c>
      <c r="G349" t="inlineStr">
        <is>
          <t>YDRE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8073-2025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45707</v>
      </c>
      <c r="E350" s="1" t="n">
        <v>46224</v>
      </c>
      <c r="F350" t="inlineStr">
        <is>
          <t>ÖSTERGÖTLANDS LÄN</t>
        </is>
      </c>
      <c r="G350" t="inlineStr">
        <is>
          <t>YDRE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45664</v>
      </c>
      <c r="E351" s="1" t="n">
        <v>46224</v>
      </c>
      <c r="F351" t="inlineStr">
        <is>
          <t>ÖSTERGÖTLANDS LÄN</t>
        </is>
      </c>
      <c r="G351" t="inlineStr">
        <is>
          <t>YDRE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22312-2026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46154</v>
      </c>
      <c r="E352" s="1" t="n">
        <v>46224</v>
      </c>
      <c r="F352" t="inlineStr">
        <is>
          <t>ÖSTERGÖTLANDS LÄN</t>
        </is>
      </c>
      <c r="G352" t="inlineStr">
        <is>
          <t>YDRE</t>
        </is>
      </c>
      <c r="H352" t="inlineStr">
        <is>
          <t>Övriga Aktiebolag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44741-2021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44438</v>
      </c>
      <c r="E353" s="1" t="n">
        <v>46224</v>
      </c>
      <c r="F353" t="inlineStr">
        <is>
          <t>ÖSTERGÖTLANDS LÄN</t>
        </is>
      </c>
      <c r="G353" t="inlineStr">
        <is>
          <t>YDRE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45436</v>
      </c>
      <c r="E354" s="1" t="n">
        <v>46224</v>
      </c>
      <c r="F354" t="inlineStr">
        <is>
          <t>ÖSTERGÖTLANDS LÄN</t>
        </is>
      </c>
      <c r="G354" t="inlineStr">
        <is>
          <t>YDRE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68983-2021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44530</v>
      </c>
      <c r="E355" s="1" t="n">
        <v>46224</v>
      </c>
      <c r="F355" t="inlineStr">
        <is>
          <t>ÖSTERGÖTLANDS LÄN</t>
        </is>
      </c>
      <c r="G355" t="inlineStr">
        <is>
          <t>YDRE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61257-2023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45261</v>
      </c>
      <c r="E356" s="1" t="n">
        <v>46224</v>
      </c>
      <c r="F356" t="inlineStr">
        <is>
          <t>ÖSTERGÖTLANDS LÄN</t>
        </is>
      </c>
      <c r="G356" t="inlineStr">
        <is>
          <t>YDRE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45649</v>
      </c>
      <c r="E357" s="1" t="n">
        <v>46224</v>
      </c>
      <c r="F357" t="inlineStr">
        <is>
          <t>ÖSTERGÖTLANDS LÄN</t>
        </is>
      </c>
      <c r="G357" t="inlineStr">
        <is>
          <t>YDRE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46202</v>
      </c>
      <c r="E358" s="1" t="n">
        <v>46224</v>
      </c>
      <c r="F358" t="inlineStr">
        <is>
          <t>ÖSTERGÖTLANDS LÄN</t>
        </is>
      </c>
      <c r="G358" t="inlineStr">
        <is>
          <t>YDRE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46202</v>
      </c>
      <c r="E359" s="1" t="n">
        <v>46224</v>
      </c>
      <c r="F359" t="inlineStr">
        <is>
          <t>ÖSTERGÖTLANDS LÄN</t>
        </is>
      </c>
      <c r="G359" t="inlineStr">
        <is>
          <t>YDRE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29304-2026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46224</v>
      </c>
      <c r="F360" t="inlineStr">
        <is>
          <t>ÖSTERGÖTLANDS LÄN</t>
        </is>
      </c>
      <c r="G360" t="inlineStr">
        <is>
          <t>YDRE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14953-2024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45398</v>
      </c>
      <c r="E361" s="1" t="n">
        <v>46224</v>
      </c>
      <c r="F361" t="inlineStr">
        <is>
          <t>ÖSTERGÖTLANDS LÄN</t>
        </is>
      </c>
      <c r="G361" t="inlineStr">
        <is>
          <t>YDRE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10402-2023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44987</v>
      </c>
      <c r="E362" s="1" t="n">
        <v>46224</v>
      </c>
      <c r="F362" t="inlineStr">
        <is>
          <t>ÖSTERGÖTLANDS LÄN</t>
        </is>
      </c>
      <c r="G362" t="inlineStr">
        <is>
          <t>YDRE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45762</v>
      </c>
      <c r="E363" s="1" t="n">
        <v>46224</v>
      </c>
      <c r="F363" t="inlineStr">
        <is>
          <t>ÖSTERGÖTLANDS LÄN</t>
        </is>
      </c>
      <c r="G363" t="inlineStr">
        <is>
          <t>YDRE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45758</v>
      </c>
      <c r="E364" s="1" t="n">
        <v>46224</v>
      </c>
      <c r="F364" t="inlineStr">
        <is>
          <t>ÖSTERGÖTLANDS LÄN</t>
        </is>
      </c>
      <c r="G364" t="inlineStr">
        <is>
          <t>YDRE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45104</v>
      </c>
      <c r="E365" s="1" t="n">
        <v>46224</v>
      </c>
      <c r="F365" t="inlineStr">
        <is>
          <t>ÖSTERGÖTLANDS LÄN</t>
        </is>
      </c>
      <c r="G365" t="inlineStr">
        <is>
          <t>YDRE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45600</v>
      </c>
      <c r="E366" s="1" t="n">
        <v>46224</v>
      </c>
      <c r="F366" t="inlineStr">
        <is>
          <t>ÖSTERGÖTLANDS LÄN</t>
        </is>
      </c>
      <c r="G366" t="inlineStr">
        <is>
          <t>YDRE</t>
        </is>
      </c>
      <c r="H366" t="inlineStr">
        <is>
          <t>Kyrkan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45638</v>
      </c>
      <c r="E367" s="1" t="n">
        <v>46224</v>
      </c>
      <c r="F367" t="inlineStr">
        <is>
          <t>ÖSTERGÖTLANDS LÄN</t>
        </is>
      </c>
      <c r="G367" t="inlineStr">
        <is>
          <t>YDRE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29201-2026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46224</v>
      </c>
      <c r="F368" t="inlineStr">
        <is>
          <t>ÖSTERGÖTLANDS LÄN</t>
        </is>
      </c>
      <c r="G368" t="inlineStr">
        <is>
          <t>YDRE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46224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46224</v>
      </c>
      <c r="F370" t="inlineStr">
        <is>
          <t>ÖSTERGÖTLANDS LÄN</t>
        </is>
      </c>
      <c r="G370" t="inlineStr">
        <is>
          <t>YDRE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45334</v>
      </c>
      <c r="E371" s="1" t="n">
        <v>46224</v>
      </c>
      <c r="F371" t="inlineStr">
        <is>
          <t>ÖSTERGÖTLANDS LÄN</t>
        </is>
      </c>
      <c r="G371" t="inlineStr">
        <is>
          <t>YDRE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44816</v>
      </c>
      <c r="E372" s="1" t="n">
        <v>46224</v>
      </c>
      <c r="F372" t="inlineStr">
        <is>
          <t>ÖSTERGÖTLANDS LÄN</t>
        </is>
      </c>
      <c r="G372" t="inlineStr">
        <is>
          <t>YDRE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45016</v>
      </c>
      <c r="E373" s="1" t="n">
        <v>46224</v>
      </c>
      <c r="F373" t="inlineStr">
        <is>
          <t>ÖSTERGÖTLANDS LÄN</t>
        </is>
      </c>
      <c r="G373" t="inlineStr">
        <is>
          <t>YDRE</t>
        </is>
      </c>
      <c r="H373" t="inlineStr">
        <is>
          <t>Övriga Aktiebolag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14645-2022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44655</v>
      </c>
      <c r="E374" s="1" t="n">
        <v>46224</v>
      </c>
      <c r="F374" t="inlineStr">
        <is>
          <t>ÖSTERGÖTLANDS LÄN</t>
        </is>
      </c>
      <c r="G374" t="inlineStr">
        <is>
          <t>YDRE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7619-2024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45348</v>
      </c>
      <c r="E375" s="1" t="n">
        <v>46224</v>
      </c>
      <c r="F375" t="inlineStr">
        <is>
          <t>ÖSTERGÖTLANDS LÄN</t>
        </is>
      </c>
      <c r="G375" t="inlineStr">
        <is>
          <t>YDRE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46224</v>
      </c>
      <c r="F376" t="inlineStr">
        <is>
          <t>ÖSTERGÖTLANDS LÄN</t>
        </is>
      </c>
      <c r="G376" t="inlineStr">
        <is>
          <t>YDRE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45414</v>
      </c>
      <c r="E377" s="1" t="n">
        <v>46224</v>
      </c>
      <c r="F377" t="inlineStr">
        <is>
          <t>ÖSTERGÖTLANDS LÄN</t>
        </is>
      </c>
      <c r="G377" t="inlineStr">
        <is>
          <t>YDRE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11163-2023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44987</v>
      </c>
      <c r="E378" s="1" t="n">
        <v>46224</v>
      </c>
      <c r="F378" t="inlineStr">
        <is>
          <t>ÖSTERGÖTLANDS LÄN</t>
        </is>
      </c>
      <c r="G378" t="inlineStr">
        <is>
          <t>YDRE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44980</v>
      </c>
      <c r="E379" s="1" t="n">
        <v>46224</v>
      </c>
      <c r="F379" t="inlineStr">
        <is>
          <t>ÖSTERGÖTLANDS LÄN</t>
        </is>
      </c>
      <c r="G379" t="inlineStr">
        <is>
          <t>YDRE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44908</v>
      </c>
      <c r="E380" s="1" t="n">
        <v>46224</v>
      </c>
      <c r="F380" t="inlineStr">
        <is>
          <t>ÖSTERGÖTLANDS LÄN</t>
        </is>
      </c>
      <c r="G380" t="inlineStr">
        <is>
          <t>YDRE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58414-2024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45634</v>
      </c>
      <c r="E381" s="1" t="n">
        <v>46224</v>
      </c>
      <c r="F381" t="inlineStr">
        <is>
          <t>ÖSTERGÖTLANDS LÄN</t>
        </is>
      </c>
      <c r="G381" t="inlineStr">
        <is>
          <t>YDRE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50979-2023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45218</v>
      </c>
      <c r="E382" s="1" t="n">
        <v>46224</v>
      </c>
      <c r="F382" t="inlineStr">
        <is>
          <t>ÖSTERGÖTLANDS LÄN</t>
        </is>
      </c>
      <c r="G382" t="inlineStr">
        <is>
          <t>YDRE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2745-2026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46038</v>
      </c>
      <c r="E383" s="1" t="n">
        <v>46224</v>
      </c>
      <c r="F383" t="inlineStr">
        <is>
          <t>ÖSTERGÖTLANDS LÄN</t>
        </is>
      </c>
      <c r="G383" t="inlineStr">
        <is>
          <t>YDRE</t>
        </is>
      </c>
      <c r="H383" t="inlineStr">
        <is>
          <t>Övriga Aktiebolag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45414</v>
      </c>
      <c r="E384" s="1" t="n">
        <v>46224</v>
      </c>
      <c r="F384" t="inlineStr">
        <is>
          <t>ÖSTERGÖTLANDS LÄN</t>
        </is>
      </c>
      <c r="G384" t="inlineStr">
        <is>
          <t>YDRE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14184-2022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44651</v>
      </c>
      <c r="E385" s="1" t="n">
        <v>46224</v>
      </c>
      <c r="F385" t="inlineStr">
        <is>
          <t>ÖSTERGÖTLANDS LÄN</t>
        </is>
      </c>
      <c r="G385" t="inlineStr">
        <is>
          <t>YDRE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45395-2022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44844</v>
      </c>
      <c r="E386" s="1" t="n">
        <v>46224</v>
      </c>
      <c r="F386" t="inlineStr">
        <is>
          <t>ÖSTERGÖTLANDS LÄN</t>
        </is>
      </c>
      <c r="G386" t="inlineStr">
        <is>
          <t>YDRE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45257</v>
      </c>
      <c r="E387" s="1" t="n">
        <v>46224</v>
      </c>
      <c r="F387" t="inlineStr">
        <is>
          <t>ÖSTERGÖTLANDS LÄN</t>
        </is>
      </c>
      <c r="G387" t="inlineStr">
        <is>
          <t>YDRE</t>
        </is>
      </c>
      <c r="I387" t="n">
        <v>17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45698</v>
      </c>
      <c r="E388" s="1" t="n">
        <v>46224</v>
      </c>
      <c r="F388" t="inlineStr">
        <is>
          <t>ÖSTERGÖTLANDS LÄN</t>
        </is>
      </c>
      <c r="G388" t="inlineStr">
        <is>
          <t>YDRE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45159</v>
      </c>
      <c r="E389" s="1" t="n">
        <v>46224</v>
      </c>
      <c r="F389" t="inlineStr">
        <is>
          <t>ÖSTERGÖTLANDS LÄN</t>
        </is>
      </c>
      <c r="G389" t="inlineStr">
        <is>
          <t>YDRE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54602-2025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45965</v>
      </c>
      <c r="E390" s="1" t="n">
        <v>46224</v>
      </c>
      <c r="F390" t="inlineStr">
        <is>
          <t>ÖSTERGÖTLANDS LÄN</t>
        </is>
      </c>
      <c r="G390" t="inlineStr">
        <is>
          <t>YDRE</t>
        </is>
      </c>
      <c r="H390" t="inlineStr">
        <is>
          <t>Sveaskog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40988-2024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45558</v>
      </c>
      <c r="E391" s="1" t="n">
        <v>46224</v>
      </c>
      <c r="F391" t="inlineStr">
        <is>
          <t>ÖSTERGÖTLANDS LÄN</t>
        </is>
      </c>
      <c r="G391" t="inlineStr">
        <is>
          <t>YDRE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24780-2026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46171</v>
      </c>
      <c r="E392" s="1" t="n">
        <v>46224</v>
      </c>
      <c r="F392" t="inlineStr">
        <is>
          <t>ÖSTERGÖTLANDS LÄN</t>
        </is>
      </c>
      <c r="G392" t="inlineStr">
        <is>
          <t>YDRE</t>
        </is>
      </c>
      <c r="H392" t="inlineStr">
        <is>
          <t>Övriga Aktiebolag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45054</v>
      </c>
      <c r="E393" s="1" t="n">
        <v>46224</v>
      </c>
      <c r="F393" t="inlineStr">
        <is>
          <t>ÖSTERGÖTLANDS LÄN</t>
        </is>
      </c>
      <c r="G393" t="inlineStr">
        <is>
          <t>YDRE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45755</v>
      </c>
      <c r="E394" s="1" t="n">
        <v>46224</v>
      </c>
      <c r="F394" t="inlineStr">
        <is>
          <t>ÖSTERGÖTLANDS LÄN</t>
        </is>
      </c>
      <c r="G394" t="inlineStr">
        <is>
          <t>YDRE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44994</v>
      </c>
      <c r="E395" s="1" t="n">
        <v>46224</v>
      </c>
      <c r="F395" t="inlineStr">
        <is>
          <t>ÖSTERGÖTLANDS LÄN</t>
        </is>
      </c>
      <c r="G395" t="inlineStr">
        <is>
          <t>YDRE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63248-2023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45273</v>
      </c>
      <c r="E396" s="1" t="n">
        <v>46224</v>
      </c>
      <c r="F396" t="inlineStr">
        <is>
          <t>ÖSTERGÖTLANDS LÄN</t>
        </is>
      </c>
      <c r="G396" t="inlineStr">
        <is>
          <t>YDRE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45692</v>
      </c>
      <c r="E397" s="1" t="n">
        <v>46224</v>
      </c>
      <c r="F397" t="inlineStr">
        <is>
          <t>ÖSTERGÖTLANDS LÄN</t>
        </is>
      </c>
      <c r="G397" t="inlineStr">
        <is>
          <t>YDRE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16289-2022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44670</v>
      </c>
      <c r="E398" s="1" t="n">
        <v>46224</v>
      </c>
      <c r="F398" t="inlineStr">
        <is>
          <t>ÖSTERGÖTLANDS LÄN</t>
        </is>
      </c>
      <c r="G398" t="inlineStr">
        <is>
          <t>YDRE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44953</v>
      </c>
      <c r="E399" s="1" t="n">
        <v>46224</v>
      </c>
      <c r="F399" t="inlineStr">
        <is>
          <t>ÖSTERGÖTLANDS LÄN</t>
        </is>
      </c>
      <c r="G399" t="inlineStr">
        <is>
          <t>YDRE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14101-2022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44651</v>
      </c>
      <c r="E400" s="1" t="n">
        <v>46224</v>
      </c>
      <c r="F400" t="inlineStr">
        <is>
          <t>ÖSTERGÖTLANDS LÄN</t>
        </is>
      </c>
      <c r="G400" t="inlineStr">
        <is>
          <t>YDRE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45671</v>
      </c>
      <c r="E401" s="1" t="n">
        <v>46224</v>
      </c>
      <c r="F401" t="inlineStr">
        <is>
          <t>ÖSTERGÖTLANDS LÄN</t>
        </is>
      </c>
      <c r="G401" t="inlineStr">
        <is>
          <t>YDRE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59296-2021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44490</v>
      </c>
      <c r="E402" s="1" t="n">
        <v>46224</v>
      </c>
      <c r="F402" t="inlineStr">
        <is>
          <t>ÖSTERGÖTLANDS LÄN</t>
        </is>
      </c>
      <c r="G402" t="inlineStr">
        <is>
          <t>YDRE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45159</v>
      </c>
      <c r="E403" s="1" t="n">
        <v>46224</v>
      </c>
      <c r="F403" t="inlineStr">
        <is>
          <t>ÖSTERGÖTLANDS LÄN</t>
        </is>
      </c>
      <c r="G403" t="inlineStr">
        <is>
          <t>YDRE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45096</v>
      </c>
      <c r="E404" s="1" t="n">
        <v>46224</v>
      </c>
      <c r="F404" t="inlineStr">
        <is>
          <t>ÖSTERGÖTLANDS LÄN</t>
        </is>
      </c>
      <c r="G404" t="inlineStr">
        <is>
          <t>YDRE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45677</v>
      </c>
      <c r="E405" s="1" t="n">
        <v>46224</v>
      </c>
      <c r="F405" t="inlineStr">
        <is>
          <t>ÖSTERGÖTLANDS LÄN</t>
        </is>
      </c>
      <c r="G405" t="inlineStr">
        <is>
          <t>YDRE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13529-2025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45736</v>
      </c>
      <c r="E406" s="1" t="n">
        <v>46224</v>
      </c>
      <c r="F406" t="inlineStr">
        <is>
          <t>ÖSTERGÖTLANDS LÄN</t>
        </is>
      </c>
      <c r="G406" t="inlineStr">
        <is>
          <t>YDRE</t>
        </is>
      </c>
      <c r="H406" t="inlineStr">
        <is>
          <t>Övriga Aktiebolag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16050-2025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45748</v>
      </c>
      <c r="E407" s="1" t="n">
        <v>46224</v>
      </c>
      <c r="F407" t="inlineStr">
        <is>
          <t>ÖSTERGÖTLANDS LÄN</t>
        </is>
      </c>
      <c r="G407" t="inlineStr">
        <is>
          <t>YDRE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61205-2023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45264</v>
      </c>
      <c r="E408" s="1" t="n">
        <v>46224</v>
      </c>
      <c r="F408" t="inlineStr">
        <is>
          <t>ÖSTERGÖTLANDS LÄN</t>
        </is>
      </c>
      <c r="G408" t="inlineStr">
        <is>
          <t>YDRE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46224</v>
      </c>
      <c r="F409" t="inlineStr">
        <is>
          <t>ÖSTERGÖTLANDS LÄN</t>
        </is>
      </c>
      <c r="G409" t="inlineStr">
        <is>
          <t>YDRE</t>
        </is>
      </c>
      <c r="H409" t="inlineStr">
        <is>
          <t>Sveaskog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57290-2021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44483</v>
      </c>
      <c r="E410" s="1" t="n">
        <v>46224</v>
      </c>
      <c r="F410" t="inlineStr">
        <is>
          <t>ÖSTERGÖTLANDS LÄN</t>
        </is>
      </c>
      <c r="G410" t="inlineStr">
        <is>
          <t>YDRE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45492</v>
      </c>
      <c r="E411" s="1" t="n">
        <v>46224</v>
      </c>
      <c r="F411" t="inlineStr">
        <is>
          <t>ÖSTERGÖTLANDS LÄN</t>
        </is>
      </c>
      <c r="G411" t="inlineStr">
        <is>
          <t>YDRE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45468</v>
      </c>
      <c r="E412" s="1" t="n">
        <v>46224</v>
      </c>
      <c r="F412" t="inlineStr">
        <is>
          <t>ÖSTERGÖTLANDS LÄN</t>
        </is>
      </c>
      <c r="G412" t="inlineStr">
        <is>
          <t>YDRE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5385-2021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44431</v>
      </c>
      <c r="E413" s="1" t="n">
        <v>46224</v>
      </c>
      <c r="F413" t="inlineStr">
        <is>
          <t>ÖSTERGÖTLANDS LÄN</t>
        </is>
      </c>
      <c r="G413" t="inlineStr">
        <is>
          <t>YDRE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416-2022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44585</v>
      </c>
      <c r="E414" s="1" t="n">
        <v>46224</v>
      </c>
      <c r="F414" t="inlineStr">
        <is>
          <t>ÖSTERGÖTLANDS LÄN</t>
        </is>
      </c>
      <c r="G414" t="inlineStr">
        <is>
          <t>YDRE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46224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46224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46224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46224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46224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2026-07-21T01:36:06Z</dcterms:created>
  <dcterms:modified xmlns:dcterms="http://purl.org/dc/terms/" xmlns:xsi="http://www.w3.org/2001/XMLSchema-instance" xsi:type="dcterms:W3CDTF">2026-07-21T01:36:06Z</dcterms:modified>
</cp:coreProperties>
</file>