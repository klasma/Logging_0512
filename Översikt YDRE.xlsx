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46269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46269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46269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46269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46269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46269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58691-2023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45251</v>
      </c>
      <c r="E13" s="1" t="n">
        <v>46269</v>
      </c>
      <c r="F13" t="inlineStr">
        <is>
          <t>ÖSTERGÖTLANDS LÄN</t>
        </is>
      </c>
      <c r="G13" t="inlineStr">
        <is>
          <t>YDRE</t>
        </is>
      </c>
      <c r="I13" t="n">
        <v>1.7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Grönsiska</t>
        </is>
      </c>
      <c r="W13">
        <f>HYPERLINK("https://klasma.github.io/Logging_0512/artfynd/A 58691-2023 artfynd.xlsx", "A 58691-2023")</f>
        <v/>
      </c>
      <c r="X13">
        <f>HYPERLINK("https://klasma.github.io/Logging_0512/kartor/A 58691-2023 karta.png", "A 58691-2023")</f>
        <v/>
      </c>
      <c r="Y13">
        <f>HYPERLINK("https://klasma.github.io/Logging_0512/kartor_geotiff/A 58691-2023 georefererad karta.tif", "A 58691-2023")</f>
        <v/>
      </c>
      <c r="AA13">
        <f>HYPERLINK("https://klasma.github.io/Logging_0512/klagomål/A 58691-2023 FSC-klagomål.docx", "A 58691-2023")</f>
        <v/>
      </c>
      <c r="AB13">
        <f>HYPERLINK("https://klasma.github.io/Logging_0512/klagomålsmail/A 58691-2023 FSC-klagomål mail.docx", "A 58691-2023")</f>
        <v/>
      </c>
      <c r="AC13">
        <f>HYPERLINK("https://klasma.github.io/Logging_0512/tillsyn/A 58691-2023 tillsynsbegäran.docx", "A 58691-2023")</f>
        <v/>
      </c>
      <c r="AD13">
        <f>HYPERLINK("https://klasma.github.io/Logging_0512/tillsynsmail/A 58691-2023 tillsynsbegäran mail.docx", "A 58691-2023")</f>
        <v/>
      </c>
      <c r="AE13">
        <f>HYPERLINK("https://klasma.github.io/Logging_0512/fåglar/A 58691-2023 prioriterade fågelarter.docx", "A 58691-2023")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46269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Svinrot
Blåsippa</t>
        </is>
      </c>
      <c r="W14">
        <f>HYPERLINK("https://klasma.github.io/Logging_0512/artfynd/A 17526-2024 artfynd.xlsx", "A 17526-2024")</f>
        <v/>
      </c>
      <c r="X14">
        <f>HYPERLINK("https://klasma.github.io/Logging_0512/kartor/A 17526-2024 karta.png", "A 17526-2024")</f>
        <v/>
      </c>
      <c r="Y14">
        <f>HYPERLINK("https://klasma.github.io/Logging_0512/kartor_geotiff/A 17526-2024 georefererad karta.tif", "A 17526-2024")</f>
        <v/>
      </c>
      <c r="AA14">
        <f>HYPERLINK("https://klasma.github.io/Logging_0512/klagomål/A 17526-2024 FSC-klagomål.docx", "A 17526-2024")</f>
        <v/>
      </c>
      <c r="AB14">
        <f>HYPERLINK("https://klasma.github.io/Logging_0512/klagomålsmail/A 17526-2024 FSC-klagomål mail.docx", "A 17526-2024")</f>
        <v/>
      </c>
      <c r="AC14">
        <f>HYPERLINK("https://klasma.github.io/Logging_0512/tillsyn/A 17526-2024 tillsynsbegäran.docx", "A 17526-2024")</f>
        <v/>
      </c>
      <c r="AD14">
        <f>HYPERLINK("https://klasma.github.io/Logging_0512/tillsynsmail/A 17526-2024 tillsynsbegäran mail.docx", "A 17526-2024")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46269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52667-2022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44874</v>
      </c>
      <c r="E16" s="1" t="n">
        <v>46269</v>
      </c>
      <c r="F16" t="inlineStr">
        <is>
          <t>ÖSTERGÖTLANDS LÄN</t>
        </is>
      </c>
      <c r="G16" t="inlineStr">
        <is>
          <t>YDRE</t>
        </is>
      </c>
      <c r="I16" t="n">
        <v>1.2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Solvända
Mattlummer</t>
        </is>
      </c>
      <c r="W16">
        <f>HYPERLINK("https://klasma.github.io/Logging_0512/artfynd/A 52667-2022 artfynd.xlsx", "A 52667-2022")</f>
        <v/>
      </c>
      <c r="X16">
        <f>HYPERLINK("https://klasma.github.io/Logging_0512/kartor/A 52667-2022 karta.png", "A 52667-2022")</f>
        <v/>
      </c>
      <c r="Y16">
        <f>HYPERLINK("https://klasma.github.io/Logging_0512/kartor_geotiff/A 52667-2022 georefererad karta.tif", "A 52667-2022")</f>
        <v/>
      </c>
      <c r="AA16">
        <f>HYPERLINK("https://klasma.github.io/Logging_0512/klagomål/A 52667-2022 FSC-klagomål.docx", "A 52667-2022")</f>
        <v/>
      </c>
      <c r="AB16">
        <f>HYPERLINK("https://klasma.github.io/Logging_0512/klagomålsmail/A 52667-2022 FSC-klagomål mail.docx", "A 52667-2022")</f>
        <v/>
      </c>
      <c r="AC16">
        <f>HYPERLINK("https://klasma.github.io/Logging_0512/tillsyn/A 52667-2022 tillsynsbegäran.docx", "A 52667-2022")</f>
        <v/>
      </c>
      <c r="AD16">
        <f>HYPERLINK("https://klasma.github.io/Logging_0512/tillsynsmail/A 52667-2022 tillsynsbegäran mail.docx", "A 52667-2022")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46269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46269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46269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46269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46269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46269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46269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46269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HYPERLINK("https://klasma.github.io/Logging_0512/artfynd/A 65337-2021 artfynd.xlsx", "A 65337-2021")</f>
        <v/>
      </c>
      <c r="X24">
        <f>HYPERLINK("https://klasma.github.io/Logging_0512/kartor/A 65337-2021 karta.png", "A 65337-2021")</f>
        <v/>
      </c>
      <c r="Y24">
        <f>HYPERLINK("https://klasma.github.io/Logging_0512/kartor_geotiff/A 65337-2021 georefererad karta.tif", "A 65337-2021")</f>
        <v/>
      </c>
      <c r="AA24">
        <f>HYPERLINK("https://klasma.github.io/Logging_0512/klagomål/A 65337-2021 FSC-klagomål.docx", "A 65337-2021")</f>
        <v/>
      </c>
      <c r="AB24">
        <f>HYPERLINK("https://klasma.github.io/Logging_0512/klagomålsmail/A 65337-2021 FSC-klagomål mail.docx", "A 65337-2021")</f>
        <v/>
      </c>
      <c r="AC24">
        <f>HYPERLINK("https://klasma.github.io/Logging_0512/tillsyn/A 65337-2021 tillsynsbegäran.docx", "A 65337-2021")</f>
        <v/>
      </c>
      <c r="AD24">
        <f>HYPERLINK("https://klasma.github.io/Logging_0512/tillsynsmail/A 65337-2021 tillsynsbegäran mail.docx", "A 65337-2021")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46269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46269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45354-2023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45192</v>
      </c>
      <c r="E27" s="1" t="n">
        <v>46269</v>
      </c>
      <c r="F27" t="inlineStr">
        <is>
          <t>ÖSTERGÖTLANDS LÄN</t>
        </is>
      </c>
      <c r="G27" t="inlineStr">
        <is>
          <t>YDRE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45354-2023 artfynd.xlsx", "A 45354-2023")</f>
        <v/>
      </c>
      <c r="X27">
        <f>HYPERLINK("https://klasma.github.io/Logging_0512/kartor/A 45354-2023 karta.png", "A 45354-2023")</f>
        <v/>
      </c>
      <c r="Y27">
        <f>HYPERLINK("https://klasma.github.io/Logging_0512/kartor_geotiff/A 45354-2023 georefererad karta.tif", "A 45354-2023")</f>
        <v/>
      </c>
      <c r="AA27">
        <f>HYPERLINK("https://klasma.github.io/Logging_0512/klagomål/A 45354-2023 FSC-klagomål.docx", "A 45354-2023")</f>
        <v/>
      </c>
      <c r="AB27">
        <f>HYPERLINK("https://klasma.github.io/Logging_0512/klagomålsmail/A 45354-2023 FSC-klagomål mail.docx", "A 45354-2023")</f>
        <v/>
      </c>
      <c r="AC27">
        <f>HYPERLINK("https://klasma.github.io/Logging_0512/tillsyn/A 45354-2023 tillsynsbegäran.docx", "A 45354-2023")</f>
        <v/>
      </c>
      <c r="AD27">
        <f>HYPERLINK("https://klasma.github.io/Logging_0512/tillsynsmail/A 45354-2023 tillsynsbegäran mail.docx", "A 45354-2023")</f>
        <v/>
      </c>
    </row>
    <row r="28" ht="15" customHeight="1">
      <c r="A28" t="inlineStr">
        <is>
          <t>A 19370-2025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46269</v>
      </c>
      <c r="F28" t="inlineStr">
        <is>
          <t>ÖSTERGÖTLANDS LÄN</t>
        </is>
      </c>
      <c r="G28" t="inlineStr">
        <is>
          <t>YDRE</t>
        </is>
      </c>
      <c r="I28" t="n">
        <v>5.3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Smal guldkornsfibbla</t>
        </is>
      </c>
      <c r="W28">
        <f>HYPERLINK("https://klasma.github.io/Logging_0512/artfynd/A 19370-2025 artfynd.xlsx", "A 19370-2025")</f>
        <v/>
      </c>
      <c r="X28">
        <f>HYPERLINK("https://klasma.github.io/Logging_0512/kartor/A 19370-2025 karta.png", "A 19370-2025")</f>
        <v/>
      </c>
      <c r="Y28">
        <f>HYPERLINK("https://klasma.github.io/Logging_0512/kartor_geotiff/A 19370-2025 georefererad karta.tif", "A 19370-2025")</f>
        <v/>
      </c>
      <c r="AA28">
        <f>HYPERLINK("https://klasma.github.io/Logging_0512/klagomål/A 19370-2025 FSC-klagomål.docx", "A 19370-2025")</f>
        <v/>
      </c>
      <c r="AB28">
        <f>HYPERLINK("https://klasma.github.io/Logging_0512/klagomålsmail/A 19370-2025 FSC-klagomål mail.docx", "A 19370-2025")</f>
        <v/>
      </c>
      <c r="AC28">
        <f>HYPERLINK("https://klasma.github.io/Logging_0512/tillsyn/A 19370-2025 tillsynsbegäran.docx", "A 19370-2025")</f>
        <v/>
      </c>
      <c r="AD28">
        <f>HYPERLINK("https://klasma.github.io/Logging_0512/tillsynsmail/A 19370-2025 tillsynsbegäran mail.docx", "A 19370-2025")</f>
        <v/>
      </c>
    </row>
    <row r="29" ht="15" customHeight="1">
      <c r="A29" t="inlineStr">
        <is>
          <t>A 16704-2025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46269</v>
      </c>
      <c r="F29" t="inlineStr">
        <is>
          <t>ÖSTERGÖTLANDS LÄN</t>
        </is>
      </c>
      <c r="G29" t="inlineStr">
        <is>
          <t>YDRE</t>
        </is>
      </c>
      <c r="I29" t="n">
        <v>0.5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HYPERLINK("https://klasma.github.io/Logging_0512/artfynd/A 16704-2025 artfynd.xlsx", "A 16704-2025")</f>
        <v/>
      </c>
      <c r="X29">
        <f>HYPERLINK("https://klasma.github.io/Logging_0512/kartor/A 16704-2025 karta.png", "A 16704-2025")</f>
        <v/>
      </c>
      <c r="Y29">
        <f>HYPERLINK("https://klasma.github.io/Logging_0512/kartor_geotiff/A 16704-2025 georefererad karta.tif", "A 16704-2025")</f>
        <v/>
      </c>
      <c r="AA29">
        <f>HYPERLINK("https://klasma.github.io/Logging_0512/klagomål/A 16704-2025 FSC-klagomål.docx", "A 16704-2025")</f>
        <v/>
      </c>
      <c r="AB29">
        <f>HYPERLINK("https://klasma.github.io/Logging_0512/klagomålsmail/A 16704-2025 FSC-klagomål mail.docx", "A 16704-2025")</f>
        <v/>
      </c>
      <c r="AC29">
        <f>HYPERLINK("https://klasma.github.io/Logging_0512/tillsyn/A 16704-2025 tillsynsbegäran.docx", "A 16704-2025")</f>
        <v/>
      </c>
      <c r="AD29">
        <f>HYPERLINK("https://klasma.github.io/Logging_0512/tillsynsmail/A 16704-2025 tillsynsbegäran mail.docx", "A 16704-2025")</f>
        <v/>
      </c>
    </row>
    <row r="30" ht="15" customHeight="1">
      <c r="A30" t="inlineStr">
        <is>
          <t>A 47467-2021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46269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1.8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HYPERLINK("https://klasma.github.io/Logging_0512/artfynd/A 47467-2021 artfynd.xlsx", "A 47467-2021")</f>
        <v/>
      </c>
      <c r="X30">
        <f>HYPERLINK("https://klasma.github.io/Logging_0512/kartor/A 47467-2021 karta.png", "A 47467-2021")</f>
        <v/>
      </c>
      <c r="Y30">
        <f>HYPERLINK("https://klasma.github.io/Logging_0512/kartor_geotiff/A 47467-2021 georefererad karta.tif", "A 47467-2021")</f>
        <v/>
      </c>
      <c r="AA30">
        <f>HYPERLINK("https://klasma.github.io/Logging_0512/klagomål/A 47467-2021 FSC-klagomål.docx", "A 47467-2021")</f>
        <v/>
      </c>
      <c r="AB30">
        <f>HYPERLINK("https://klasma.github.io/Logging_0512/klagomålsmail/A 47467-2021 FSC-klagomål mail.docx", "A 47467-2021")</f>
        <v/>
      </c>
      <c r="AC30">
        <f>HYPERLINK("https://klasma.github.io/Logging_0512/tillsyn/A 47467-2021 tillsynsbegäran.docx", "A 47467-2021")</f>
        <v/>
      </c>
      <c r="AD30">
        <f>HYPERLINK("https://klasma.github.io/Logging_0512/tillsynsmail/A 47467-2021 tillsynsbegäran mail.docx", "A 47467-2021")</f>
        <v/>
      </c>
    </row>
    <row r="31" ht="15" customHeight="1">
      <c r="A31" t="inlineStr">
        <is>
          <t>A 48344-2022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44858</v>
      </c>
      <c r="E31" s="1" t="n">
        <v>46269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7.6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Gullklöver</t>
        </is>
      </c>
      <c r="W31">
        <f>HYPERLINK("https://klasma.github.io/Logging_0512/artfynd/A 48344-2022 artfynd.xlsx", "A 48344-2022")</f>
        <v/>
      </c>
      <c r="X31">
        <f>HYPERLINK("https://klasma.github.io/Logging_0512/kartor/A 48344-2022 karta.png", "A 48344-2022")</f>
        <v/>
      </c>
      <c r="Y31">
        <f>HYPERLINK("https://klasma.github.io/Logging_0512/kartor_geotiff/A 48344-2022 georefererad karta.tif", "A 48344-2022")</f>
        <v/>
      </c>
      <c r="AA31">
        <f>HYPERLINK("https://klasma.github.io/Logging_0512/klagomål/A 48344-2022 FSC-klagomål.docx", "A 48344-2022")</f>
        <v/>
      </c>
      <c r="AB31">
        <f>HYPERLINK("https://klasma.github.io/Logging_0512/klagomålsmail/A 48344-2022 FSC-klagomål mail.docx", "A 48344-2022")</f>
        <v/>
      </c>
      <c r="AC31">
        <f>HYPERLINK("https://klasma.github.io/Logging_0512/tillsyn/A 48344-2022 tillsynsbegäran.docx", "A 48344-2022")</f>
        <v/>
      </c>
      <c r="AD31">
        <f>HYPERLINK("https://klasma.github.io/Logging_0512/tillsynsmail/A 48344-2022 tillsynsbegäran mail.docx", "A 48344-2022")</f>
        <v/>
      </c>
    </row>
    <row r="32" ht="15" customHeight="1">
      <c r="A32" t="inlineStr">
        <is>
          <t>A 12669-2025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45733</v>
      </c>
      <c r="E32" s="1" t="n">
        <v>46269</v>
      </c>
      <c r="F32" t="inlineStr">
        <is>
          <t>ÖSTERGÖTLANDS LÄN</t>
        </is>
      </c>
      <c r="G32" t="inlineStr">
        <is>
          <t>YDRE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Nattviol</t>
        </is>
      </c>
      <c r="W32">
        <f>HYPERLINK("https://klasma.github.io/Logging_0512/artfynd/A 12669-2025 artfynd.xlsx", "A 12669-2025")</f>
        <v/>
      </c>
      <c r="X32">
        <f>HYPERLINK("https://klasma.github.io/Logging_0512/kartor/A 12669-2025 karta.png", "A 12669-2025")</f>
        <v/>
      </c>
      <c r="Y32">
        <f>HYPERLINK("https://klasma.github.io/Logging_0512/kartor_geotiff/A 12669-2025 georefererad karta.tif", "A 12669-2025")</f>
        <v/>
      </c>
      <c r="AA32">
        <f>HYPERLINK("https://klasma.github.io/Logging_0512/klagomål/A 12669-2025 FSC-klagomål.docx", "A 12669-2025")</f>
        <v/>
      </c>
      <c r="AB32">
        <f>HYPERLINK("https://klasma.github.io/Logging_0512/klagomålsmail/A 12669-2025 FSC-klagomål mail.docx", "A 12669-2025")</f>
        <v/>
      </c>
      <c r="AC32">
        <f>HYPERLINK("https://klasma.github.io/Logging_0512/tillsyn/A 12669-2025 tillsynsbegäran.docx", "A 12669-2025")</f>
        <v/>
      </c>
      <c r="AD32">
        <f>HYPERLINK("https://klasma.github.io/Logging_0512/tillsynsmail/A 12669-2025 tillsynsbegäran mail.docx", "A 12669-2025")</f>
        <v/>
      </c>
    </row>
    <row r="33" ht="15" customHeight="1">
      <c r="A33" t="inlineStr">
        <is>
          <t>A 45765-2025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46269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Sommarfibbla</t>
        </is>
      </c>
      <c r="W33">
        <f>HYPERLINK("https://klasma.github.io/Logging_0512/artfynd/A 45765-2025 artfynd.xlsx", "A 45765-2025")</f>
        <v/>
      </c>
      <c r="X33">
        <f>HYPERLINK("https://klasma.github.io/Logging_0512/kartor/A 45765-2025 karta.png", "A 45765-2025")</f>
        <v/>
      </c>
      <c r="Y33">
        <f>HYPERLINK("https://klasma.github.io/Logging_0512/kartor_geotiff/A 45765-2025 georefererad karta.tif", "A 45765-2025")</f>
        <v/>
      </c>
      <c r="AA33">
        <f>HYPERLINK("https://klasma.github.io/Logging_0512/klagomål/A 45765-2025 FSC-klagomål.docx", "A 45765-2025")</f>
        <v/>
      </c>
      <c r="AB33">
        <f>HYPERLINK("https://klasma.github.io/Logging_0512/klagomålsmail/A 45765-2025 FSC-klagomål mail.docx", "A 45765-2025")</f>
        <v/>
      </c>
      <c r="AC33">
        <f>HYPERLINK("https://klasma.github.io/Logging_0512/tillsyn/A 45765-2025 tillsynsbegäran.docx", "A 45765-2025")</f>
        <v/>
      </c>
      <c r="AD33">
        <f>HYPERLINK("https://klasma.github.io/Logging_0512/tillsynsmail/A 45765-2025 tillsynsbegäran mail.docx", "A 45765-2025")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46269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44503-2025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46269</v>
      </c>
      <c r="F35" t="inlineStr">
        <is>
          <t>ÖSTERGÖTLANDS LÄN</t>
        </is>
      </c>
      <c r="G35" t="inlineStr">
        <is>
          <t>YDRE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HYPERLINK("https://klasma.github.io/Logging_0512/artfynd/A 44503-2025 artfynd.xlsx", "A 44503-2025")</f>
        <v/>
      </c>
      <c r="X35">
        <f>HYPERLINK("https://klasma.github.io/Logging_0512/kartor/A 44503-2025 karta.png", "A 44503-2025")</f>
        <v/>
      </c>
      <c r="Y35">
        <f>HYPERLINK("https://klasma.github.io/Logging_0512/kartor_geotiff/A 44503-2025 georefererad karta.tif", "A 44503-2025")</f>
        <v/>
      </c>
      <c r="AA35">
        <f>HYPERLINK("https://klasma.github.io/Logging_0512/klagomål/A 44503-2025 FSC-klagomål.docx", "A 44503-2025")</f>
        <v/>
      </c>
      <c r="AB35">
        <f>HYPERLINK("https://klasma.github.io/Logging_0512/klagomålsmail/A 44503-2025 FSC-klagomål mail.docx", "A 44503-2025")</f>
        <v/>
      </c>
      <c r="AC35">
        <f>HYPERLINK("https://klasma.github.io/Logging_0512/tillsyn/A 44503-2025 tillsynsbegäran.docx", "A 44503-2025")</f>
        <v/>
      </c>
      <c r="AD35">
        <f>HYPERLINK("https://klasma.github.io/Logging_0512/tillsynsmail/A 44503-2025 tillsynsbegäran mail.docx", "A 44503-2025")</f>
        <v/>
      </c>
    </row>
    <row r="36" ht="15" customHeight="1">
      <c r="A36" t="inlineStr">
        <is>
          <t>A 45771-2025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46269</v>
      </c>
      <c r="F36" t="inlineStr">
        <is>
          <t>ÖSTERGÖTLANDS LÄN</t>
        </is>
      </c>
      <c r="G36" t="inlineStr">
        <is>
          <t>YDRE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Kattfotslav</t>
        </is>
      </c>
      <c r="W36">
        <f>HYPERLINK("https://klasma.github.io/Logging_0512/artfynd/A 45771-2025 artfynd.xlsx", "A 45771-2025")</f>
        <v/>
      </c>
      <c r="X36">
        <f>HYPERLINK("https://klasma.github.io/Logging_0512/kartor/A 45771-2025 karta.png", "A 45771-2025")</f>
        <v/>
      </c>
      <c r="Y36">
        <f>HYPERLINK("https://klasma.github.io/Logging_0512/kartor_geotiff/A 45771-2025 georefererad karta.tif", "A 45771-2025")</f>
        <v/>
      </c>
      <c r="AA36">
        <f>HYPERLINK("https://klasma.github.io/Logging_0512/klagomål/A 45771-2025 FSC-klagomål.docx", "A 45771-2025")</f>
        <v/>
      </c>
      <c r="AB36">
        <f>HYPERLINK("https://klasma.github.io/Logging_0512/klagomålsmail/A 45771-2025 FSC-klagomål mail.docx", "A 45771-2025")</f>
        <v/>
      </c>
      <c r="AC36">
        <f>HYPERLINK("https://klasma.github.io/Logging_0512/tillsyn/A 45771-2025 tillsynsbegäran.docx", "A 45771-2025")</f>
        <v/>
      </c>
      <c r="AD36">
        <f>HYPERLINK("https://klasma.github.io/Logging_0512/tillsynsmail/A 45771-2025 tillsynsbegäran mail.docx", "A 45771-2025")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46269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54075-2025 artfynd.xlsx", "A 54075-2025")</f>
        <v/>
      </c>
      <c r="X37">
        <f>HYPERLINK("https://klasma.github.io/Logging_0512/kartor/A 54075-2025 karta.png", "A 54075-2025")</f>
        <v/>
      </c>
      <c r="Y37">
        <f>HYPERLINK("https://klasma.github.io/Logging_0512/kartor_geotiff/A 54075-2025 georefererad karta.tif", "A 54075-2025")</f>
        <v/>
      </c>
      <c r="AA37">
        <f>HYPERLINK("https://klasma.github.io/Logging_0512/klagomål/A 54075-2025 FSC-klagomål.docx", "A 54075-2025")</f>
        <v/>
      </c>
      <c r="AB37">
        <f>HYPERLINK("https://klasma.github.io/Logging_0512/klagomålsmail/A 54075-2025 FSC-klagomål mail.docx", "A 54075-2025")</f>
        <v/>
      </c>
      <c r="AC37">
        <f>HYPERLINK("https://klasma.github.io/Logging_0512/tillsyn/A 54075-2025 tillsynsbegäran.docx", "A 54075-2025")</f>
        <v/>
      </c>
      <c r="AD37">
        <f>HYPERLINK("https://klasma.github.io/Logging_0512/tillsynsmail/A 54075-2025 tillsynsbegäran mail.docx", "A 54075-2025")</f>
        <v/>
      </c>
    </row>
    <row r="38" ht="15" customHeight="1">
      <c r="A38" t="inlineStr">
        <is>
          <t>A 54520-2025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46269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Talltita</t>
        </is>
      </c>
      <c r="W38">
        <f>HYPERLINK("https://klasma.github.io/Logging_0512/artfynd/A 54520-2025 artfynd.xlsx", "A 54520-2025")</f>
        <v/>
      </c>
      <c r="X38">
        <f>HYPERLINK("https://klasma.github.io/Logging_0512/kartor/A 54520-2025 karta.png", "A 54520-2025")</f>
        <v/>
      </c>
      <c r="Y38">
        <f>HYPERLINK("https://klasma.github.io/Logging_0512/kartor_geotiff/A 54520-2025 georefererad karta.tif", "A 54520-2025")</f>
        <v/>
      </c>
      <c r="AA38">
        <f>HYPERLINK("https://klasma.github.io/Logging_0512/klagomål/A 54520-2025 FSC-klagomål.docx", "A 54520-2025")</f>
        <v/>
      </c>
      <c r="AB38">
        <f>HYPERLINK("https://klasma.github.io/Logging_0512/klagomålsmail/A 54520-2025 FSC-klagomål mail.docx", "A 54520-2025")</f>
        <v/>
      </c>
      <c r="AC38">
        <f>HYPERLINK("https://klasma.github.io/Logging_0512/tillsyn/A 54520-2025 tillsynsbegäran.docx", "A 54520-2025")</f>
        <v/>
      </c>
      <c r="AD38">
        <f>HYPERLINK("https://klasma.github.io/Logging_0512/tillsynsmail/A 54520-2025 tillsynsbegäran mail.docx", "A 54520-2025")</f>
        <v/>
      </c>
      <c r="AE38">
        <f>HYPERLINK("https://klasma.github.io/Logging_0512/fåglar/A 54520-2025 prioriterade fågelarter.docx", "A 54520-2025")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46269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46269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46269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46269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46269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46269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46269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46269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46269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46269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46269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46269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46269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46269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46269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46269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46269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46269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46269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46269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46269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46269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46269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46269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46269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46269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46269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46269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46269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46269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46269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46269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46269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44477</v>
      </c>
      <c r="E73" s="1" t="n">
        <v>46269</v>
      </c>
      <c r="F73" t="inlineStr">
        <is>
          <t>ÖSTERGÖTLANDS LÄN</t>
        </is>
      </c>
      <c r="G73" t="inlineStr">
        <is>
          <t>YDRE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46269</v>
      </c>
      <c r="F74" t="inlineStr">
        <is>
          <t>ÖSTERGÖTLANDS LÄN</t>
        </is>
      </c>
      <c r="G74" t="inlineStr">
        <is>
          <t>YDRE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46269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53909-2021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44469</v>
      </c>
      <c r="E76" s="1" t="n">
        <v>46269</v>
      </c>
      <c r="F76" t="inlineStr">
        <is>
          <t>ÖSTERGÖTLANDS LÄN</t>
        </is>
      </c>
      <c r="G76" t="inlineStr">
        <is>
          <t>YDRE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69307-2021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44531</v>
      </c>
      <c r="E77" s="1" t="n">
        <v>46269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46269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46269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46269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46269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46269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59296-2021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46269</v>
      </c>
      <c r="F83" t="inlineStr">
        <is>
          <t>ÖSTERGÖTLANDS LÄN</t>
        </is>
      </c>
      <c r="G83" t="inlineStr">
        <is>
          <t>YDRE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45475</v>
      </c>
      <c r="E84" s="1" t="n">
        <v>46269</v>
      </c>
      <c r="F84" t="inlineStr">
        <is>
          <t>ÖSTERGÖTLANDS LÄN</t>
        </is>
      </c>
      <c r="G84" t="inlineStr">
        <is>
          <t>YDRE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46269</v>
      </c>
      <c r="F85" t="inlineStr">
        <is>
          <t>ÖSTERGÖTLANDS LÄN</t>
        </is>
      </c>
      <c r="G85" t="inlineStr">
        <is>
          <t>YDRE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12569-2023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45000</v>
      </c>
      <c r="E86" s="1" t="n">
        <v>46269</v>
      </c>
      <c r="F86" t="inlineStr">
        <is>
          <t>ÖSTERGÖTLANDS LÄN</t>
        </is>
      </c>
      <c r="G86" t="inlineStr">
        <is>
          <t>YDRE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45544</v>
      </c>
      <c r="E87" s="1" t="n">
        <v>46269</v>
      </c>
      <c r="F87" t="inlineStr">
        <is>
          <t>ÖSTERGÖTLANDS LÄN</t>
        </is>
      </c>
      <c r="G87" t="inlineStr">
        <is>
          <t>YDRE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46269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46269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14101-2022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44651</v>
      </c>
      <c r="E90" s="1" t="n">
        <v>46269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46269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46269</v>
      </c>
      <c r="F92" t="inlineStr">
        <is>
          <t>ÖSTERGÖTLANDS LÄN</t>
        </is>
      </c>
      <c r="G92" t="inlineStr">
        <is>
          <t>YDRE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46269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46269</v>
      </c>
      <c r="F94" t="inlineStr">
        <is>
          <t>ÖSTERGÖTLANDS LÄN</t>
        </is>
      </c>
      <c r="G94" t="inlineStr">
        <is>
          <t>YDRE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46269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46269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46269</v>
      </c>
      <c r="F97" t="inlineStr">
        <is>
          <t>ÖSTERGÖTLANDS LÄN</t>
        </is>
      </c>
      <c r="G97" t="inlineStr">
        <is>
          <t>YDRE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45575</v>
      </c>
      <c r="E98" s="1" t="n">
        <v>46269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44655</v>
      </c>
      <c r="E99" s="1" t="n">
        <v>46269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46269</v>
      </c>
      <c r="F100" t="inlineStr">
        <is>
          <t>ÖSTERGÖTLANDS LÄN</t>
        </is>
      </c>
      <c r="G100" t="inlineStr">
        <is>
          <t>YDRE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46269</v>
      </c>
      <c r="F101" t="inlineStr">
        <is>
          <t>ÖSTERGÖTLANDS LÄN</t>
        </is>
      </c>
      <c r="G101" t="inlineStr">
        <is>
          <t>YDRE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46269</v>
      </c>
      <c r="F102" t="inlineStr">
        <is>
          <t>ÖSTERGÖTLANDS LÄN</t>
        </is>
      </c>
      <c r="G102" t="inlineStr">
        <is>
          <t>YDRE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46269</v>
      </c>
      <c r="F103" t="inlineStr">
        <is>
          <t>ÖSTERGÖTLANDS LÄN</t>
        </is>
      </c>
      <c r="G103" t="inlineStr">
        <is>
          <t>YDRE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46269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46269</v>
      </c>
      <c r="F105" t="inlineStr">
        <is>
          <t>ÖSTERGÖTLANDS LÄN</t>
        </is>
      </c>
      <c r="G105" t="inlineStr">
        <is>
          <t>YDRE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46269</v>
      </c>
      <c r="F106" t="inlineStr">
        <is>
          <t>ÖSTERGÖTLANDS LÄN</t>
        </is>
      </c>
      <c r="G106" t="inlineStr">
        <is>
          <t>YDRE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46269</v>
      </c>
      <c r="F107" t="inlineStr">
        <is>
          <t>ÖSTERGÖTLANDS LÄN</t>
        </is>
      </c>
      <c r="G107" t="inlineStr">
        <is>
          <t>YDRE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46269</v>
      </c>
      <c r="F108" t="inlineStr">
        <is>
          <t>ÖSTERGÖTLANDS LÄN</t>
        </is>
      </c>
      <c r="G108" t="inlineStr">
        <is>
          <t>YDRE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46269</v>
      </c>
      <c r="F109" t="inlineStr">
        <is>
          <t>ÖSTERGÖTLANDS LÄN</t>
        </is>
      </c>
      <c r="G109" t="inlineStr">
        <is>
          <t>YDRE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45666</v>
      </c>
      <c r="E110" s="1" t="n">
        <v>46269</v>
      </c>
      <c r="F110" t="inlineStr">
        <is>
          <t>ÖSTERGÖTLANDS LÄN</t>
        </is>
      </c>
      <c r="G110" t="inlineStr">
        <is>
          <t>YDRE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46269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46269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46269</v>
      </c>
      <c r="F113" t="inlineStr">
        <is>
          <t>ÖSTERGÖTLANDS LÄN</t>
        </is>
      </c>
      <c r="G113" t="inlineStr">
        <is>
          <t>YDRE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46269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44916</v>
      </c>
      <c r="E115" s="1" t="n">
        <v>46269</v>
      </c>
      <c r="F115" t="inlineStr">
        <is>
          <t>ÖSTERGÖTLANDS LÄN</t>
        </is>
      </c>
      <c r="G115" t="inlineStr">
        <is>
          <t>YDRE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55867-2023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46269</v>
      </c>
      <c r="F116" t="inlineStr">
        <is>
          <t>ÖSTERGÖTLANDS LÄN</t>
        </is>
      </c>
      <c r="G116" t="inlineStr">
        <is>
          <t>YDRE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46269</v>
      </c>
      <c r="F117" t="inlineStr">
        <is>
          <t>ÖSTERGÖTLANDS LÄN</t>
        </is>
      </c>
      <c r="G117" t="inlineStr">
        <is>
          <t>YDRE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46269</v>
      </c>
      <c r="F118" t="inlineStr">
        <is>
          <t>ÖSTERGÖTLANDS LÄN</t>
        </is>
      </c>
      <c r="G118" t="inlineStr">
        <is>
          <t>YDRE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46269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45596</v>
      </c>
      <c r="E120" s="1" t="n">
        <v>46269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45016</v>
      </c>
      <c r="E121" s="1" t="n">
        <v>46269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45634</v>
      </c>
      <c r="E122" s="1" t="n">
        <v>46269</v>
      </c>
      <c r="F122" t="inlineStr">
        <is>
          <t>ÖSTERGÖTLANDS LÄN</t>
        </is>
      </c>
      <c r="G122" t="inlineStr">
        <is>
          <t>YDRE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45649</v>
      </c>
      <c r="E123" s="1" t="n">
        <v>46269</v>
      </c>
      <c r="F123" t="inlineStr">
        <is>
          <t>ÖSTERGÖTLANDS LÄN</t>
        </is>
      </c>
      <c r="G123" t="inlineStr">
        <is>
          <t>YDRE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46269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46269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46269</v>
      </c>
      <c r="F126" t="inlineStr">
        <is>
          <t>ÖSTERGÖTLANDS LÄN</t>
        </is>
      </c>
      <c r="G126" t="inlineStr">
        <is>
          <t>YDRE</t>
        </is>
      </c>
      <c r="H126" t="inlineStr">
        <is>
          <t>Kyrkan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45273</v>
      </c>
      <c r="E127" s="1" t="n">
        <v>46269</v>
      </c>
      <c r="F127" t="inlineStr">
        <is>
          <t>ÖSTERGÖTLANDS LÄN</t>
        </is>
      </c>
      <c r="G127" t="inlineStr">
        <is>
          <t>YDRE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46269</v>
      </c>
      <c r="F128" t="inlineStr">
        <is>
          <t>ÖSTERGÖTLANDS LÄN</t>
        </is>
      </c>
      <c r="G128" t="inlineStr">
        <is>
          <t>YDRE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55844-2021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44476</v>
      </c>
      <c r="E129" s="1" t="n">
        <v>46269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46269</v>
      </c>
      <c r="F130" t="inlineStr">
        <is>
          <t>ÖSTERGÖTLANDS LÄN</t>
        </is>
      </c>
      <c r="G130" t="inlineStr">
        <is>
          <t>YDRE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46269</v>
      </c>
      <c r="F131" t="inlineStr">
        <is>
          <t>ÖSTERGÖTLANDS LÄN</t>
        </is>
      </c>
      <c r="G131" t="inlineStr">
        <is>
          <t>YDRE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46269</v>
      </c>
      <c r="F132" t="inlineStr">
        <is>
          <t>ÖSTERGÖTLANDS LÄN</t>
        </is>
      </c>
      <c r="G132" t="inlineStr">
        <is>
          <t>YDRE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46269</v>
      </c>
      <c r="F133" t="inlineStr">
        <is>
          <t>ÖSTERGÖTLANDS LÄN</t>
        </is>
      </c>
      <c r="G133" t="inlineStr">
        <is>
          <t>YDRE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44562</v>
      </c>
      <c r="E134" s="1" t="n">
        <v>46269</v>
      </c>
      <c r="F134" t="inlineStr">
        <is>
          <t>ÖSTERGÖTLANDS LÄN</t>
        </is>
      </c>
      <c r="G134" t="inlineStr">
        <is>
          <t>YDRE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46269</v>
      </c>
      <c r="F135" t="inlineStr">
        <is>
          <t>ÖSTERGÖTLANDS LÄN</t>
        </is>
      </c>
      <c r="G135" t="inlineStr">
        <is>
          <t>YDRE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46269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46269</v>
      </c>
      <c r="F137" t="inlineStr">
        <is>
          <t>ÖSTERGÖTLANDS LÄN</t>
        </is>
      </c>
      <c r="G137" t="inlineStr">
        <is>
          <t>YDRE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46269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46269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46269</v>
      </c>
      <c r="F140" t="inlineStr">
        <is>
          <t>ÖSTERGÖTLANDS LÄN</t>
        </is>
      </c>
      <c r="G140" t="inlineStr">
        <is>
          <t>YDRE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46269</v>
      </c>
      <c r="F141" t="inlineStr">
        <is>
          <t>ÖSTERGÖTLANDS LÄN</t>
        </is>
      </c>
      <c r="G141" t="inlineStr">
        <is>
          <t>YDRE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44576</v>
      </c>
      <c r="E142" s="1" t="n">
        <v>46269</v>
      </c>
      <c r="F142" t="inlineStr">
        <is>
          <t>ÖSTERGÖTLANDS LÄN</t>
        </is>
      </c>
      <c r="G142" t="inlineStr">
        <is>
          <t>YDRE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45758</v>
      </c>
      <c r="E143" s="1" t="n">
        <v>46269</v>
      </c>
      <c r="F143" t="inlineStr">
        <is>
          <t>ÖSTERGÖTLANDS LÄN</t>
        </is>
      </c>
      <c r="G143" t="inlineStr">
        <is>
          <t>YDRE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45707</v>
      </c>
      <c r="E144" s="1" t="n">
        <v>46269</v>
      </c>
      <c r="F144" t="inlineStr">
        <is>
          <t>ÖSTERGÖTLANDS LÄN</t>
        </is>
      </c>
      <c r="G144" t="inlineStr">
        <is>
          <t>YDRE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46269</v>
      </c>
      <c r="F145" t="inlineStr">
        <is>
          <t>ÖSTERGÖTLANDS LÄN</t>
        </is>
      </c>
      <c r="G145" t="inlineStr">
        <is>
          <t>YDRE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32635-2025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45838</v>
      </c>
      <c r="E146" s="1" t="n">
        <v>46269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56900-2022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44894</v>
      </c>
      <c r="E147" s="1" t="n">
        <v>46269</v>
      </c>
      <c r="F147" t="inlineStr">
        <is>
          <t>ÖSTERGÖTLANDS LÄN</t>
        </is>
      </c>
      <c r="G147" t="inlineStr">
        <is>
          <t>YDRE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46269</v>
      </c>
      <c r="F148" t="inlineStr">
        <is>
          <t>ÖSTERGÖTLANDS LÄN</t>
        </is>
      </c>
      <c r="G148" t="inlineStr">
        <is>
          <t>YDRE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46269</v>
      </c>
      <c r="F149" t="inlineStr">
        <is>
          <t>ÖSTERGÖTLANDS LÄN</t>
        </is>
      </c>
      <c r="G149" t="inlineStr">
        <is>
          <t>YDRE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46269</v>
      </c>
      <c r="F150" t="inlineStr">
        <is>
          <t>ÖSTERGÖTLANDS LÄN</t>
        </is>
      </c>
      <c r="G150" t="inlineStr">
        <is>
          <t>YDRE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46269</v>
      </c>
      <c r="F151" t="inlineStr">
        <is>
          <t>ÖSTERGÖTLANDS LÄN</t>
        </is>
      </c>
      <c r="G151" t="inlineStr">
        <is>
          <t>YDRE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46269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46269</v>
      </c>
      <c r="F153" t="inlineStr">
        <is>
          <t>ÖSTERGÖTLANDS LÄN</t>
        </is>
      </c>
      <c r="G153" t="inlineStr">
        <is>
          <t>YDRE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45647</v>
      </c>
      <c r="E154" s="1" t="n">
        <v>46269</v>
      </c>
      <c r="F154" t="inlineStr">
        <is>
          <t>ÖSTERGÖTLANDS LÄN</t>
        </is>
      </c>
      <c r="G154" t="inlineStr">
        <is>
          <t>YDRE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46269</v>
      </c>
      <c r="F155" t="inlineStr">
        <is>
          <t>ÖSTERGÖTLANDS LÄN</t>
        </is>
      </c>
      <c r="G155" t="inlineStr">
        <is>
          <t>YDRE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46269</v>
      </c>
      <c r="F156" t="inlineStr">
        <is>
          <t>ÖSTERGÖTLANDS LÄN</t>
        </is>
      </c>
      <c r="G156" t="inlineStr">
        <is>
          <t>YDRE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46269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45701</v>
      </c>
      <c r="E158" s="1" t="n">
        <v>46269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46269</v>
      </c>
      <c r="F159" t="inlineStr">
        <is>
          <t>ÖSTERGÖTLANDS LÄN</t>
        </is>
      </c>
      <c r="G159" t="inlineStr">
        <is>
          <t>YDRE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46269</v>
      </c>
      <c r="F160" t="inlineStr">
        <is>
          <t>ÖSTERGÖTLANDS LÄN</t>
        </is>
      </c>
      <c r="G160" t="inlineStr">
        <is>
          <t>YDRE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46269</v>
      </c>
      <c r="F161" t="inlineStr">
        <is>
          <t>ÖSTERGÖTLANDS LÄN</t>
        </is>
      </c>
      <c r="G161" t="inlineStr">
        <is>
          <t>YDRE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46269</v>
      </c>
      <c r="F162" t="inlineStr">
        <is>
          <t>ÖSTERGÖTLANDS LÄN</t>
        </is>
      </c>
      <c r="G162" t="inlineStr">
        <is>
          <t>YDRE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46269</v>
      </c>
      <c r="F163" t="inlineStr">
        <is>
          <t>ÖSTERGÖTLANDS LÄN</t>
        </is>
      </c>
      <c r="G163" t="inlineStr">
        <is>
          <t>YDRE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46269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46269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44624</v>
      </c>
      <c r="E166" s="1" t="n">
        <v>46269</v>
      </c>
      <c r="F166" t="inlineStr">
        <is>
          <t>ÖSTERGÖTLANDS LÄN</t>
        </is>
      </c>
      <c r="G166" t="inlineStr">
        <is>
          <t>YDRE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56313-2021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44480</v>
      </c>
      <c r="E167" s="1" t="n">
        <v>46269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44868</v>
      </c>
      <c r="E168" s="1" t="n">
        <v>46269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61205-2023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45264</v>
      </c>
      <c r="E169" s="1" t="n">
        <v>46269</v>
      </c>
      <c r="F169" t="inlineStr">
        <is>
          <t>ÖSTERGÖTLANDS LÄN</t>
        </is>
      </c>
      <c r="G169" t="inlineStr">
        <is>
          <t>YDRE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46269</v>
      </c>
      <c r="F170" t="inlineStr">
        <is>
          <t>ÖSTERGÖTLANDS LÄN</t>
        </is>
      </c>
      <c r="G170" t="inlineStr">
        <is>
          <t>YDRE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46269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46269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46269</v>
      </c>
      <c r="F173" t="inlineStr">
        <is>
          <t>ÖSTERGÖTLANDS LÄN</t>
        </is>
      </c>
      <c r="G173" t="inlineStr">
        <is>
          <t>YDRE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45272</v>
      </c>
      <c r="E174" s="1" t="n">
        <v>46269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46269</v>
      </c>
      <c r="F175" t="inlineStr">
        <is>
          <t>ÖSTERGÖTLANDS LÄN</t>
        </is>
      </c>
      <c r="G175" t="inlineStr">
        <is>
          <t>YDRE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46269</v>
      </c>
      <c r="F176" t="inlineStr">
        <is>
          <t>ÖSTERGÖTLANDS LÄN</t>
        </is>
      </c>
      <c r="G176" t="inlineStr">
        <is>
          <t>YDRE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46269</v>
      </c>
      <c r="F177" t="inlineStr">
        <is>
          <t>ÖSTERGÖTLANDS LÄN</t>
        </is>
      </c>
      <c r="G177" t="inlineStr">
        <is>
          <t>YDRE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46269</v>
      </c>
      <c r="F178" t="inlineStr">
        <is>
          <t>ÖSTERGÖTLANDS LÄN</t>
        </is>
      </c>
      <c r="G178" t="inlineStr">
        <is>
          <t>YDRE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27737-2022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46269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46269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46269</v>
      </c>
      <c r="F181" t="inlineStr">
        <is>
          <t>ÖSTERGÖTLANDS LÄN</t>
        </is>
      </c>
      <c r="G181" t="inlineStr">
        <is>
          <t>YDRE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46269</v>
      </c>
      <c r="F182" t="inlineStr">
        <is>
          <t>ÖSTERGÖTLANDS LÄN</t>
        </is>
      </c>
      <c r="G182" t="inlineStr">
        <is>
          <t>YDRE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46269</v>
      </c>
      <c r="F183" t="inlineStr">
        <is>
          <t>ÖSTERGÖTLANDS LÄN</t>
        </is>
      </c>
      <c r="G183" t="inlineStr">
        <is>
          <t>YDRE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17309-2024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45414</v>
      </c>
      <c r="E184" s="1" t="n">
        <v>46269</v>
      </c>
      <c r="F184" t="inlineStr">
        <is>
          <t>ÖSTERGÖTLANDS LÄN</t>
        </is>
      </c>
      <c r="G184" t="inlineStr">
        <is>
          <t>YDRE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46269</v>
      </c>
      <c r="F185" t="inlineStr">
        <is>
          <t>ÖSTERGÖTLANDS LÄN</t>
        </is>
      </c>
      <c r="G185" t="inlineStr">
        <is>
          <t>YDRE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63830-2023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45278</v>
      </c>
      <c r="E186" s="1" t="n">
        <v>46269</v>
      </c>
      <c r="F186" t="inlineStr">
        <is>
          <t>ÖSTERGÖTLANDS LÄN</t>
        </is>
      </c>
      <c r="G186" t="inlineStr">
        <is>
          <t>YDRE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46269</v>
      </c>
      <c r="F187" t="inlineStr">
        <is>
          <t>ÖSTERGÖTLANDS LÄN</t>
        </is>
      </c>
      <c r="G187" t="inlineStr">
        <is>
          <t>YDRE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46269</v>
      </c>
      <c r="F188" t="inlineStr">
        <is>
          <t>ÖSTERGÖTLANDS LÄN</t>
        </is>
      </c>
      <c r="G188" t="inlineStr">
        <is>
          <t>YDRE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44572</v>
      </c>
      <c r="E189" s="1" t="n">
        <v>46269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46269</v>
      </c>
      <c r="F190" t="inlineStr">
        <is>
          <t>ÖSTERGÖTLANDS LÄN</t>
        </is>
      </c>
      <c r="G190" t="inlineStr">
        <is>
          <t>YDRE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44711</v>
      </c>
      <c r="E191" s="1" t="n">
        <v>46269</v>
      </c>
      <c r="F191" t="inlineStr">
        <is>
          <t>ÖSTERGÖTLANDS LÄN</t>
        </is>
      </c>
      <c r="G191" t="inlineStr">
        <is>
          <t>YDRE</t>
        </is>
      </c>
      <c r="H191" t="inlineStr">
        <is>
          <t>Övriga Aktiebolag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42343-2022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46269</v>
      </c>
      <c r="F192" t="inlineStr">
        <is>
          <t>ÖSTERGÖTLANDS LÄN</t>
        </is>
      </c>
      <c r="G192" t="inlineStr">
        <is>
          <t>YDRE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44670</v>
      </c>
      <c r="E193" s="1" t="n">
        <v>46269</v>
      </c>
      <c r="F193" t="inlineStr">
        <is>
          <t>ÖSTERGÖTLANDS LÄN</t>
        </is>
      </c>
      <c r="G193" t="inlineStr">
        <is>
          <t>YDRE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46269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45587</v>
      </c>
      <c r="E195" s="1" t="n">
        <v>46269</v>
      </c>
      <c r="F195" t="inlineStr">
        <is>
          <t>ÖSTERGÖTLANDS LÄN</t>
        </is>
      </c>
      <c r="G195" t="inlineStr">
        <is>
          <t>YDRE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46269</v>
      </c>
      <c r="F196" t="inlineStr">
        <is>
          <t>ÖSTERGÖTLANDS LÄN</t>
        </is>
      </c>
      <c r="G196" t="inlineStr">
        <is>
          <t>YDRE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68983-2021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46269</v>
      </c>
      <c r="F197" t="inlineStr">
        <is>
          <t>ÖSTERGÖTLANDS LÄN</t>
        </is>
      </c>
      <c r="G197" t="inlineStr">
        <is>
          <t>YDRE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46269</v>
      </c>
      <c r="F198" t="inlineStr">
        <is>
          <t>ÖSTERGÖTLANDS LÄN</t>
        </is>
      </c>
      <c r="G198" t="inlineStr">
        <is>
          <t>YDRE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46269</v>
      </c>
      <c r="F199" t="inlineStr">
        <is>
          <t>ÖSTERGÖTLANDS LÄN</t>
        </is>
      </c>
      <c r="G199" t="inlineStr">
        <is>
          <t>YDRE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46269</v>
      </c>
      <c r="F200" t="inlineStr">
        <is>
          <t>ÖSTERGÖTLANDS LÄN</t>
        </is>
      </c>
      <c r="G200" t="inlineStr">
        <is>
          <t>YDRE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45871</v>
      </c>
      <c r="E201" s="1" t="n">
        <v>46269</v>
      </c>
      <c r="F201" t="inlineStr">
        <is>
          <t>ÖSTERGÖTLANDS LÄN</t>
        </is>
      </c>
      <c r="G201" t="inlineStr">
        <is>
          <t>YDRE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46269</v>
      </c>
      <c r="F202" t="inlineStr">
        <is>
          <t>ÖSTERGÖTLANDS LÄN</t>
        </is>
      </c>
      <c r="G202" t="inlineStr">
        <is>
          <t>YDRE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46269</v>
      </c>
      <c r="F203" t="inlineStr">
        <is>
          <t>ÖSTERGÖTLANDS LÄN</t>
        </is>
      </c>
      <c r="G203" t="inlineStr">
        <is>
          <t>YDRE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45793</v>
      </c>
      <c r="E204" s="1" t="n">
        <v>46269</v>
      </c>
      <c r="F204" t="inlineStr">
        <is>
          <t>ÖSTERGÖTLANDS LÄN</t>
        </is>
      </c>
      <c r="G204" t="inlineStr">
        <is>
          <t>YDRE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46269</v>
      </c>
      <c r="F205" t="inlineStr">
        <is>
          <t>ÖSTERGÖTLANDS LÄN</t>
        </is>
      </c>
      <c r="G205" t="inlineStr">
        <is>
          <t>YDRE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45302</v>
      </c>
      <c r="E206" s="1" t="n">
        <v>46269</v>
      </c>
      <c r="F206" t="inlineStr">
        <is>
          <t>ÖSTERGÖTLANDS LÄN</t>
        </is>
      </c>
      <c r="G206" t="inlineStr">
        <is>
          <t>YDRE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46269</v>
      </c>
      <c r="F207" t="inlineStr">
        <is>
          <t>ÖSTERGÖTLANDS LÄN</t>
        </is>
      </c>
      <c r="G207" t="inlineStr">
        <is>
          <t>YDRE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46269</v>
      </c>
      <c r="F208" t="inlineStr">
        <is>
          <t>ÖSTERGÖTLANDS LÄN</t>
        </is>
      </c>
      <c r="G208" t="inlineStr">
        <is>
          <t>YDRE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46269</v>
      </c>
      <c r="F209" t="inlineStr">
        <is>
          <t>ÖSTERGÖTLANDS LÄN</t>
        </is>
      </c>
      <c r="G209" t="inlineStr">
        <is>
          <t>YDRE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45398</v>
      </c>
      <c r="E210" s="1" t="n">
        <v>46269</v>
      </c>
      <c r="F210" t="inlineStr">
        <is>
          <t>ÖSTERGÖTLANDS LÄN</t>
        </is>
      </c>
      <c r="G210" t="inlineStr">
        <is>
          <t>YDRE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46269</v>
      </c>
      <c r="F211" t="inlineStr">
        <is>
          <t>ÖSTERGÖTLANDS LÄN</t>
        </is>
      </c>
      <c r="G211" t="inlineStr">
        <is>
          <t>YDRE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46269</v>
      </c>
      <c r="F212" t="inlineStr">
        <is>
          <t>ÖSTERGÖTLANDS LÄN</t>
        </is>
      </c>
      <c r="G212" t="inlineStr">
        <is>
          <t>YDRE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45231</v>
      </c>
      <c r="E213" s="1" t="n">
        <v>46269</v>
      </c>
      <c r="F213" t="inlineStr">
        <is>
          <t>ÖSTERGÖTLANDS LÄN</t>
        </is>
      </c>
      <c r="G213" t="inlineStr">
        <is>
          <t>YDRE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45916</v>
      </c>
      <c r="E214" s="1" t="n">
        <v>46269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45138</v>
      </c>
      <c r="E215" s="1" t="n">
        <v>46269</v>
      </c>
      <c r="F215" t="inlineStr">
        <is>
          <t>ÖSTERGÖTLANDS LÄN</t>
        </is>
      </c>
      <c r="G215" t="inlineStr">
        <is>
          <t>YDRE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62815-2021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44504</v>
      </c>
      <c r="E216" s="1" t="n">
        <v>46269</v>
      </c>
      <c r="F216" t="inlineStr">
        <is>
          <t>ÖSTERGÖTLANDS LÄN</t>
        </is>
      </c>
      <c r="G216" t="inlineStr">
        <is>
          <t>YDRE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45261</v>
      </c>
      <c r="E217" s="1" t="n">
        <v>46269</v>
      </c>
      <c r="F217" t="inlineStr">
        <is>
          <t>ÖSTERGÖTLANDS LÄN</t>
        </is>
      </c>
      <c r="G217" t="inlineStr">
        <is>
          <t>YDRE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37567-2023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46269</v>
      </c>
      <c r="F218" t="inlineStr">
        <is>
          <t>ÖSTERGÖTLANDS LÄN</t>
        </is>
      </c>
      <c r="G218" t="inlineStr">
        <is>
          <t>YDRE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14184-2022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44651</v>
      </c>
      <c r="E219" s="1" t="n">
        <v>46269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44503</v>
      </c>
      <c r="E220" s="1" t="n">
        <v>46269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46269</v>
      </c>
      <c r="F221" t="inlineStr">
        <is>
          <t>ÖSTERGÖTLANDS LÄN</t>
        </is>
      </c>
      <c r="G221" t="inlineStr">
        <is>
          <t>YDRE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46269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12.4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46269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46269</v>
      </c>
      <c r="F224" t="inlineStr">
        <is>
          <t>ÖSTERGÖTLANDS LÄN</t>
        </is>
      </c>
      <c r="G224" t="inlineStr">
        <is>
          <t>YDRE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46269</v>
      </c>
      <c r="F225" t="inlineStr">
        <is>
          <t>ÖSTERGÖTLANDS LÄN</t>
        </is>
      </c>
      <c r="G225" t="inlineStr">
        <is>
          <t>YDRE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46269</v>
      </c>
      <c r="F226" t="inlineStr">
        <is>
          <t>ÖSTERGÖTLANDS LÄN</t>
        </is>
      </c>
      <c r="G226" t="inlineStr">
        <is>
          <t>YDRE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46269</v>
      </c>
      <c r="F227" t="inlineStr">
        <is>
          <t>ÖSTERGÖTLANDS LÄN</t>
        </is>
      </c>
      <c r="G227" t="inlineStr">
        <is>
          <t>YDRE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46269</v>
      </c>
      <c r="F228" t="inlineStr">
        <is>
          <t>ÖSTERGÖTLANDS LÄN</t>
        </is>
      </c>
      <c r="G228" t="inlineStr">
        <is>
          <t>YDRE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46269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46269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44606</v>
      </c>
      <c r="E231" s="1" t="n">
        <v>46269</v>
      </c>
      <c r="F231" t="inlineStr">
        <is>
          <t>ÖSTERGÖTLANDS LÄN</t>
        </is>
      </c>
      <c r="G231" t="inlineStr">
        <is>
          <t>YDRE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46269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46269</v>
      </c>
      <c r="F233" t="inlineStr">
        <is>
          <t>ÖSTERGÖTLANDS LÄN</t>
        </is>
      </c>
      <c r="G233" t="inlineStr">
        <is>
          <t>YDRE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46269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46269</v>
      </c>
      <c r="F235" t="inlineStr">
        <is>
          <t>ÖSTERGÖTLANDS LÄN</t>
        </is>
      </c>
      <c r="G235" t="inlineStr">
        <is>
          <t>YDRE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46269</v>
      </c>
      <c r="F236" t="inlineStr">
        <is>
          <t>ÖSTERGÖTLANDS LÄN</t>
        </is>
      </c>
      <c r="G236" t="inlineStr">
        <is>
          <t>YDRE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46269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46086-2025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45924</v>
      </c>
      <c r="E238" s="1" t="n">
        <v>46269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46269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46269</v>
      </c>
      <c r="F240" t="inlineStr">
        <is>
          <t>ÖSTERGÖTLANDS LÄN</t>
        </is>
      </c>
      <c r="G240" t="inlineStr">
        <is>
          <t>YDRE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46269</v>
      </c>
      <c r="F241" t="inlineStr">
        <is>
          <t>ÖSTERGÖTLANDS LÄN</t>
        </is>
      </c>
      <c r="G241" t="inlineStr">
        <is>
          <t>YDRE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46269</v>
      </c>
      <c r="F242" t="inlineStr">
        <is>
          <t>ÖSTERGÖTLANDS LÄN</t>
        </is>
      </c>
      <c r="G242" t="inlineStr">
        <is>
          <t>YDRE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45537</v>
      </c>
      <c r="E243" s="1" t="n">
        <v>46269</v>
      </c>
      <c r="F243" t="inlineStr">
        <is>
          <t>ÖSTERGÖTLANDS LÄN</t>
        </is>
      </c>
      <c r="G243" t="inlineStr">
        <is>
          <t>YDRE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46269</v>
      </c>
      <c r="F244" t="inlineStr">
        <is>
          <t>ÖSTERGÖTLANDS LÄN</t>
        </is>
      </c>
      <c r="G244" t="inlineStr">
        <is>
          <t>YDRE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46269</v>
      </c>
      <c r="F245" t="inlineStr">
        <is>
          <t>ÖSTERGÖTLANDS LÄN</t>
        </is>
      </c>
      <c r="G245" t="inlineStr">
        <is>
          <t>YDRE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46269</v>
      </c>
      <c r="F246" t="inlineStr">
        <is>
          <t>ÖSTERGÖTLANDS LÄN</t>
        </is>
      </c>
      <c r="G246" t="inlineStr">
        <is>
          <t>YDRE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46269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46146</v>
      </c>
      <c r="E248" s="1" t="n">
        <v>46269</v>
      </c>
      <c r="F248" t="inlineStr">
        <is>
          <t>ÖSTERGÖTLANDS LÄN</t>
        </is>
      </c>
      <c r="G248" t="inlineStr">
        <is>
          <t>YDRE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46269</v>
      </c>
      <c r="F249" t="inlineStr">
        <is>
          <t>ÖSTERGÖTLANDS LÄN</t>
        </is>
      </c>
      <c r="G249" t="inlineStr">
        <is>
          <t>YDRE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46146</v>
      </c>
      <c r="E250" s="1" t="n">
        <v>46269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46146</v>
      </c>
      <c r="E251" s="1" t="n">
        <v>46269</v>
      </c>
      <c r="F251" t="inlineStr">
        <is>
          <t>ÖSTERGÖTLANDS LÄN</t>
        </is>
      </c>
      <c r="G251" t="inlineStr">
        <is>
          <t>YDRE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46146</v>
      </c>
      <c r="E252" s="1" t="n">
        <v>46269</v>
      </c>
      <c r="F252" t="inlineStr">
        <is>
          <t>ÖSTERGÖTLANDS LÄN</t>
        </is>
      </c>
      <c r="G252" t="inlineStr">
        <is>
          <t>YDRE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46146</v>
      </c>
      <c r="E253" s="1" t="n">
        <v>46269</v>
      </c>
      <c r="F253" t="inlineStr">
        <is>
          <t>ÖSTERGÖTLANDS LÄN</t>
        </is>
      </c>
      <c r="G253" t="inlineStr">
        <is>
          <t>YDRE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46269</v>
      </c>
      <c r="F254" t="inlineStr">
        <is>
          <t>ÖSTERGÖTLANDS LÄN</t>
        </is>
      </c>
      <c r="G254" t="inlineStr">
        <is>
          <t>YDRE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46269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45449-2023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45194</v>
      </c>
      <c r="E256" s="1" t="n">
        <v>46269</v>
      </c>
      <c r="F256" t="inlineStr">
        <is>
          <t>ÖSTERGÖTLANDS LÄN</t>
        </is>
      </c>
      <c r="G256" t="inlineStr">
        <is>
          <t>YDRE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46269</v>
      </c>
      <c r="F257" t="inlineStr">
        <is>
          <t>ÖSTERGÖTLANDS LÄN</t>
        </is>
      </c>
      <c r="G257" t="inlineStr">
        <is>
          <t>YDRE</t>
        </is>
      </c>
      <c r="H257" t="inlineStr">
        <is>
          <t>Kyrkan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46269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46269</v>
      </c>
      <c r="F259" t="inlineStr">
        <is>
          <t>ÖSTERGÖTLANDS LÄN</t>
        </is>
      </c>
      <c r="G259" t="inlineStr">
        <is>
          <t>YDRE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46269</v>
      </c>
      <c r="F260" t="inlineStr">
        <is>
          <t>ÖSTERGÖTLANDS LÄN</t>
        </is>
      </c>
      <c r="G260" t="inlineStr">
        <is>
          <t>YDRE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44538</v>
      </c>
      <c r="E261" s="1" t="n">
        <v>46269</v>
      </c>
      <c r="F261" t="inlineStr">
        <is>
          <t>ÖSTERGÖTLANDS LÄN</t>
        </is>
      </c>
      <c r="G261" t="inlineStr">
        <is>
          <t>YDRE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22312-2026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46154</v>
      </c>
      <c r="E262" s="1" t="n">
        <v>46269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46269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46269</v>
      </c>
      <c r="F264" t="inlineStr">
        <is>
          <t>ÖSTERGÖTLANDS LÄN</t>
        </is>
      </c>
      <c r="G264" t="inlineStr">
        <is>
          <t>YDRE</t>
        </is>
      </c>
      <c r="I264" t="n">
        <v>10.2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45634</v>
      </c>
      <c r="E265" s="1" t="n">
        <v>46269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46269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46269</v>
      </c>
      <c r="F267" t="inlineStr">
        <is>
          <t>ÖSTERGÖTLANDS LÄN</t>
        </is>
      </c>
      <c r="G267" t="inlineStr">
        <is>
          <t>YDRE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46269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44980</v>
      </c>
      <c r="E269" s="1" t="n">
        <v>46269</v>
      </c>
      <c r="F269" t="inlineStr">
        <is>
          <t>ÖSTERGÖTLANDS LÄN</t>
        </is>
      </c>
      <c r="G269" t="inlineStr">
        <is>
          <t>YDRE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45406</v>
      </c>
      <c r="E270" s="1" t="n">
        <v>46269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46269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46269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54059-2025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45964</v>
      </c>
      <c r="E273" s="1" t="n">
        <v>46269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46269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46269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46269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46269</v>
      </c>
      <c r="F277" t="inlineStr">
        <is>
          <t>ÖSTERGÖTLANDS LÄN</t>
        </is>
      </c>
      <c r="G277" t="inlineStr">
        <is>
          <t>YDRE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46269</v>
      </c>
      <c r="F278" t="inlineStr">
        <is>
          <t>ÖSTERGÖTLANDS LÄN</t>
        </is>
      </c>
      <c r="G278" t="inlineStr">
        <is>
          <t>YDRE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46269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46269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46269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46269</v>
      </c>
      <c r="F282" t="inlineStr">
        <is>
          <t>ÖSTERGÖTLANDS LÄN</t>
        </is>
      </c>
      <c r="G282" t="inlineStr">
        <is>
          <t>YDRE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46269</v>
      </c>
      <c r="F283" t="inlineStr">
        <is>
          <t>ÖSTERGÖTLANDS LÄN</t>
        </is>
      </c>
      <c r="G283" t="inlineStr">
        <is>
          <t>YDRE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2745-2026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46038</v>
      </c>
      <c r="E284" s="1" t="n">
        <v>46269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46269</v>
      </c>
      <c r="F285" t="inlineStr">
        <is>
          <t>ÖSTERGÖTLANDS LÄN</t>
        </is>
      </c>
      <c r="G285" t="inlineStr">
        <is>
          <t>YDRE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46269</v>
      </c>
      <c r="F286" t="inlineStr">
        <is>
          <t>ÖSTERGÖTLANDS LÄN</t>
        </is>
      </c>
      <c r="G286" t="inlineStr">
        <is>
          <t>YDRE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46269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24780-2026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46171</v>
      </c>
      <c r="E288" s="1" t="n">
        <v>46269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46269</v>
      </c>
      <c r="F289" t="inlineStr">
        <is>
          <t>ÖSTERGÖTLANDS LÄN</t>
        </is>
      </c>
      <c r="G289" t="inlineStr">
        <is>
          <t>YDRE</t>
        </is>
      </c>
      <c r="I289" t="n">
        <v>17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44592</v>
      </c>
      <c r="E290" s="1" t="n">
        <v>46269</v>
      </c>
      <c r="F290" t="inlineStr">
        <is>
          <t>ÖSTERGÖTLANDS LÄN</t>
        </is>
      </c>
      <c r="G290" t="inlineStr">
        <is>
          <t>YDRE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46269</v>
      </c>
      <c r="F291" t="inlineStr">
        <is>
          <t>ÖSTERGÖTLANDS LÄN</t>
        </is>
      </c>
      <c r="G291" t="inlineStr">
        <is>
          <t>YDRE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46269</v>
      </c>
      <c r="F292" t="inlineStr">
        <is>
          <t>ÖSTERGÖTLANDS LÄN</t>
        </is>
      </c>
      <c r="G292" t="inlineStr">
        <is>
          <t>YDRE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46269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46269</v>
      </c>
      <c r="F294" t="inlineStr">
        <is>
          <t>ÖSTERGÖTLANDS LÄN</t>
        </is>
      </c>
      <c r="G294" t="inlineStr">
        <is>
          <t>YDRE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46269</v>
      </c>
      <c r="F295" t="inlineStr">
        <is>
          <t>ÖSTERGÖTLANDS LÄN</t>
        </is>
      </c>
      <c r="G295" t="inlineStr">
        <is>
          <t>YDRE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46269</v>
      </c>
      <c r="F296" t="inlineStr">
        <is>
          <t>ÖSTERGÖTLANDS LÄN</t>
        </is>
      </c>
      <c r="G296" t="inlineStr">
        <is>
          <t>YDRE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46269</v>
      </c>
      <c r="F297" t="inlineStr">
        <is>
          <t>ÖSTERGÖTLANDS LÄN</t>
        </is>
      </c>
      <c r="G297" t="inlineStr">
        <is>
          <t>YDRE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46269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46183</v>
      </c>
      <c r="E299" s="1" t="n">
        <v>46269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46269</v>
      </c>
      <c r="F300" t="inlineStr">
        <is>
          <t>ÖSTERGÖTLANDS LÄN</t>
        </is>
      </c>
      <c r="G300" t="inlineStr">
        <is>
          <t>YDRE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46269</v>
      </c>
      <c r="F301" t="inlineStr">
        <is>
          <t>ÖSTERGÖTLANDS LÄN</t>
        </is>
      </c>
      <c r="G301" t="inlineStr">
        <is>
          <t>YDRE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46269</v>
      </c>
      <c r="F302" t="inlineStr">
        <is>
          <t>ÖSTERGÖTLANDS LÄN</t>
        </is>
      </c>
      <c r="G302" t="inlineStr">
        <is>
          <t>YDRE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46269</v>
      </c>
      <c r="F303" t="inlineStr">
        <is>
          <t>ÖSTERGÖTLANDS LÄN</t>
        </is>
      </c>
      <c r="G303" t="inlineStr">
        <is>
          <t>YDRE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46269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46269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44600</v>
      </c>
      <c r="E306" s="1" t="n">
        <v>46269</v>
      </c>
      <c r="F306" t="inlineStr">
        <is>
          <t>ÖSTERGÖTLANDS LÄN</t>
        </is>
      </c>
      <c r="G306" t="inlineStr">
        <is>
          <t>YDRE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46269</v>
      </c>
      <c r="F307" t="inlineStr">
        <is>
          <t>ÖSTERGÖTLANDS LÄN</t>
        </is>
      </c>
      <c r="G307" t="inlineStr">
        <is>
          <t>YDRE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46269</v>
      </c>
      <c r="F308" t="inlineStr">
        <is>
          <t>ÖSTERGÖTLANDS LÄN</t>
        </is>
      </c>
      <c r="G308" t="inlineStr">
        <is>
          <t>YDRE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46269</v>
      </c>
      <c r="F309" t="inlineStr">
        <is>
          <t>ÖSTERGÖTLANDS LÄN</t>
        </is>
      </c>
      <c r="G309" t="inlineStr">
        <is>
          <t>YDRE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46269</v>
      </c>
      <c r="F310" t="inlineStr">
        <is>
          <t>ÖSTERGÖTLANDS LÄN</t>
        </is>
      </c>
      <c r="G310" t="inlineStr">
        <is>
          <t>YDRE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46269</v>
      </c>
      <c r="F311" t="inlineStr">
        <is>
          <t>ÖSTERGÖTLANDS LÄN</t>
        </is>
      </c>
      <c r="G311" t="inlineStr">
        <is>
          <t>YDRE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46269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63536-2025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46269</v>
      </c>
      <c r="F313" t="inlineStr">
        <is>
          <t>ÖSTERGÖTLANDS LÄN</t>
        </is>
      </c>
      <c r="G313" t="inlineStr">
        <is>
          <t>YDRE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46269</v>
      </c>
      <c r="F314" t="inlineStr">
        <is>
          <t>ÖSTERGÖTLANDS LÄN</t>
        </is>
      </c>
      <c r="G314" t="inlineStr">
        <is>
          <t>YDRE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63544-2025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46269</v>
      </c>
      <c r="F315" t="inlineStr">
        <is>
          <t>ÖSTERGÖTLANDS LÄN</t>
        </is>
      </c>
      <c r="G315" t="inlineStr">
        <is>
          <t>YDRE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46269</v>
      </c>
      <c r="F316" t="inlineStr">
        <is>
          <t>ÖSTERGÖTLANDS LÄN</t>
        </is>
      </c>
      <c r="G316" t="inlineStr">
        <is>
          <t>YDRE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46190</v>
      </c>
      <c r="E317" s="1" t="n">
        <v>46269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46021</v>
      </c>
      <c r="E318" s="1" t="n">
        <v>46269</v>
      </c>
      <c r="F318" t="inlineStr">
        <is>
          <t>ÖSTERGÖTLANDS LÄN</t>
        </is>
      </c>
      <c r="G318" t="inlineStr">
        <is>
          <t>YDRE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56323-2021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44480</v>
      </c>
      <c r="E319" s="1" t="n">
        <v>46269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  <c r="Z319">
        <f>HYPERLINK("https://klasma.github.io/Logging_0512/knärot/A 56323-2021 karta knärot.png", "A 56323-2021")</f>
        <v/>
      </c>
      <c r="AA319">
        <f>HYPERLINK("https://klasma.github.io/Logging_0512/klagomål/A 56323-2021 FSC-klagomål.docx", "A 56323-2021")</f>
        <v/>
      </c>
      <c r="AB319">
        <f>HYPERLINK("https://klasma.github.io/Logging_0512/klagomålsmail/A 56323-2021 FSC-klagomål mail.docx", "A 56323-2021")</f>
        <v/>
      </c>
      <c r="AC319">
        <f>HYPERLINK("https://klasma.github.io/Logging_0512/tillsyn/A 56323-2021 tillsynsbegäran.docx", "A 56323-2021")</f>
        <v/>
      </c>
      <c r="AD319">
        <f>HYPERLINK("https://klasma.github.io/Logging_0512/tillsynsmail/A 56323-2021 tillsynsbegäran mail.docx", "A 56323-2021")</f>
        <v/>
      </c>
    </row>
    <row r="320" ht="15" customHeight="1">
      <c r="A320" t="inlineStr">
        <is>
          <t>A 32685-2026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46240</v>
      </c>
      <c r="E320" s="1" t="n">
        <v>46269</v>
      </c>
      <c r="F320" t="inlineStr">
        <is>
          <t>ÖSTERGÖTLANDS LÄN</t>
        </is>
      </c>
      <c r="G320" t="inlineStr">
        <is>
          <t>YDRE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46269</v>
      </c>
      <c r="F321" t="inlineStr">
        <is>
          <t>ÖSTERGÖTLANDS LÄN</t>
        </is>
      </c>
      <c r="G321" t="inlineStr">
        <is>
          <t>YDRE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61636-2021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44501</v>
      </c>
      <c r="E322" s="1" t="n">
        <v>46269</v>
      </c>
      <c r="F322" t="inlineStr">
        <is>
          <t>ÖSTERGÖTLANDS LÄN</t>
        </is>
      </c>
      <c r="G322" t="inlineStr">
        <is>
          <t>YDRE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70448-2021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44536</v>
      </c>
      <c r="E323" s="1" t="n">
        <v>46269</v>
      </c>
      <c r="F323" t="inlineStr">
        <is>
          <t>ÖSTERGÖTLANDS LÄN</t>
        </is>
      </c>
      <c r="G323" t="inlineStr">
        <is>
          <t>YDRE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46036</v>
      </c>
      <c r="E324" s="1" t="n">
        <v>46269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46269</v>
      </c>
      <c r="F325" t="inlineStr">
        <is>
          <t>ÖSTERGÖTLANDS LÄN</t>
        </is>
      </c>
      <c r="G325" t="inlineStr">
        <is>
          <t>YDRE</t>
        </is>
      </c>
      <c r="H325" t="inlineStr">
        <is>
          <t>Övriga Aktiebolag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46269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46269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46269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46269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46269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46055</v>
      </c>
      <c r="E331" s="1" t="n">
        <v>46269</v>
      </c>
      <c r="F331" t="inlineStr">
        <is>
          <t>ÖSTERGÖTLANDS LÄN</t>
        </is>
      </c>
      <c r="G331" t="inlineStr">
        <is>
          <t>YDRE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27164-2023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46269</v>
      </c>
      <c r="F332" t="inlineStr">
        <is>
          <t>ÖSTERGÖTLANDS LÄN</t>
        </is>
      </c>
      <c r="G332" t="inlineStr">
        <is>
          <t>YDRE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46269</v>
      </c>
      <c r="F333" t="inlineStr">
        <is>
          <t>ÖSTERGÖTLANDS LÄN</t>
        </is>
      </c>
      <c r="G333" t="inlineStr">
        <is>
          <t>YDRE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29148-2026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46202</v>
      </c>
      <c r="E334" s="1" t="n">
        <v>46269</v>
      </c>
      <c r="F334" t="inlineStr">
        <is>
          <t>ÖSTERGÖTLANDS LÄN</t>
        </is>
      </c>
      <c r="G334" t="inlineStr">
        <is>
          <t>YDRE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44953</v>
      </c>
      <c r="E335" s="1" t="n">
        <v>46269</v>
      </c>
      <c r="F335" t="inlineStr">
        <is>
          <t>ÖSTERGÖTLANDS LÄN</t>
        </is>
      </c>
      <c r="G335" t="inlineStr">
        <is>
          <t>YDRE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46269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44980</v>
      </c>
      <c r="E337" s="1" t="n">
        <v>46269</v>
      </c>
      <c r="F337" t="inlineStr">
        <is>
          <t>ÖSTERGÖTLANDS LÄN</t>
        </is>
      </c>
      <c r="G337" t="inlineStr">
        <is>
          <t>YDRE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45755</v>
      </c>
      <c r="E338" s="1" t="n">
        <v>46269</v>
      </c>
      <c r="F338" t="inlineStr">
        <is>
          <t>ÖSTERGÖTLANDS LÄN</t>
        </is>
      </c>
      <c r="G338" t="inlineStr">
        <is>
          <t>YDRE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46062</v>
      </c>
      <c r="E339" s="1" t="n">
        <v>46269</v>
      </c>
      <c r="F339" t="inlineStr">
        <is>
          <t>ÖSTERGÖTLANDS LÄN</t>
        </is>
      </c>
      <c r="G339" t="inlineStr">
        <is>
          <t>YDRE</t>
        </is>
      </c>
      <c r="H339" t="inlineStr">
        <is>
          <t>Övriga Aktiebolag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46269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46269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46269</v>
      </c>
      <c r="F342" t="inlineStr">
        <is>
          <t>ÖSTERGÖTLANDS LÄN</t>
        </is>
      </c>
      <c r="G342" t="inlineStr">
        <is>
          <t>YDRE</t>
        </is>
      </c>
      <c r="H342" t="inlineStr">
        <is>
          <t>Övriga Aktiebolag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46269</v>
      </c>
      <c r="F343" t="inlineStr">
        <is>
          <t>ÖSTERGÖTLANDS LÄN</t>
        </is>
      </c>
      <c r="G343" t="inlineStr">
        <is>
          <t>YDRE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46269</v>
      </c>
      <c r="F344" t="inlineStr">
        <is>
          <t>ÖSTERGÖTLANDS LÄN</t>
        </is>
      </c>
      <c r="G344" t="inlineStr">
        <is>
          <t>YDRE</t>
        </is>
      </c>
      <c r="H344" t="inlineStr">
        <is>
          <t>Övriga Aktiebolag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46269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46077</v>
      </c>
      <c r="E346" s="1" t="n">
        <v>46269</v>
      </c>
      <c r="F346" t="inlineStr">
        <is>
          <t>ÖSTERGÖTLANDS LÄN</t>
        </is>
      </c>
      <c r="G346" t="inlineStr">
        <is>
          <t>YDRE</t>
        </is>
      </c>
      <c r="H346" t="inlineStr">
        <is>
          <t>Övriga Aktiebolag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46269</v>
      </c>
      <c r="F347" t="inlineStr">
        <is>
          <t>ÖSTERGÖTLANDS LÄN</t>
        </is>
      </c>
      <c r="G347" t="inlineStr">
        <is>
          <t>YDRE</t>
        </is>
      </c>
      <c r="H347" t="inlineStr">
        <is>
          <t>Övriga Aktiebolag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46269</v>
      </c>
      <c r="F348" t="inlineStr">
        <is>
          <t>ÖSTERGÖTLANDS LÄN</t>
        </is>
      </c>
      <c r="G348" t="inlineStr">
        <is>
          <t>YDRE</t>
        </is>
      </c>
      <c r="H348" t="inlineStr">
        <is>
          <t>Övriga Aktiebolag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45145</v>
      </c>
      <c r="E349" s="1" t="n">
        <v>46269</v>
      </c>
      <c r="F349" t="inlineStr">
        <is>
          <t>ÖSTERGÖTLANDS LÄN</t>
        </is>
      </c>
      <c r="G349" t="inlineStr">
        <is>
          <t>YDRE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46269</v>
      </c>
      <c r="F350" t="inlineStr">
        <is>
          <t>ÖSTERGÖTLANDS LÄN</t>
        </is>
      </c>
      <c r="G350" t="inlineStr">
        <is>
          <t>YDRE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46269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46269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46269</v>
      </c>
      <c r="F353" t="inlineStr">
        <is>
          <t>ÖSTERGÖTLANDS LÄN</t>
        </is>
      </c>
      <c r="G353" t="inlineStr">
        <is>
          <t>YDRE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46269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46269</v>
      </c>
      <c r="F355" t="inlineStr">
        <is>
          <t>ÖSTERGÖTLANDS LÄN</t>
        </is>
      </c>
      <c r="G355" t="inlineStr">
        <is>
          <t>YDRE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46269</v>
      </c>
      <c r="F356" t="inlineStr">
        <is>
          <t>ÖSTERGÖTLANDS LÄN</t>
        </is>
      </c>
      <c r="G356" t="inlineStr">
        <is>
          <t>YDRE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46269</v>
      </c>
      <c r="F357" t="inlineStr">
        <is>
          <t>ÖSTERGÖTLANDS LÄN</t>
        </is>
      </c>
      <c r="G357" t="inlineStr">
        <is>
          <t>YDRE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46269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46269</v>
      </c>
      <c r="F359" t="inlineStr">
        <is>
          <t>ÖSTERGÖTLANDS LÄN</t>
        </is>
      </c>
      <c r="G359" t="inlineStr">
        <is>
          <t>YDRE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45595</v>
      </c>
      <c r="E360" s="1" t="n">
        <v>46269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46269</v>
      </c>
      <c r="F361" t="inlineStr">
        <is>
          <t>ÖSTERGÖTLANDS LÄN</t>
        </is>
      </c>
      <c r="G361" t="inlineStr">
        <is>
          <t>YDRE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46269</v>
      </c>
      <c r="F362" t="inlineStr">
        <is>
          <t>ÖSTERGÖTLANDS LÄN</t>
        </is>
      </c>
      <c r="G362" t="inlineStr">
        <is>
          <t>YDRE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46269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46116</v>
      </c>
      <c r="E364" s="1" t="n">
        <v>46269</v>
      </c>
      <c r="F364" t="inlineStr">
        <is>
          <t>ÖSTERGÖTLANDS LÄN</t>
        </is>
      </c>
      <c r="G364" t="inlineStr">
        <is>
          <t>YDRE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46269</v>
      </c>
      <c r="F365" t="inlineStr">
        <is>
          <t>ÖSTERGÖTLANDS LÄN</t>
        </is>
      </c>
      <c r="G365" t="inlineStr">
        <is>
          <t>YDRE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46269</v>
      </c>
      <c r="F366" t="inlineStr">
        <is>
          <t>ÖSTERGÖTLANDS LÄN</t>
        </is>
      </c>
      <c r="G366" t="inlineStr">
        <is>
          <t>YDRE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46121</v>
      </c>
      <c r="E367" s="1" t="n">
        <v>46269</v>
      </c>
      <c r="F367" t="inlineStr">
        <is>
          <t>ÖSTERGÖTLANDS LÄN</t>
        </is>
      </c>
      <c r="G367" t="inlineStr">
        <is>
          <t>YDRE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45355</v>
      </c>
      <c r="E368" s="1" t="n">
        <v>46269</v>
      </c>
      <c r="F368" t="inlineStr">
        <is>
          <t>ÖSTERGÖTLANDS LÄN</t>
        </is>
      </c>
      <c r="G368" t="inlineStr">
        <is>
          <t>YDRE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56606-2021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44480</v>
      </c>
      <c r="E369" s="1" t="n">
        <v>46269</v>
      </c>
      <c r="F369" t="inlineStr">
        <is>
          <t>ÖSTERGÖTLANDS LÄN</t>
        </is>
      </c>
      <c r="G369" t="inlineStr">
        <is>
          <t>YDRE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46269</v>
      </c>
      <c r="F370" t="inlineStr">
        <is>
          <t>ÖSTERGÖTLANDS LÄN</t>
        </is>
      </c>
      <c r="G370" t="inlineStr">
        <is>
          <t>YDRE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18181-2026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46125</v>
      </c>
      <c r="E371" s="1" t="n">
        <v>46269</v>
      </c>
      <c r="F371" t="inlineStr">
        <is>
          <t>ÖSTERGÖTLANDS LÄN</t>
        </is>
      </c>
      <c r="G371" t="inlineStr">
        <is>
          <t>YDRE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46269</v>
      </c>
      <c r="F372" t="inlineStr">
        <is>
          <t>ÖSTERGÖTLANDS LÄN</t>
        </is>
      </c>
      <c r="G372" t="inlineStr">
        <is>
          <t>YDRE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46269</v>
      </c>
      <c r="F373" t="inlineStr">
        <is>
          <t>ÖSTERGÖTLANDS LÄN</t>
        </is>
      </c>
      <c r="G373" t="inlineStr">
        <is>
          <t>YDRE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46269</v>
      </c>
      <c r="F374" t="inlineStr">
        <is>
          <t>ÖSTERGÖTLANDS LÄN</t>
        </is>
      </c>
      <c r="G374" t="inlineStr">
        <is>
          <t>YDRE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45596</v>
      </c>
      <c r="E375" s="1" t="n">
        <v>46269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46269</v>
      </c>
      <c r="F376" t="inlineStr">
        <is>
          <t>ÖSTERGÖTLANDS LÄN</t>
        </is>
      </c>
      <c r="G376" t="inlineStr">
        <is>
          <t>YDRE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46269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46269</v>
      </c>
      <c r="F378" t="inlineStr">
        <is>
          <t>ÖSTERGÖTLANDS LÄN</t>
        </is>
      </c>
      <c r="G378" t="inlineStr">
        <is>
          <t>YDRE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46269</v>
      </c>
      <c r="F379" t="inlineStr">
        <is>
          <t>ÖSTERGÖTLANDS LÄN</t>
        </is>
      </c>
      <c r="G379" t="inlineStr">
        <is>
          <t>YDRE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44994</v>
      </c>
      <c r="E380" s="1" t="n">
        <v>46269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44635</v>
      </c>
      <c r="E381" s="1" t="n">
        <v>46269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46269</v>
      </c>
      <c r="F382" t="inlineStr">
        <is>
          <t>ÖSTERGÖTLANDS LÄN</t>
        </is>
      </c>
      <c r="G382" t="inlineStr">
        <is>
          <t>YDRE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46269</v>
      </c>
      <c r="F383" t="inlineStr">
        <is>
          <t>ÖSTERGÖTLANDS LÄN</t>
        </is>
      </c>
      <c r="G383" t="inlineStr">
        <is>
          <t>YDRE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46269</v>
      </c>
      <c r="F384" t="inlineStr">
        <is>
          <t>ÖSTERGÖTLANDS LÄN</t>
        </is>
      </c>
      <c r="G384" t="inlineStr">
        <is>
          <t>YDRE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46269</v>
      </c>
      <c r="F385" t="inlineStr">
        <is>
          <t>ÖSTERGÖTLANDS LÄN</t>
        </is>
      </c>
      <c r="G385" t="inlineStr">
        <is>
          <t>YDRE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46269</v>
      </c>
      <c r="F386" t="inlineStr">
        <is>
          <t>ÖSTERGÖTLANDS LÄN</t>
        </is>
      </c>
      <c r="G386" t="inlineStr">
        <is>
          <t>YDRE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46269</v>
      </c>
      <c r="F387" t="inlineStr">
        <is>
          <t>ÖSTERGÖTLANDS LÄN</t>
        </is>
      </c>
      <c r="G387" t="inlineStr">
        <is>
          <t>YDRE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46269</v>
      </c>
      <c r="F388" t="inlineStr">
        <is>
          <t>ÖSTERGÖTLANDS LÄN</t>
        </is>
      </c>
      <c r="G388" t="inlineStr">
        <is>
          <t>YDRE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45170</v>
      </c>
      <c r="E389" s="1" t="n">
        <v>46269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46269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45707</v>
      </c>
      <c r="E391" s="1" t="n">
        <v>46269</v>
      </c>
      <c r="F391" t="inlineStr">
        <is>
          <t>ÖSTERGÖTLANDS LÄN</t>
        </is>
      </c>
      <c r="G391" t="inlineStr">
        <is>
          <t>YDRE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45432</v>
      </c>
      <c r="E392" s="1" t="n">
        <v>46269</v>
      </c>
      <c r="F392" t="inlineStr">
        <is>
          <t>ÖSTERGÖTLANDS LÄN</t>
        </is>
      </c>
      <c r="G392" t="inlineStr">
        <is>
          <t>YDRE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46269</v>
      </c>
      <c r="F393" t="inlineStr">
        <is>
          <t>ÖSTERGÖTLANDS LÄN</t>
        </is>
      </c>
      <c r="G393" t="inlineStr">
        <is>
          <t>YDRE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45414</v>
      </c>
      <c r="E394" s="1" t="n">
        <v>46269</v>
      </c>
      <c r="F394" t="inlineStr">
        <is>
          <t>ÖSTERGÖTLANDS LÄN</t>
        </is>
      </c>
      <c r="G394" t="inlineStr">
        <is>
          <t>YDRE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46269</v>
      </c>
      <c r="F395" t="inlineStr">
        <is>
          <t>ÖSTERGÖTLANDS LÄN</t>
        </is>
      </c>
      <c r="G395" t="inlineStr">
        <is>
          <t>YDRE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45110</v>
      </c>
      <c r="E396" s="1" t="n">
        <v>46269</v>
      </c>
      <c r="F396" t="inlineStr">
        <is>
          <t>ÖSTERGÖTLANDS LÄN</t>
        </is>
      </c>
      <c r="G396" t="inlineStr">
        <is>
          <t>YDRE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26101-2024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46269</v>
      </c>
      <c r="F397" t="inlineStr">
        <is>
          <t>ÖSTERGÖTLANDS LÄN</t>
        </is>
      </c>
      <c r="G397" t="inlineStr">
        <is>
          <t>YDRE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45492</v>
      </c>
      <c r="E398" s="1" t="n">
        <v>46269</v>
      </c>
      <c r="F398" t="inlineStr">
        <is>
          <t>ÖSTERGÖTLANDS LÄN</t>
        </is>
      </c>
      <c r="G398" t="inlineStr">
        <is>
          <t>YDRE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46269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416-2022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44585</v>
      </c>
      <c r="E400" s="1" t="n">
        <v>46269</v>
      </c>
      <c r="F400" t="inlineStr">
        <is>
          <t>ÖSTERGÖTLANDS LÄN</t>
        </is>
      </c>
      <c r="G400" t="inlineStr">
        <is>
          <t>YDRE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2053-2025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45839</v>
      </c>
      <c r="E401" s="1" t="n">
        <v>46269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2604-2025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45916</v>
      </c>
      <c r="E402" s="1" t="n">
        <v>46269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3063-2025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45964</v>
      </c>
      <c r="E403" s="1" t="n">
        <v>46269</v>
      </c>
      <c r="F403" t="inlineStr">
        <is>
          <t>ÖSTERGÖTLANDS LÄN</t>
        </is>
      </c>
      <c r="G403" t="inlineStr">
        <is>
          <t>YDRE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384-2026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46066</v>
      </c>
      <c r="E404" s="1" t="n">
        <v>46269</v>
      </c>
      <c r="F404" t="inlineStr">
        <is>
          <t>ÖSTERGÖTLANDS LÄN</t>
        </is>
      </c>
      <c r="G404" t="inlineStr">
        <is>
          <t>YDRE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2026-09-04T02:02:54Z</dcterms:created>
  <dcterms:modified xmlns:dcterms="http://purl.org/dc/terms/" xmlns:xsi="http://www.w3.org/2001/XMLSchema-instance" xsi:type="dcterms:W3CDTF">2026-09-04T02:02:54Z</dcterms:modified>
</cp:coreProperties>
</file>